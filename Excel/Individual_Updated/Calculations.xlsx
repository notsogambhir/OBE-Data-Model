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CE Showcase\"/>
    </mc:Choice>
  </mc:AlternateContent>
  <xr:revisionPtr revIDLastSave="0" documentId="13_ncr:1_{FD7D3117-DE68-433C-B8DF-FAE83D034DB6}" xr6:coauthVersionLast="47" xr6:coauthVersionMax="47" xr10:uidLastSave="{00000000-0000-0000-0000-000000000000}"/>
  <bookViews>
    <workbookView xWindow="-108" yWindow="-108" windowWidth="23256" windowHeight="12576" firstSheet="53" activeTab="53" xr2:uid="{00000000-000D-0000-FFFF-FFFF00000000}"/>
  </bookViews>
  <sheets>
    <sheet name="OBE Data" sheetId="32" r:id="rId1"/>
    <sheet name="ST1 Questions" sheetId="1" r:id="rId2"/>
    <sheet name="ST1 Result" sheetId="2" r:id="rId3"/>
    <sheet name="ST1 Student Marks" sheetId="7" r:id="rId4"/>
    <sheet name="ST1 Question Map" sheetId="10" r:id="rId5"/>
    <sheet name="ST1 Attemped Qs" sheetId="44" r:id="rId6"/>
    <sheet name="ST1 Attempted COs" sheetId="45" r:id="rId7"/>
    <sheet name="ST1 Student MO CO Score" sheetId="13" r:id="rId8"/>
    <sheet name="ST1 Student Attained CO Score" sheetId="14" r:id="rId9"/>
    <sheet name="ST1 Student Attainment percent" sheetId="15" r:id="rId10"/>
    <sheet name="ST1 CO Attainment Score" sheetId="16" r:id="rId11"/>
    <sheet name="ST1 Target Attained" sheetId="17" r:id="rId12"/>
    <sheet name="ST2 Questions" sheetId="3" r:id="rId13"/>
    <sheet name="ST2 Result" sheetId="4" r:id="rId14"/>
    <sheet name="ST2 Student Marks" sheetId="8" r:id="rId15"/>
    <sheet name="ST2 Question Map" sheetId="11" r:id="rId16"/>
    <sheet name="ST2 Attemped Qs" sheetId="48" r:id="rId17"/>
    <sheet name="ST2 Attempted COs" sheetId="49" r:id="rId18"/>
    <sheet name="ST2 Student MO CO Score" sheetId="20" r:id="rId19"/>
    <sheet name="ST2 Student Attained CO Score" sheetId="21" r:id="rId20"/>
    <sheet name="ST2 Student Attainment percent" sheetId="22" r:id="rId21"/>
    <sheet name="ST2 CO Attainment Score" sheetId="23" r:id="rId22"/>
    <sheet name="ST2 Target Attained" sheetId="24" r:id="rId23"/>
    <sheet name="ST3 Questions" sheetId="33" r:id="rId24"/>
    <sheet name="ST3 Result" sheetId="34" r:id="rId25"/>
    <sheet name="ST3 Student Marks" sheetId="35" r:id="rId26"/>
    <sheet name="ST3 Question Map" sheetId="36" r:id="rId27"/>
    <sheet name="ST3 Attemped Qs" sheetId="50" r:id="rId28"/>
    <sheet name="ST3 Attempted COs" sheetId="51" r:id="rId29"/>
    <sheet name="ST3 Student MO CO Score" sheetId="39" r:id="rId30"/>
    <sheet name="ST3 Student Attained CO Score" sheetId="40" r:id="rId31"/>
    <sheet name="ST3 Student Attainment percent" sheetId="41" r:id="rId32"/>
    <sheet name="ST3 CO Attainment Score" sheetId="42" r:id="rId33"/>
    <sheet name="ST3 Target Attained" sheetId="43" r:id="rId34"/>
    <sheet name="ETE Questions" sheetId="5" r:id="rId35"/>
    <sheet name="ETE Result" sheetId="6" r:id="rId36"/>
    <sheet name="ETE Student Marks" sheetId="9" r:id="rId37"/>
    <sheet name="ETE Question Map" sheetId="26" r:id="rId38"/>
    <sheet name="ETE Attemped Qs" sheetId="46" r:id="rId39"/>
    <sheet name="ETE Attempted COs" sheetId="47" r:id="rId40"/>
    <sheet name="ETE Student MO CO Score" sheetId="27" r:id="rId41"/>
    <sheet name="ETE Student Attained CO Score" sheetId="28" r:id="rId42"/>
    <sheet name="ETE Student Attainment percent" sheetId="29" r:id="rId43"/>
    <sheet name="ETE CO Attainment Score" sheetId="30" r:id="rId44"/>
    <sheet name="ETE Target Attained" sheetId="31" r:id="rId45"/>
    <sheet name="ASN Questions" sheetId="52" r:id="rId46"/>
    <sheet name="ASN Result" sheetId="64" r:id="rId47"/>
    <sheet name="ASN Student Marks" sheetId="55" r:id="rId48"/>
    <sheet name="ASN Question Map" sheetId="56" r:id="rId49"/>
    <sheet name="ASN Attemped Qs" sheetId="57" r:id="rId50"/>
    <sheet name="ASN Attempted COs" sheetId="65" r:id="rId51"/>
    <sheet name="ASN Student MO CO Score" sheetId="59" r:id="rId52"/>
    <sheet name="ASN Student Attained CO Score" sheetId="60" r:id="rId53"/>
    <sheet name="ASN Student Attainment percent" sheetId="61" r:id="rId54"/>
    <sheet name="ASN CO Attainment Score" sheetId="62" r:id="rId55"/>
    <sheet name="ASN Target Attained" sheetId="63" r:id="rId56"/>
  </sheets>
  <externalReferences>
    <externalReference r:id="rId5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1" l="1" a="1"/>
  <c r="B1" i="61"/>
  <c r="B1" i="62" a="1"/>
  <c r="B1" i="62" s="1"/>
  <c r="B1" i="60" a="1"/>
  <c r="B1" i="60" s="1"/>
  <c r="A1" i="65" a="1"/>
  <c r="A1" i="65" s="1"/>
  <c r="B1" i="59" a="1"/>
  <c r="B1" i="59" s="1"/>
  <c r="A1" i="33" l="1" a="1"/>
  <c r="A1" i="33" s="1"/>
  <c r="A1" i="3" a="1"/>
  <c r="A1" i="3" s="1"/>
  <c r="B1" i="10" a="1"/>
  <c r="B1" i="10" s="1"/>
  <c r="A1" i="1" a="1"/>
  <c r="A1" i="1" s="1"/>
  <c r="S2" i="64" a="1"/>
  <c r="S2" i="64" s="1"/>
  <c r="P2" i="64" a="1"/>
  <c r="P2" i="64" s="1"/>
  <c r="M2" i="64" a="1"/>
  <c r="M2" i="64" s="1"/>
  <c r="A2" i="64" a="1"/>
  <c r="B8" i="52" a="1"/>
  <c r="B8" i="52" s="1"/>
  <c r="A8" i="52" a="1"/>
  <c r="A8" i="52" s="1"/>
  <c r="B5" i="52" a="1"/>
  <c r="B5" i="52" s="1"/>
  <c r="A5" i="52" a="1"/>
  <c r="A5" i="52" s="1"/>
  <c r="A1" i="57" s="1" a="1"/>
  <c r="A1" i="57" s="1"/>
  <c r="A2" i="52" a="1"/>
  <c r="A2" i="52" s="1"/>
  <c r="B2" i="52" a="1"/>
  <c r="B2" i="52" s="1"/>
  <c r="A1" i="5" a="1"/>
  <c r="A1" i="5" s="1"/>
  <c r="A1" i="34" a="1"/>
  <c r="A1" i="34" s="1"/>
  <c r="R1" i="8" a="1"/>
  <c r="R1" i="8" s="1"/>
  <c r="U1" i="8" a="1"/>
  <c r="U1" i="8" s="1"/>
  <c r="A1" i="4" a="1"/>
  <c r="A1" i="4" s="1"/>
  <c r="A2" i="64" l="1"/>
  <c r="A1" i="63" a="1"/>
  <c r="A1" i="63" s="1"/>
  <c r="A1" i="61" a="1"/>
  <c r="A1" i="61" s="1"/>
  <c r="A1" i="59" a="1"/>
  <c r="A1" i="59" s="1"/>
  <c r="A1" i="62" a="1"/>
  <c r="A1" i="62" s="1"/>
  <c r="A1" i="60" a="1"/>
  <c r="A1" i="60" s="1"/>
  <c r="A1" i="50" a="1"/>
  <c r="A1" i="50" s="1"/>
  <c r="A1" i="44" a="1"/>
  <c r="A1" i="44" s="1"/>
  <c r="A1" i="48" a="1"/>
  <c r="A1" i="48" s="1"/>
  <c r="A1" i="55" a="1"/>
  <c r="A1" i="55" s="1"/>
  <c r="A1" i="56" a="1"/>
  <c r="A1" i="56" s="1"/>
  <c r="B1" i="56" a="1"/>
  <c r="B1" i="56" s="1"/>
  <c r="M1" i="64" a="1"/>
  <c r="B1" i="63" a="1"/>
  <c r="T1" i="35" a="1"/>
  <c r="T1" i="35" s="1"/>
  <c r="A1" i="46" a="1"/>
  <c r="A1" i="46" s="1"/>
  <c r="T1" i="8" a="1"/>
  <c r="T1" i="8" s="1"/>
  <c r="R1" i="35" a="1"/>
  <c r="R1" i="35" s="1"/>
  <c r="B1" i="11" a="1"/>
  <c r="B1" i="11" s="1"/>
  <c r="S1" i="35" a="1"/>
  <c r="S1" i="35" s="1"/>
  <c r="S1" i="8" a="1"/>
  <c r="S1" i="8" s="1"/>
  <c r="U1" i="35" a="1"/>
  <c r="U1" i="35" s="1"/>
  <c r="B1" i="36" a="1"/>
  <c r="B1" i="36" s="1"/>
  <c r="B1" i="26" a="1"/>
  <c r="B1" i="26" s="1"/>
  <c r="B1" i="63" l="1"/>
  <c r="M1" i="64"/>
  <c r="B1" i="55" s="1" a="1"/>
  <c r="B1" i="55" s="1"/>
  <c r="C1" i="55" a="1"/>
  <c r="C1" i="55" s="1"/>
  <c r="G1" i="55" a="1"/>
  <c r="G1" i="55" s="1"/>
  <c r="G2" i="56" s="1" a="1"/>
  <c r="G2" i="56" s="1"/>
  <c r="F1" i="55" a="1"/>
  <c r="F1" i="55" s="1"/>
  <c r="F2" i="56" s="1" a="1"/>
  <c r="F2" i="56" s="1"/>
  <c r="D1" i="55" a="1"/>
  <c r="D1" i="55" s="1"/>
  <c r="D2" i="56" s="1" a="1"/>
  <c r="D2" i="56" s="1"/>
  <c r="H1" i="55" a="1"/>
  <c r="H1" i="55" s="1"/>
  <c r="H2" i="56" s="1" a="1"/>
  <c r="H2" i="56" s="1"/>
  <c r="E1" i="55" a="1"/>
  <c r="E1" i="55" s="1"/>
  <c r="I1" i="55" a="1"/>
  <c r="I1" i="55" s="1"/>
  <c r="J1" i="55" a="1"/>
  <c r="J1" i="55" s="1"/>
  <c r="J2" i="56" s="1" a="1"/>
  <c r="J2" i="56" s="1"/>
  <c r="F2" i="59" s="1" a="1"/>
  <c r="F2" i="59" s="1"/>
  <c r="I2" i="56" a="1"/>
  <c r="I2" i="56" s="1"/>
  <c r="E2" i="56" a="1"/>
  <c r="E2" i="56" s="1"/>
  <c r="B2" i="56" a="1"/>
  <c r="B2" i="56" s="1"/>
  <c r="C2" i="56" a="1"/>
  <c r="C2" i="56" s="1"/>
  <c r="A1" i="32" a="1"/>
  <c r="C2" i="60" l="1" a="1"/>
  <c r="C2" i="60" s="1"/>
  <c r="C2" i="59" a="1"/>
  <c r="C2" i="59" s="1"/>
  <c r="G2" i="60" a="1"/>
  <c r="G2" i="60" s="1"/>
  <c r="D2" i="60" a="1"/>
  <c r="D2" i="60" s="1"/>
  <c r="E2" i="59" a="1"/>
  <c r="E2" i="59" s="1"/>
  <c r="F2" i="60" a="1"/>
  <c r="F2" i="60" s="1"/>
  <c r="D2" i="59" a="1"/>
  <c r="D2" i="59" s="1"/>
  <c r="E2" i="60" a="1"/>
  <c r="E2" i="60" s="1"/>
  <c r="G2" i="59" a="1"/>
  <c r="G2" i="59" s="1"/>
  <c r="A2" i="57" a="1"/>
  <c r="B2" i="59" a="1"/>
  <c r="B2" i="59" s="1"/>
  <c r="B2" i="60" a="1"/>
  <c r="B2" i="60" s="1"/>
  <c r="G2" i="61" a="1"/>
  <c r="G2" i="61" s="1"/>
  <c r="D2" i="61" a="1"/>
  <c r="D2" i="61" s="1"/>
  <c r="E2" i="61" a="1"/>
  <c r="E2" i="61" s="1"/>
  <c r="A1" i="32"/>
  <c r="F2" i="65" l="1" a="1"/>
  <c r="F2" i="65" s="1"/>
  <c r="C2" i="65" a="1"/>
  <c r="C2" i="65" s="1"/>
  <c r="D2" i="65" a="1"/>
  <c r="D2" i="65" s="1"/>
  <c r="E2" i="65" a="1"/>
  <c r="E2" i="65" s="1"/>
  <c r="A2" i="57"/>
  <c r="A2" i="65" s="1" a="1"/>
  <c r="A2" i="65" s="1"/>
  <c r="F2" i="61" a="1"/>
  <c r="F2" i="61" s="1"/>
  <c r="G2" i="63" a="1"/>
  <c r="G2" i="63" s="1"/>
  <c r="D2" i="63" a="1"/>
  <c r="D2" i="63" s="1"/>
  <c r="E2" i="63" a="1"/>
  <c r="E2" i="63" s="1"/>
  <c r="B1" i="20" a="1"/>
  <c r="B1" i="40" a="1"/>
  <c r="B1" i="41" a="1"/>
  <c r="B1" i="42" a="1"/>
  <c r="B1" i="43" a="1"/>
  <c r="B1" i="39" a="1"/>
  <c r="B1" i="24" a="1"/>
  <c r="B1" i="21" a="1"/>
  <c r="B1" i="23" a="1"/>
  <c r="B1" i="22" a="1"/>
  <c r="B2" i="65" l="1" a="1"/>
  <c r="B2" i="65" s="1"/>
  <c r="F2" i="63" a="1"/>
  <c r="F2" i="63" s="1"/>
  <c r="B1" i="40"/>
  <c r="B1" i="42"/>
  <c r="B1" i="39"/>
  <c r="B1" i="43"/>
  <c r="B1" i="20"/>
  <c r="A1" i="47" a="1"/>
  <c r="B1" i="41"/>
  <c r="B1" i="23"/>
  <c r="B1" i="21"/>
  <c r="B1" i="22"/>
  <c r="B1" i="24"/>
  <c r="B1" i="30" a="1"/>
  <c r="B1" i="28" a="1"/>
  <c r="B1" i="31" a="1"/>
  <c r="B1" i="27" a="1"/>
  <c r="B1" i="29" a="1"/>
  <c r="A1" i="47" l="1"/>
  <c r="B1" i="29"/>
  <c r="B1" i="27"/>
  <c r="B1" i="31"/>
  <c r="B1" i="30"/>
  <c r="B1" i="28"/>
  <c r="A1" i="51" l="1" a="1"/>
  <c r="A1" i="49" a="1"/>
  <c r="A1" i="45" a="1"/>
  <c r="B1" i="14" a="1"/>
  <c r="B1" i="17" a="1"/>
  <c r="B1" i="16" a="1"/>
  <c r="B1" i="15" a="1"/>
  <c r="B1" i="13" a="1"/>
  <c r="D2" i="51" l="1" a="1"/>
  <c r="D2" i="51" s="1"/>
  <c r="F2" i="51" a="1"/>
  <c r="F2" i="51" s="1"/>
  <c r="B2" i="51" a="1"/>
  <c r="B2" i="51" s="1"/>
  <c r="C2" i="51" a="1"/>
  <c r="C2" i="51" s="1"/>
  <c r="E2" i="51" a="1"/>
  <c r="E2" i="51" s="1"/>
  <c r="A1" i="45"/>
  <c r="A1" i="49"/>
  <c r="A1" i="51"/>
  <c r="A2" i="51" s="1" a="1"/>
  <c r="A2" i="51" s="1"/>
  <c r="B1" i="16"/>
  <c r="B1" i="17"/>
  <c r="B1" i="14"/>
  <c r="B1" i="15"/>
  <c r="B1" i="13"/>
  <c r="A1" i="6" l="1" a="1"/>
  <c r="A1" i="29" l="1" a="1"/>
  <c r="A1" i="29" s="1"/>
  <c r="B1" i="9" a="1"/>
  <c r="B1" i="9" s="1"/>
  <c r="A1" i="6"/>
  <c r="A1" i="31" a="1"/>
  <c r="A1" i="31" s="1"/>
  <c r="X1" i="9" a="1"/>
  <c r="X1" i="9" s="1"/>
  <c r="E1" i="9" a="1"/>
  <c r="E1" i="9" s="1"/>
  <c r="A1" i="30" a="1"/>
  <c r="A1" i="30" s="1"/>
  <c r="F1" i="9" a="1"/>
  <c r="F1" i="9" s="1"/>
  <c r="I1" i="9" a="1"/>
  <c r="I1" i="9" s="1"/>
  <c r="A1" i="28" a="1"/>
  <c r="A1" i="28" s="1"/>
  <c r="N1" i="9" a="1"/>
  <c r="N1" i="9" s="1"/>
  <c r="A1" i="26" a="1"/>
  <c r="A1" i="26" s="1"/>
  <c r="M1" i="9" a="1"/>
  <c r="M1" i="9" s="1"/>
  <c r="D1" i="9" a="1"/>
  <c r="D1" i="9" s="1"/>
  <c r="V1" i="9" a="1"/>
  <c r="V1" i="9" s="1"/>
  <c r="Q1" i="9" a="1"/>
  <c r="Q1" i="9" s="1"/>
  <c r="K1" i="9" a="1"/>
  <c r="K1" i="9" s="1"/>
  <c r="H1" i="9" a="1"/>
  <c r="H1" i="9" s="1"/>
  <c r="A1" i="27" a="1"/>
  <c r="A1" i="27" s="1"/>
  <c r="U1" i="9" a="1"/>
  <c r="U1" i="9" s="1"/>
  <c r="S1" i="9" a="1"/>
  <c r="S1" i="9" s="1"/>
  <c r="L1" i="9" a="1"/>
  <c r="L1" i="9" s="1"/>
  <c r="G1" i="9" a="1"/>
  <c r="G1" i="9" s="1"/>
  <c r="C1" i="9" a="1"/>
  <c r="C1" i="9" s="1"/>
  <c r="P1" i="9" a="1"/>
  <c r="P1" i="9" s="1"/>
  <c r="O1" i="9" a="1"/>
  <c r="O1" i="9" s="1"/>
  <c r="J1" i="9" a="1"/>
  <c r="J1" i="9" s="1"/>
  <c r="T1" i="9" a="1"/>
  <c r="T1" i="9" s="1"/>
  <c r="W1" i="9" a="1"/>
  <c r="W1" i="9" s="1"/>
  <c r="R1" i="9" a="1"/>
  <c r="R1" i="9" s="1"/>
  <c r="A1" i="9" a="1"/>
  <c r="A1" i="9" s="1"/>
  <c r="E2" i="26" l="1" a="1"/>
  <c r="E2" i="26" s="1"/>
  <c r="I2" i="26" a="1"/>
  <c r="I2" i="26" s="1"/>
  <c r="M2" i="26" a="1"/>
  <c r="M2" i="26" s="1"/>
  <c r="Q2" i="26" a="1"/>
  <c r="Q2" i="26" s="1"/>
  <c r="U2" i="26" a="1"/>
  <c r="U2" i="26" s="1"/>
  <c r="B2" i="26" a="1"/>
  <c r="B2" i="26" s="1"/>
  <c r="F2" i="26" a="1"/>
  <c r="F2" i="26" s="1"/>
  <c r="J2" i="26" a="1"/>
  <c r="J2" i="26" s="1"/>
  <c r="N2" i="26" a="1"/>
  <c r="N2" i="26" s="1"/>
  <c r="R2" i="26" a="1"/>
  <c r="R2" i="26" s="1"/>
  <c r="V2" i="26" a="1"/>
  <c r="V2" i="26" s="1"/>
  <c r="C2" i="26" a="1"/>
  <c r="C2" i="26" s="1"/>
  <c r="G2" i="26" a="1"/>
  <c r="G2" i="26" s="1"/>
  <c r="K2" i="26" a="1"/>
  <c r="K2" i="26" s="1"/>
  <c r="O2" i="26" a="1"/>
  <c r="O2" i="26" s="1"/>
  <c r="S2" i="26" a="1"/>
  <c r="S2" i="26" s="1"/>
  <c r="W2" i="26" a="1"/>
  <c r="W2" i="26" s="1"/>
  <c r="D2" i="26" a="1"/>
  <c r="D2" i="26" s="1"/>
  <c r="H2" i="26" a="1"/>
  <c r="H2" i="26" s="1"/>
  <c r="L2" i="26" a="1"/>
  <c r="L2" i="26" s="1"/>
  <c r="P2" i="26" a="1"/>
  <c r="P2" i="26" s="1"/>
  <c r="T2" i="26" a="1"/>
  <c r="T2" i="26" s="1"/>
  <c r="X2" i="26" a="1"/>
  <c r="X2" i="26" s="1"/>
  <c r="A2" i="46" s="1" a="1"/>
  <c r="G2" i="27" a="1"/>
  <c r="G2" i="27" s="1"/>
  <c r="D2" i="27" a="1"/>
  <c r="D2" i="27" s="1"/>
  <c r="B2" i="27" a="1"/>
  <c r="B2" i="27" s="1"/>
  <c r="E2" i="27" a="1"/>
  <c r="E2" i="27" s="1"/>
  <c r="F2" i="27" a="1"/>
  <c r="F2" i="27" s="1"/>
  <c r="E2" i="28" a="1"/>
  <c r="E2" i="28" s="1"/>
  <c r="F2" i="28" a="1"/>
  <c r="F2" i="28" s="1"/>
  <c r="C2" i="28" a="1"/>
  <c r="C2" i="28" s="1"/>
  <c r="G2" i="28" a="1"/>
  <c r="G2" i="28" s="1"/>
  <c r="D2" i="28" a="1"/>
  <c r="D2" i="28" s="1"/>
  <c r="B2" i="28" a="1"/>
  <c r="B2" i="28" s="1"/>
  <c r="B2" i="29" s="1" a="1"/>
  <c r="B2" i="29" s="1"/>
  <c r="B2" i="30" s="1" a="1"/>
  <c r="B2" i="30" s="1"/>
  <c r="G2" i="29" a="1"/>
  <c r="G2" i="29" s="1"/>
  <c r="C2" i="27" l="1" a="1"/>
  <c r="C2" i="27" s="1"/>
  <c r="C2" i="29" s="1" a="1"/>
  <c r="C2" i="29" s="1"/>
  <c r="A2" i="46"/>
  <c r="E2" i="47" a="1"/>
  <c r="E2" i="47" s="1"/>
  <c r="B2" i="47" a="1"/>
  <c r="B2" i="47" s="1"/>
  <c r="D2" i="47" a="1"/>
  <c r="D2" i="47" s="1"/>
  <c r="C2" i="47" a="1"/>
  <c r="C2" i="47" s="1"/>
  <c r="F2" i="47" a="1"/>
  <c r="F2" i="47" s="1"/>
  <c r="A2" i="47" a="1"/>
  <c r="A2" i="47" s="1"/>
  <c r="B2" i="31" a="1"/>
  <c r="B2" i="31" s="1"/>
  <c r="G2" i="31" a="1"/>
  <c r="G2" i="31" s="1"/>
  <c r="G2" i="30" a="1"/>
  <c r="G2" i="30" s="1"/>
  <c r="C2" i="31" l="1" a="1"/>
  <c r="C2" i="31" s="1"/>
  <c r="C2" i="30" a="1"/>
  <c r="C2" i="30" s="1"/>
  <c r="E2" i="29" a="1"/>
  <c r="E2" i="29" s="1"/>
  <c r="D2" i="29" a="1"/>
  <c r="D2" i="29" s="1"/>
  <c r="D2" i="30" l="1" a="1"/>
  <c r="D2" i="30" s="1"/>
  <c r="D2" i="31" a="1"/>
  <c r="D2" i="31" s="1"/>
  <c r="E2" i="30" a="1"/>
  <c r="E2" i="30" s="1"/>
  <c r="E2" i="31" a="1"/>
  <c r="E2" i="31" s="1"/>
  <c r="F2" i="29" l="1" a="1"/>
  <c r="F2" i="29" s="1"/>
  <c r="F2" i="30" l="1" a="1"/>
  <c r="F2" i="30" s="1"/>
  <c r="F2" i="31" a="1"/>
  <c r="F2" i="31" s="1"/>
  <c r="A1" i="42" l="1" a="1"/>
  <c r="A1" i="42" s="1"/>
  <c r="H1" i="35" a="1"/>
  <c r="H1" i="35" s="1"/>
  <c r="A1" i="36" a="1"/>
  <c r="A1" i="36" s="1"/>
  <c r="A1" i="41" a="1"/>
  <c r="A1" i="41" s="1"/>
  <c r="M1" i="35" a="1"/>
  <c r="M1" i="35" s="1"/>
  <c r="G1" i="35" a="1"/>
  <c r="G1" i="35" s="1"/>
  <c r="F1" i="35" a="1"/>
  <c r="F1" i="35" s="1"/>
  <c r="N1" i="35" a="1"/>
  <c r="N1" i="35" s="1"/>
  <c r="L1" i="35" a="1"/>
  <c r="L1" i="35" s="1"/>
  <c r="A1" i="35" a="1"/>
  <c r="A1" i="35" s="1"/>
  <c r="I1" i="35" a="1"/>
  <c r="I1" i="35" s="1"/>
  <c r="Q1" i="35" a="1"/>
  <c r="Q1" i="35" s="1"/>
  <c r="B1" i="35" a="1"/>
  <c r="B1" i="35" s="1"/>
  <c r="P1" i="35" a="1"/>
  <c r="P1" i="35" s="1"/>
  <c r="A1" i="40" a="1"/>
  <c r="A1" i="40" s="1"/>
  <c r="O1" i="35" a="1"/>
  <c r="O1" i="35" s="1"/>
  <c r="K1" i="35" a="1"/>
  <c r="K1" i="35" s="1"/>
  <c r="C1" i="35" a="1"/>
  <c r="C1" i="35" s="1"/>
  <c r="D1" i="35" a="1"/>
  <c r="D1" i="35" s="1"/>
  <c r="J1" i="35" a="1"/>
  <c r="J1" i="35" s="1"/>
  <c r="E1" i="35" a="1"/>
  <c r="E1" i="35" s="1"/>
  <c r="A1" i="39" a="1"/>
  <c r="A1" i="39" s="1"/>
  <c r="A1" i="43" a="1"/>
  <c r="A1" i="43" s="1"/>
  <c r="J1" i="8" a="1"/>
  <c r="J1" i="8" s="1"/>
  <c r="Q1" i="8" a="1"/>
  <c r="Q1" i="8" s="1"/>
  <c r="A1" i="8" a="1"/>
  <c r="A1" i="8" s="1"/>
  <c r="M1" i="8" a="1"/>
  <c r="M1" i="8" s="1"/>
  <c r="A1" i="20" a="1"/>
  <c r="A1" i="20" s="1"/>
  <c r="G1" i="8" a="1"/>
  <c r="G1" i="8" s="1"/>
  <c r="C1" i="8" a="1"/>
  <c r="C1" i="8" s="1"/>
  <c r="K1" i="8" a="1"/>
  <c r="K1" i="8" s="1"/>
  <c r="H1" i="8" a="1"/>
  <c r="H1" i="8" s="1"/>
  <c r="L1" i="8" a="1"/>
  <c r="L1" i="8" s="1"/>
  <c r="E1" i="8" a="1"/>
  <c r="E1" i="8" s="1"/>
  <c r="P1" i="8" a="1"/>
  <c r="P1" i="8" s="1"/>
  <c r="F1" i="8" a="1"/>
  <c r="F1" i="8" s="1"/>
  <c r="D1" i="8" a="1"/>
  <c r="D1" i="8" s="1"/>
  <c r="A1" i="23" a="1"/>
  <c r="A1" i="23" s="1"/>
  <c r="O1" i="8" a="1"/>
  <c r="O1" i="8" s="1"/>
  <c r="A1" i="21" a="1"/>
  <c r="A1" i="21" s="1"/>
  <c r="A1" i="22" a="1"/>
  <c r="A1" i="22" s="1"/>
  <c r="N1" i="8" a="1"/>
  <c r="N1" i="8" s="1"/>
  <c r="B1" i="8" a="1"/>
  <c r="B1" i="8" s="1"/>
  <c r="I1" i="8" a="1"/>
  <c r="I1" i="8" s="1"/>
  <c r="A1" i="24" a="1"/>
  <c r="A1" i="24" s="1"/>
  <c r="A1" i="11" a="1"/>
  <c r="A1" i="11" s="1"/>
  <c r="T2" i="36" l="1" a="1"/>
  <c r="T2" i="36" s="1"/>
  <c r="A2" i="50" s="1" a="1"/>
  <c r="A2" i="50" s="1"/>
  <c r="R2" i="36" a="1"/>
  <c r="R2" i="36" s="1"/>
  <c r="U2" i="36" a="1"/>
  <c r="U2" i="36" s="1"/>
  <c r="S2" i="36" a="1"/>
  <c r="S2" i="36" s="1"/>
  <c r="R2" i="11" a="1"/>
  <c r="R2" i="11" s="1"/>
  <c r="S2" i="11" a="1"/>
  <c r="S2" i="11" s="1"/>
  <c r="T2" i="11" a="1"/>
  <c r="T2" i="11" s="1"/>
  <c r="U2" i="11" a="1"/>
  <c r="U2" i="11" s="1"/>
  <c r="C2" i="21" s="1" a="1"/>
  <c r="C2" i="21" s="1"/>
  <c r="P2" i="36" a="1"/>
  <c r="P2" i="36" s="1"/>
  <c r="E2" i="36" a="1"/>
  <c r="E2" i="36" s="1"/>
  <c r="B2" i="36" a="1"/>
  <c r="B2" i="36" s="1"/>
  <c r="O2" i="36" a="1"/>
  <c r="O2" i="36" s="1"/>
  <c r="J2" i="36" a="1"/>
  <c r="J2" i="36" s="1"/>
  <c r="D2" i="36" a="1"/>
  <c r="D2" i="36" s="1"/>
  <c r="N2" i="36" a="1"/>
  <c r="N2" i="36" s="1"/>
  <c r="Q2" i="36" a="1"/>
  <c r="Q2" i="36" s="1"/>
  <c r="C2" i="39" s="1" a="1"/>
  <c r="C2" i="39" s="1"/>
  <c r="F2" i="36" a="1"/>
  <c r="F2" i="36" s="1"/>
  <c r="L2" i="36" a="1"/>
  <c r="L2" i="36" s="1"/>
  <c r="M2" i="36" a="1"/>
  <c r="M2" i="36" s="1"/>
  <c r="B2" i="11" a="1"/>
  <c r="B2" i="11" s="1"/>
  <c r="F2" i="11" a="1"/>
  <c r="F2" i="11" s="1"/>
  <c r="I2" i="11" a="1"/>
  <c r="I2" i="11" s="1"/>
  <c r="H2" i="36" a="1"/>
  <c r="H2" i="36" s="1"/>
  <c r="I2" i="36" a="1"/>
  <c r="I2" i="36" s="1"/>
  <c r="G2" i="36" a="1"/>
  <c r="G2" i="36" s="1"/>
  <c r="K2" i="36" a="1"/>
  <c r="K2" i="36" s="1"/>
  <c r="C2" i="36" a="1"/>
  <c r="C2" i="36" s="1"/>
  <c r="J2" i="11" a="1"/>
  <c r="J2" i="11" s="1"/>
  <c r="C2" i="11" a="1"/>
  <c r="C2" i="11" s="1"/>
  <c r="G2" i="11" a="1"/>
  <c r="G2" i="11" s="1"/>
  <c r="N2" i="11" a="1"/>
  <c r="N2" i="11" s="1"/>
  <c r="L2" i="11" a="1"/>
  <c r="L2" i="11" s="1"/>
  <c r="P2" i="11" a="1"/>
  <c r="P2" i="11" s="1"/>
  <c r="M2" i="11" a="1"/>
  <c r="M2" i="11" s="1"/>
  <c r="Q2" i="11" a="1"/>
  <c r="Q2" i="11" s="1"/>
  <c r="H2" i="11" a="1"/>
  <c r="H2" i="11" s="1"/>
  <c r="E2" i="11" a="1"/>
  <c r="E2" i="11" s="1"/>
  <c r="O2" i="11" a="1"/>
  <c r="O2" i="11" s="1"/>
  <c r="D2" i="11" a="1"/>
  <c r="D2" i="11" s="1"/>
  <c r="K2" i="11" a="1"/>
  <c r="K2" i="11" s="1"/>
  <c r="B2" i="20" l="1" a="1"/>
  <c r="B2" i="20" s="1"/>
  <c r="F2" i="20" a="1"/>
  <c r="F2" i="20" s="1"/>
  <c r="B2" i="21" a="1"/>
  <c r="B2" i="21" s="1"/>
  <c r="A2" i="48" a="1"/>
  <c r="D2" i="20" a="1"/>
  <c r="D2" i="20" s="1"/>
  <c r="E2" i="20" a="1"/>
  <c r="E2" i="20" s="1"/>
  <c r="D2" i="21" a="1"/>
  <c r="D2" i="21" s="1"/>
  <c r="B2" i="39" a="1"/>
  <c r="B2" i="39" s="1"/>
  <c r="G2" i="20" a="1"/>
  <c r="G2" i="20" s="1"/>
  <c r="F2" i="21" a="1"/>
  <c r="F2" i="21" s="1"/>
  <c r="G2" i="21" a="1"/>
  <c r="G2" i="21" s="1"/>
  <c r="C2" i="20" a="1"/>
  <c r="C2" i="20" s="1"/>
  <c r="E2" i="21" a="1"/>
  <c r="E2" i="21" s="1"/>
  <c r="C2" i="40" a="1"/>
  <c r="C2" i="40" s="1"/>
  <c r="A2" i="48" l="1"/>
  <c r="D2" i="49" a="1"/>
  <c r="D2" i="49" s="1"/>
  <c r="C2" i="49" a="1"/>
  <c r="C2" i="49" s="1"/>
  <c r="B2" i="49" a="1"/>
  <c r="B2" i="49" s="1"/>
  <c r="F2" i="49" a="1"/>
  <c r="F2" i="49" s="1"/>
  <c r="E2" i="49" a="1"/>
  <c r="E2" i="49" s="1"/>
  <c r="A2" i="49" a="1"/>
  <c r="A2" i="49" s="1"/>
  <c r="C2" i="41" a="1"/>
  <c r="C2" i="41" s="1"/>
  <c r="B2" i="22" a="1"/>
  <c r="B2" i="22" s="1"/>
  <c r="C2" i="22" a="1"/>
  <c r="C2" i="22" s="1"/>
  <c r="D2" i="40" a="1"/>
  <c r="D2" i="40" s="1"/>
  <c r="D2" i="39" a="1"/>
  <c r="D2" i="39" s="1"/>
  <c r="E2" i="40" a="1"/>
  <c r="E2" i="40" s="1"/>
  <c r="E2" i="39" a="1"/>
  <c r="E2" i="39" s="1"/>
  <c r="G2" i="39" a="1"/>
  <c r="G2" i="39" s="1"/>
  <c r="F2" i="39" a="1"/>
  <c r="F2" i="39" s="1"/>
  <c r="C2" i="23" l="1" a="1"/>
  <c r="C2" i="23" s="1"/>
  <c r="C2" i="43" a="1"/>
  <c r="C2" i="43" s="1"/>
  <c r="C2" i="42" a="1"/>
  <c r="C2" i="42" s="1"/>
  <c r="B2" i="23" a="1"/>
  <c r="B2" i="23" s="1"/>
  <c r="B2" i="24" a="1"/>
  <c r="B2" i="24" s="1"/>
  <c r="C2" i="24" a="1"/>
  <c r="C2" i="24" s="1"/>
  <c r="D2" i="41" a="1"/>
  <c r="D2" i="41" s="1"/>
  <c r="E2" i="41" a="1"/>
  <c r="E2" i="41" s="1"/>
  <c r="F2" i="40" a="1"/>
  <c r="F2" i="40" s="1"/>
  <c r="G2" i="40" a="1"/>
  <c r="G2" i="40" s="1"/>
  <c r="B2" i="40" a="1"/>
  <c r="B2" i="40" s="1"/>
  <c r="D2" i="42" l="1" a="1"/>
  <c r="D2" i="42" s="1"/>
  <c r="B2" i="41" a="1"/>
  <c r="B2" i="41" s="1"/>
  <c r="G2" i="41" a="1"/>
  <c r="G2" i="41" s="1"/>
  <c r="F2" i="41" a="1"/>
  <c r="F2" i="41" s="1"/>
  <c r="D2" i="43" a="1"/>
  <c r="D2" i="43" s="1"/>
  <c r="E2" i="43" a="1"/>
  <c r="E2" i="43" s="1"/>
  <c r="E2" i="42" a="1"/>
  <c r="E2" i="42" s="1"/>
  <c r="G2" i="42" l="1" a="1"/>
  <c r="G2" i="42" s="1"/>
  <c r="G2" i="43" a="1"/>
  <c r="G2" i="43" s="1"/>
  <c r="F2" i="42" a="1"/>
  <c r="F2" i="42" s="1"/>
  <c r="F2" i="43" a="1"/>
  <c r="F2" i="43" s="1"/>
  <c r="B2" i="43" a="1"/>
  <c r="B2" i="43" s="1"/>
  <c r="B2" i="42" a="1"/>
  <c r="B2" i="42" s="1"/>
  <c r="G2" i="22" l="1" a="1"/>
  <c r="G2" i="22" s="1"/>
  <c r="G2" i="23" l="1" a="1"/>
  <c r="G2" i="23" s="1"/>
  <c r="G2" i="24" a="1"/>
  <c r="G2" i="24" s="1"/>
  <c r="D2" i="22" l="1" a="1"/>
  <c r="D2" i="22" s="1"/>
  <c r="D2" i="24" l="1" a="1"/>
  <c r="D2" i="24" s="1"/>
  <c r="D2" i="23" a="1"/>
  <c r="D2" i="23" s="1"/>
  <c r="F2" i="22" l="1" a="1"/>
  <c r="F2" i="22" s="1"/>
  <c r="F2" i="23" l="1" a="1"/>
  <c r="F2" i="23" s="1"/>
  <c r="F2" i="24" a="1"/>
  <c r="F2" i="24" s="1"/>
  <c r="E2" i="22" l="1" a="1"/>
  <c r="E2" i="22" s="1"/>
  <c r="E2" i="23" l="1" a="1"/>
  <c r="E2" i="23" s="1"/>
  <c r="E2" i="24" a="1"/>
  <c r="E2" i="24" s="1"/>
  <c r="A1" i="2" l="1" a="1"/>
  <c r="A1" i="2" l="1"/>
  <c r="R1" i="7" a="1"/>
  <c r="R1" i="7" s="1"/>
  <c r="S1" i="7" a="1"/>
  <c r="S1" i="7" s="1"/>
  <c r="U1" i="7" a="1"/>
  <c r="U1" i="7" s="1"/>
  <c r="T1" i="7" a="1"/>
  <c r="T1" i="7" s="1"/>
  <c r="Q1" i="7" a="1"/>
  <c r="Q1" i="7" s="1"/>
  <c r="A1" i="15" a="1"/>
  <c r="A1" i="15" s="1"/>
  <c r="I1" i="7" a="1"/>
  <c r="I1" i="7" s="1"/>
  <c r="L1" i="7" a="1"/>
  <c r="L1" i="7" s="1"/>
  <c r="N1" i="7" a="1"/>
  <c r="N1" i="7" s="1"/>
  <c r="C1" i="7" a="1"/>
  <c r="C1" i="7" s="1"/>
  <c r="P1" i="7" a="1"/>
  <c r="P1" i="7" s="1"/>
  <c r="A1" i="14" a="1"/>
  <c r="A1" i="14" s="1"/>
  <c r="D1" i="7" a="1"/>
  <c r="D1" i="7" s="1"/>
  <c r="G1" i="7" a="1"/>
  <c r="G1" i="7" s="1"/>
  <c r="A1" i="7" a="1"/>
  <c r="A1" i="7" s="1"/>
  <c r="E1" i="7" a="1"/>
  <c r="E1" i="7" s="1"/>
  <c r="F1" i="7" a="1"/>
  <c r="F1" i="7" s="1"/>
  <c r="O1" i="7" a="1"/>
  <c r="O1" i="7" s="1"/>
  <c r="J1" i="7" a="1"/>
  <c r="J1" i="7" s="1"/>
  <c r="B1" i="7" a="1"/>
  <c r="B1" i="7" s="1"/>
  <c r="A1" i="13" a="1"/>
  <c r="A1" i="13" s="1"/>
  <c r="K1" i="7" a="1"/>
  <c r="K1" i="7" s="1"/>
  <c r="A1" i="16" a="1"/>
  <c r="A1" i="16" s="1"/>
  <c r="H1" i="7" a="1"/>
  <c r="H1" i="7" s="1"/>
  <c r="M1" i="7" a="1"/>
  <c r="M1" i="7" s="1"/>
  <c r="A1" i="17" a="1"/>
  <c r="A1" i="17" s="1"/>
  <c r="A1" i="10" a="1"/>
  <c r="A1" i="10" s="1"/>
  <c r="S2" i="10" l="1" a="1"/>
  <c r="S2" i="10" s="1"/>
  <c r="U2" i="10" a="1"/>
  <c r="U2" i="10" s="1"/>
  <c r="K2" i="10" a="1"/>
  <c r="K2" i="10" s="1"/>
  <c r="N2" i="10" a="1"/>
  <c r="N2" i="10" s="1"/>
  <c r="J2" i="10" a="1"/>
  <c r="J2" i="10" s="1"/>
  <c r="E2" i="10" a="1"/>
  <c r="E2" i="10" s="1"/>
  <c r="F2" i="10" a="1"/>
  <c r="F2" i="10" s="1"/>
  <c r="Q2" i="10" a="1"/>
  <c r="Q2" i="10" s="1"/>
  <c r="M2" i="10" a="1"/>
  <c r="M2" i="10" s="1"/>
  <c r="D2" i="10" a="1"/>
  <c r="D2" i="10" s="1"/>
  <c r="T2" i="10" a="1"/>
  <c r="T2" i="10" s="1"/>
  <c r="R2" i="10" a="1"/>
  <c r="R2" i="10" s="1"/>
  <c r="C2" i="10" a="1"/>
  <c r="C2" i="10" s="1"/>
  <c r="O2" i="10" a="1"/>
  <c r="O2" i="10" s="1"/>
  <c r="H2" i="10" a="1"/>
  <c r="H2" i="10" s="1"/>
  <c r="P2" i="10" a="1"/>
  <c r="P2" i="10" s="1"/>
  <c r="G2" i="10" a="1"/>
  <c r="G2" i="10" s="1"/>
  <c r="L2" i="10" a="1"/>
  <c r="L2" i="10" s="1"/>
  <c r="I2" i="10" a="1"/>
  <c r="I2" i="10" s="1"/>
  <c r="B2" i="10" a="1"/>
  <c r="B2" i="10" s="1"/>
  <c r="F2" i="13" l="1" a="1"/>
  <c r="F2" i="13" s="1"/>
  <c r="F2" i="14" a="1"/>
  <c r="F2" i="14" s="1"/>
  <c r="B2" i="13" a="1"/>
  <c r="B2" i="13" s="1"/>
  <c r="A2" i="44" a="1"/>
  <c r="E2" i="14" a="1"/>
  <c r="E2" i="14" s="1"/>
  <c r="G2" i="13" a="1"/>
  <c r="G2" i="13" s="1"/>
  <c r="D2" i="13" a="1"/>
  <c r="D2" i="13" s="1"/>
  <c r="B2" i="14" a="1"/>
  <c r="B2" i="14" s="1"/>
  <c r="G2" i="14" a="1"/>
  <c r="G2" i="14" s="1"/>
  <c r="C2" i="13" a="1"/>
  <c r="C2" i="13" s="1"/>
  <c r="E2" i="13" a="1"/>
  <c r="E2" i="13" s="1"/>
  <c r="D2" i="14" a="1"/>
  <c r="D2" i="14" s="1"/>
  <c r="F2" i="15" a="1"/>
  <c r="F2" i="15" s="1"/>
  <c r="A2" i="44" l="1"/>
  <c r="B2" i="45" a="1"/>
  <c r="B2" i="45" s="1"/>
  <c r="F2" i="45" a="1"/>
  <c r="F2" i="45" s="1"/>
  <c r="D2" i="45" a="1"/>
  <c r="D2" i="45" s="1"/>
  <c r="E2" i="45" a="1"/>
  <c r="E2" i="45" s="1"/>
  <c r="C2" i="45" a="1"/>
  <c r="C2" i="45" s="1"/>
  <c r="A2" i="45" a="1"/>
  <c r="A2" i="45" s="1"/>
  <c r="D2" i="15" a="1"/>
  <c r="D2" i="15" s="1"/>
  <c r="G2" i="15" a="1"/>
  <c r="G2" i="15" s="1"/>
  <c r="F2" i="17" a="1"/>
  <c r="F2" i="17" s="1"/>
  <c r="F2" i="16" a="1"/>
  <c r="F2" i="16" s="1"/>
  <c r="D2" i="16" l="1" a="1"/>
  <c r="D2" i="16" s="1"/>
  <c r="D2" i="17" a="1"/>
  <c r="D2" i="17" s="1"/>
  <c r="G2" i="16" a="1"/>
  <c r="G2" i="16" s="1"/>
  <c r="G2" i="17" a="1"/>
  <c r="G2" i="17" s="1"/>
  <c r="E2" i="15" a="1"/>
  <c r="E2" i="15" s="1"/>
  <c r="B2" i="15" l="1" a="1"/>
  <c r="B2" i="15" s="1"/>
  <c r="E2" i="16" a="1"/>
  <c r="E2" i="16" s="1"/>
  <c r="E2" i="17" a="1"/>
  <c r="E2" i="17" s="1"/>
  <c r="B2" i="17" l="1" a="1"/>
  <c r="B2" i="17" s="1"/>
  <c r="B2" i="16" a="1"/>
  <c r="B2" i="16" s="1"/>
  <c r="C2" i="61" a="1"/>
  <c r="C2" i="61" s="1"/>
  <c r="C2" i="63" l="1" a="1"/>
  <c r="C2" i="63" s="1"/>
  <c r="B2" i="61" a="1"/>
  <c r="B2" i="61" s="1"/>
  <c r="E2" i="62" l="1" a="1"/>
  <c r="E2" i="62" s="1"/>
  <c r="D2" i="62" a="1"/>
  <c r="D2" i="62" s="1"/>
  <c r="F2" i="62" a="1"/>
  <c r="F2" i="62" s="1"/>
  <c r="B2" i="62" a="1"/>
  <c r="B2" i="62" s="1"/>
  <c r="G2" i="62" a="1"/>
  <c r="G2" i="62" s="1"/>
  <c r="C2" i="62" a="1"/>
  <c r="C2" i="62" s="1"/>
  <c r="B2" i="63" a="1"/>
  <c r="B2" i="63" s="1"/>
  <c r="C2" i="14" l="1" a="1"/>
  <c r="C2" i="14" s="1"/>
  <c r="C2" i="15" l="1" a="1"/>
  <c r="C2" i="15" s="1"/>
  <c r="C2" i="17" l="1" a="1"/>
  <c r="C2" i="17" s="1"/>
  <c r="C2" i="16" a="1"/>
  <c r="C2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<sst xmlns="http://schemas.openxmlformats.org/spreadsheetml/2006/main" count="42" uniqueCount="23">
  <si>
    <t>SUM(IFERROR(XLOOKUP(IF(XLOOKUP(B$1,'ST1 Questions'!$C$1:$H$1,'ST1 Questions'!$C$2:$H$17)=TRUE,TRANSPOSE(XLOOKUP($A2,'ST1 Question Map'!$A$2:INDEX('ST1 Question Map'!$A:$A,COUNTA('ST1 Question Map'!$A:$A)),'ST1 Question Map'!$B$2:$Q$98))),'ST1 Questions'!$A$2:$A$17,'ST1 Questions'!$B$2:$B$17),0))</t>
  </si>
  <si>
    <t>SUM(IFERROR(XLOOKUP(IF(XLOOKUP(B$1,'ST1 Questions'!$C$1:$H$1,'ST1 Questions'!$C$2:$H$17)=TRUE,TRANSPOSE(XLOOKUP($A2,'ST1 Question Map'!$A$2:INDEX('ST1 Question Map'!$A:$A,COUNTA('ST1 Question Map'!$A:$A)),'ST1 Question Map'!$B$2:INDEX('ST1 Question Map'!$Q:$Q,COUNTA('ST1 Question Map'!$Q:$Q))))),'ST1 Questions'!$A$2:$A$17,'ST1 Questions'!$B$2:$B$17),0))</t>
  </si>
  <si>
    <t>Q_Id</t>
  </si>
  <si>
    <t>Max Marks</t>
  </si>
  <si>
    <t>CO1</t>
  </si>
  <si>
    <t>CO2</t>
  </si>
  <si>
    <t>CO3</t>
  </si>
  <si>
    <t>CO4</t>
  </si>
  <si>
    <t>CO5</t>
  </si>
  <si>
    <t>CO6</t>
  </si>
  <si>
    <t>Sr.no</t>
  </si>
  <si>
    <t>Admission No. (Roll No.)</t>
  </si>
  <si>
    <t>Name of Student</t>
  </si>
  <si>
    <t>Division(Section)</t>
  </si>
  <si>
    <t>Course Code</t>
  </si>
  <si>
    <t>Course Name</t>
  </si>
  <si>
    <t>Lecture Type (Theory/Practical)</t>
  </si>
  <si>
    <t>Program Name</t>
  </si>
  <si>
    <t>Department Name</t>
  </si>
  <si>
    <t>Class Name (Batch)</t>
  </si>
  <si>
    <t>Semester Name</t>
  </si>
  <si>
    <t>Exam Name (ETE/ST/FA)</t>
  </si>
  <si>
    <t>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</si>
</sst>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4878E2-A43C-4813-BF2A-0C54A5EB8C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CE%20Showcase\Teacher%20Input%20sheet.xlsx" TargetMode="External"/><Relationship Id="rId1" Type="http://schemas.openxmlformats.org/officeDocument/2006/relationships/externalLinkPath" Target="Teacher%20Inpu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E Details"/>
      <sheetName val="ST1 Question Map"/>
      <sheetName val="ST1 Result"/>
      <sheetName val="ST2 Question Map"/>
      <sheetName val="ST2 Result"/>
      <sheetName val="ST3 Question Map"/>
      <sheetName val="ST3 Result"/>
      <sheetName val="ETE Question Map"/>
      <sheetName val="ETE Result"/>
    </sheetNames>
    <sheetDataSet>
      <sheetData sheetId="0">
        <row r="1">
          <cell r="A1" t="str">
            <v>CO Score</v>
          </cell>
          <cell r="B1" t="str">
            <v>Percentage of Co attained</v>
          </cell>
        </row>
        <row r="2">
          <cell r="A2" t="str">
            <v>Attained 3</v>
          </cell>
          <cell r="B2">
            <v>60</v>
          </cell>
        </row>
        <row r="3">
          <cell r="A3" t="str">
            <v>Attained 2</v>
          </cell>
          <cell r="B3">
            <v>60</v>
          </cell>
        </row>
        <row r="4">
          <cell r="A4" t="str">
            <v>Attained 1</v>
          </cell>
          <cell r="B4">
            <v>60</v>
          </cell>
        </row>
        <row r="5">
          <cell r="A5" t="str">
            <v>Threshold</v>
          </cell>
          <cell r="B5">
            <v>60</v>
          </cell>
        </row>
        <row r="8">
          <cell r="A8" t="str">
            <v>Types</v>
          </cell>
          <cell r="B8" t="str">
            <v>Weightages</v>
          </cell>
        </row>
        <row r="9">
          <cell r="A9" t="str">
            <v>Internal (Avg of ST1,ST2,ST3)</v>
          </cell>
          <cell r="B9">
            <v>0.4</v>
          </cell>
        </row>
        <row r="10">
          <cell r="A10" t="str">
            <v>External(ETE)</v>
          </cell>
          <cell r="B10">
            <v>0.6</v>
          </cell>
        </row>
        <row r="12">
          <cell r="A12" t="str">
            <v>CO Score</v>
          </cell>
          <cell r="B12" t="str">
            <v>Perecntage of students attaining Target</v>
          </cell>
        </row>
        <row r="13">
          <cell r="A13">
            <v>3</v>
          </cell>
          <cell r="B13">
            <v>0.8</v>
          </cell>
        </row>
        <row r="14">
          <cell r="A14">
            <v>2</v>
          </cell>
          <cell r="B14">
            <v>0.7</v>
          </cell>
        </row>
        <row r="15">
          <cell r="A15">
            <v>1</v>
          </cell>
          <cell r="B15">
            <v>0.6</v>
          </cell>
        </row>
      </sheetData>
      <sheetData sheetId="1">
        <row r="1">
          <cell r="A1" t="str">
            <v>Q_Id</v>
          </cell>
          <cell r="B1" t="str">
            <v>Max Marks</v>
          </cell>
          <cell r="C1" t="str">
            <v>CO1</v>
          </cell>
          <cell r="D1" t="str">
            <v>CO2</v>
          </cell>
          <cell r="E1" t="str">
            <v>CO3</v>
          </cell>
          <cell r="F1" t="str">
            <v>CO4</v>
          </cell>
          <cell r="G1" t="str">
            <v>CO5</v>
          </cell>
          <cell r="H1" t="str">
            <v>CO6</v>
          </cell>
        </row>
        <row r="2">
          <cell r="A2" t="str">
            <v>1a</v>
          </cell>
          <cell r="B2">
            <v>0</v>
          </cell>
          <cell r="C2" t="b">
            <v>0</v>
          </cell>
          <cell r="D2" t="b">
            <v>0</v>
          </cell>
          <cell r="E2" t="b">
            <v>0</v>
          </cell>
          <cell r="F2" t="b">
            <v>0</v>
          </cell>
          <cell r="G2" t="b">
            <v>0</v>
          </cell>
          <cell r="H2" t="b">
            <v>0</v>
          </cell>
        </row>
        <row r="3">
          <cell r="A3" t="str">
            <v>1b</v>
          </cell>
          <cell r="B3">
            <v>0</v>
          </cell>
          <cell r="C3" t="b">
            <v>0</v>
          </cell>
          <cell r="D3" t="b">
            <v>0</v>
          </cell>
          <cell r="E3" t="b">
            <v>0</v>
          </cell>
          <cell r="F3" t="b">
            <v>0</v>
          </cell>
          <cell r="G3" t="b">
            <v>0</v>
          </cell>
          <cell r="H3" t="b">
            <v>0</v>
          </cell>
        </row>
        <row r="4">
          <cell r="A4" t="str">
            <v>1c</v>
          </cell>
          <cell r="B4">
            <v>0</v>
          </cell>
          <cell r="C4" t="b">
            <v>0</v>
          </cell>
          <cell r="D4" t="b">
            <v>0</v>
          </cell>
          <cell r="E4" t="b">
            <v>0</v>
          </cell>
          <cell r="F4" t="b">
            <v>0</v>
          </cell>
          <cell r="G4" t="b">
            <v>0</v>
          </cell>
          <cell r="H4" t="b">
            <v>0</v>
          </cell>
        </row>
        <row r="5">
          <cell r="A5" t="str">
            <v>1d</v>
          </cell>
          <cell r="B5">
            <v>0</v>
          </cell>
          <cell r="C5" t="b">
            <v>0</v>
          </cell>
          <cell r="D5" t="b">
            <v>0</v>
          </cell>
          <cell r="E5" t="b">
            <v>0</v>
          </cell>
          <cell r="F5" t="b">
            <v>0</v>
          </cell>
          <cell r="G5" t="b">
            <v>0</v>
          </cell>
          <cell r="H5" t="b">
            <v>0</v>
          </cell>
        </row>
        <row r="6">
          <cell r="A6" t="str">
            <v>1e</v>
          </cell>
          <cell r="B6">
            <v>0</v>
          </cell>
          <cell r="C6" t="b">
            <v>0</v>
          </cell>
          <cell r="D6" t="b">
            <v>0</v>
          </cell>
          <cell r="E6" t="b">
            <v>0</v>
          </cell>
          <cell r="F6" t="b">
            <v>0</v>
          </cell>
          <cell r="G6" t="b">
            <v>0</v>
          </cell>
          <cell r="H6" t="b">
            <v>0</v>
          </cell>
        </row>
        <row r="7">
          <cell r="A7" t="str">
            <v>Q2</v>
          </cell>
          <cell r="B7">
            <v>2</v>
          </cell>
          <cell r="C7" t="b">
            <v>1</v>
          </cell>
          <cell r="D7" t="b">
            <v>0</v>
          </cell>
          <cell r="E7" t="b">
            <v>1</v>
          </cell>
          <cell r="F7" t="b">
            <v>0</v>
          </cell>
          <cell r="G7" t="b">
            <v>0</v>
          </cell>
          <cell r="H7" t="b">
            <v>0</v>
          </cell>
        </row>
        <row r="8">
          <cell r="A8" t="str">
            <v>Q3</v>
          </cell>
          <cell r="B8">
            <v>2</v>
          </cell>
          <cell r="C8" t="b">
            <v>1</v>
          </cell>
          <cell r="D8" t="b">
            <v>0</v>
          </cell>
          <cell r="E8" t="b">
            <v>0</v>
          </cell>
          <cell r="F8" t="b">
            <v>0</v>
          </cell>
          <cell r="G8" t="b">
            <v>0</v>
          </cell>
          <cell r="H8" t="b">
            <v>0</v>
          </cell>
        </row>
        <row r="9">
          <cell r="A9" t="str">
            <v>Q4</v>
          </cell>
          <cell r="B9">
            <v>2</v>
          </cell>
          <cell r="C9" t="b">
            <v>1</v>
          </cell>
          <cell r="D9" t="b">
            <v>1</v>
          </cell>
          <cell r="E9" t="b">
            <v>0</v>
          </cell>
          <cell r="F9" t="b">
            <v>1</v>
          </cell>
          <cell r="G9" t="b">
            <v>0</v>
          </cell>
          <cell r="H9" t="b">
            <v>0</v>
          </cell>
        </row>
        <row r="10">
          <cell r="A10" t="str">
            <v>Q5</v>
          </cell>
          <cell r="B10">
            <v>2</v>
          </cell>
          <cell r="C10" t="b">
            <v>1</v>
          </cell>
          <cell r="D10" t="b">
            <v>1</v>
          </cell>
          <cell r="E10" t="b">
            <v>0</v>
          </cell>
          <cell r="F10" t="b">
            <v>0</v>
          </cell>
          <cell r="G10" t="b">
            <v>1</v>
          </cell>
          <cell r="H10" t="b">
            <v>0</v>
          </cell>
        </row>
        <row r="11">
          <cell r="A11" t="str">
            <v>Q6</v>
          </cell>
          <cell r="B11">
            <v>2</v>
          </cell>
          <cell r="C11" t="b">
            <v>1</v>
          </cell>
          <cell r="D11" t="b">
            <v>1</v>
          </cell>
          <cell r="E11" t="b">
            <v>0</v>
          </cell>
          <cell r="F11" t="b">
            <v>0</v>
          </cell>
          <cell r="G11" t="b">
            <v>0</v>
          </cell>
          <cell r="H11" t="b">
            <v>0</v>
          </cell>
        </row>
        <row r="12">
          <cell r="A12" t="str">
            <v>Q7</v>
          </cell>
          <cell r="B12">
            <v>0</v>
          </cell>
          <cell r="C12" t="b">
            <v>0</v>
          </cell>
          <cell r="D12" t="b">
            <v>0</v>
          </cell>
          <cell r="E12" t="b">
            <v>0</v>
          </cell>
          <cell r="F12" t="b">
            <v>0</v>
          </cell>
          <cell r="G12" t="b">
            <v>0</v>
          </cell>
          <cell r="H12" t="b">
            <v>0</v>
          </cell>
        </row>
        <row r="13">
          <cell r="A13" t="str">
            <v>Q8</v>
          </cell>
          <cell r="B13">
            <v>5</v>
          </cell>
          <cell r="C13" t="b">
            <v>1</v>
          </cell>
          <cell r="D13" t="b">
            <v>1</v>
          </cell>
          <cell r="E13" t="b">
            <v>0</v>
          </cell>
          <cell r="F13" t="b">
            <v>0</v>
          </cell>
          <cell r="G13" t="b">
            <v>0</v>
          </cell>
          <cell r="H13" t="b">
            <v>0</v>
          </cell>
        </row>
        <row r="14">
          <cell r="A14" t="str">
            <v>Q9</v>
          </cell>
          <cell r="B14">
            <v>5</v>
          </cell>
          <cell r="C14" t="b">
            <v>1</v>
          </cell>
          <cell r="D14" t="b">
            <v>0</v>
          </cell>
          <cell r="E14" t="b">
            <v>1</v>
          </cell>
          <cell r="F14" t="b">
            <v>0</v>
          </cell>
          <cell r="G14" t="b">
            <v>0</v>
          </cell>
          <cell r="H14" t="b">
            <v>0</v>
          </cell>
        </row>
        <row r="15">
          <cell r="A15" t="str">
            <v>Q10</v>
          </cell>
          <cell r="B15">
            <v>5</v>
          </cell>
          <cell r="C15" t="b">
            <v>1</v>
          </cell>
          <cell r="D15" t="b">
            <v>1</v>
          </cell>
          <cell r="E15" t="b">
            <v>0</v>
          </cell>
          <cell r="F15" t="b">
            <v>1</v>
          </cell>
          <cell r="G15" t="b">
            <v>0</v>
          </cell>
          <cell r="H15" t="b">
            <v>0</v>
          </cell>
        </row>
        <row r="16">
          <cell r="A16" t="str">
            <v>Q11</v>
          </cell>
          <cell r="B16">
            <v>5</v>
          </cell>
          <cell r="C16" t="b">
            <v>1</v>
          </cell>
          <cell r="D16" t="b">
            <v>0</v>
          </cell>
          <cell r="E16" t="b">
            <v>0</v>
          </cell>
          <cell r="F16" t="b">
            <v>1</v>
          </cell>
          <cell r="G16" t="b">
            <v>0</v>
          </cell>
          <cell r="H16" t="b">
            <v>1</v>
          </cell>
        </row>
        <row r="17">
          <cell r="A17" t="str">
            <v>Q12</v>
          </cell>
          <cell r="B17">
            <v>0</v>
          </cell>
          <cell r="C17" t="b">
            <v>0</v>
          </cell>
          <cell r="D17" t="b">
            <v>0</v>
          </cell>
          <cell r="E17" t="b">
            <v>0</v>
          </cell>
          <cell r="F17" t="b">
            <v>0</v>
          </cell>
          <cell r="G17" t="b">
            <v>0</v>
          </cell>
          <cell r="H17" t="b">
            <v>0</v>
          </cell>
        </row>
        <row r="18">
          <cell r="A18" t="str">
            <v>Q13</v>
          </cell>
          <cell r="B18">
            <v>0</v>
          </cell>
          <cell r="C18" t="b">
            <v>0</v>
          </cell>
          <cell r="D18" t="b">
            <v>0</v>
          </cell>
          <cell r="E18" t="b">
            <v>0</v>
          </cell>
          <cell r="F18" t="b">
            <v>0</v>
          </cell>
          <cell r="G18" t="b">
            <v>0</v>
          </cell>
          <cell r="H18" t="b">
            <v>0</v>
          </cell>
        </row>
        <row r="19">
          <cell r="A19" t="str">
            <v>Q14</v>
          </cell>
          <cell r="B19">
            <v>10</v>
          </cell>
          <cell r="C19" t="b">
            <v>1</v>
          </cell>
          <cell r="D19" t="b">
            <v>1</v>
          </cell>
          <cell r="E19" t="b">
            <v>1</v>
          </cell>
          <cell r="F19" t="b">
            <v>1</v>
          </cell>
          <cell r="G19" t="b">
            <v>0</v>
          </cell>
          <cell r="H19" t="b">
            <v>1</v>
          </cell>
        </row>
        <row r="20">
          <cell r="A20" t="str">
            <v>Q15</v>
          </cell>
          <cell r="B20">
            <v>0</v>
          </cell>
          <cell r="C20" t="b">
            <v>0</v>
          </cell>
          <cell r="D20" t="b">
            <v>0</v>
          </cell>
          <cell r="E20" t="b">
            <v>0</v>
          </cell>
          <cell r="F20" t="b">
            <v>0</v>
          </cell>
          <cell r="G20" t="b">
            <v>0</v>
          </cell>
          <cell r="H20" t="b">
            <v>0</v>
          </cell>
        </row>
        <row r="21">
          <cell r="A21" t="str">
            <v>Q16</v>
          </cell>
          <cell r="B21">
            <v>0</v>
          </cell>
          <cell r="C21" t="b">
            <v>0</v>
          </cell>
          <cell r="D21" t="b">
            <v>0</v>
          </cell>
          <cell r="E21" t="b">
            <v>1</v>
          </cell>
          <cell r="F21" t="b">
            <v>0</v>
          </cell>
          <cell r="G21" t="b">
            <v>0</v>
          </cell>
          <cell r="H21" t="b">
            <v>1</v>
          </cell>
        </row>
        <row r="22">
          <cell r="A22" t="str">
            <v>Assignment</v>
          </cell>
          <cell r="B22">
            <v>10</v>
          </cell>
          <cell r="C22" t="b">
            <v>1</v>
          </cell>
          <cell r="D22" t="b">
            <v>1</v>
          </cell>
          <cell r="E22" t="b">
            <v>0</v>
          </cell>
          <cell r="F22" t="b">
            <v>0</v>
          </cell>
          <cell r="G22" t="b">
            <v>0</v>
          </cell>
          <cell r="H22" t="b">
            <v>0</v>
          </cell>
        </row>
        <row r="23">
          <cell r="A23" t="str">
            <v>FA1</v>
          </cell>
          <cell r="B23">
            <v>0</v>
          </cell>
          <cell r="C23" t="b">
            <v>0</v>
          </cell>
          <cell r="D23" t="b">
            <v>0</v>
          </cell>
          <cell r="E23" t="b">
            <v>1</v>
          </cell>
          <cell r="F23" t="b">
            <v>1</v>
          </cell>
          <cell r="G23" t="b">
            <v>0</v>
          </cell>
          <cell r="H23" t="b">
            <v>0</v>
          </cell>
        </row>
        <row r="24">
          <cell r="A24" t="str">
            <v>FA2</v>
          </cell>
          <cell r="B24">
            <v>0</v>
          </cell>
          <cell r="C24" t="b">
            <v>1</v>
          </cell>
          <cell r="D24" t="b">
            <v>0</v>
          </cell>
          <cell r="E24" t="b">
            <v>0</v>
          </cell>
          <cell r="F24" t="b">
            <v>0</v>
          </cell>
          <cell r="G24" t="b">
            <v>0</v>
          </cell>
          <cell r="H24" t="b">
            <v>1</v>
          </cell>
        </row>
      </sheetData>
      <sheetData sheetId="2">
        <row r="1">
          <cell r="A1" t="str">
            <v>Sr.no</v>
          </cell>
          <cell r="B1" t="str">
            <v>Admission No. (Roll No.)</v>
          </cell>
          <cell r="C1" t="str">
            <v>Name of Student</v>
          </cell>
          <cell r="D1" t="str">
            <v>Division(Section)</v>
          </cell>
          <cell r="E1" t="str">
            <v>Course Code</v>
          </cell>
          <cell r="F1" t="str">
            <v>Course Name</v>
          </cell>
          <cell r="G1" t="str">
            <v>Lecture Type (Theory/Practical)</v>
          </cell>
          <cell r="H1" t="str">
            <v>Program Name</v>
          </cell>
          <cell r="I1" t="str">
            <v>Department Name</v>
          </cell>
          <cell r="J1" t="str">
            <v>Class Name (Batch)</v>
          </cell>
          <cell r="K1" t="str">
            <v>Semester Name</v>
          </cell>
          <cell r="L1" t="str">
            <v>Exam Name (ETE/ST/FA)</v>
          </cell>
          <cell r="M1" t="str">
            <v>1a</v>
          </cell>
          <cell r="N1" t="str">
            <v>1b</v>
          </cell>
          <cell r="O1" t="str">
            <v>1c</v>
          </cell>
          <cell r="P1" t="str">
            <v>1d</v>
          </cell>
          <cell r="Q1" t="str">
            <v>1e</v>
          </cell>
          <cell r="R1" t="str">
            <v>Q2</v>
          </cell>
          <cell r="S1" t="str">
            <v>Q3</v>
          </cell>
          <cell r="T1" t="str">
            <v>Q4</v>
          </cell>
          <cell r="U1" t="str">
            <v>Q5</v>
          </cell>
          <cell r="V1" t="str">
            <v>Q6</v>
          </cell>
          <cell r="W1" t="str">
            <v>Q7</v>
          </cell>
          <cell r="X1" t="str">
            <v>Q8</v>
          </cell>
          <cell r="Y1" t="str">
            <v>Q9</v>
          </cell>
          <cell r="Z1" t="str">
            <v>Q10</v>
          </cell>
          <cell r="AA1" t="str">
            <v>Q11</v>
          </cell>
          <cell r="AB1" t="str">
            <v>Q12</v>
          </cell>
          <cell r="AC1" t="str">
            <v>Q13</v>
          </cell>
          <cell r="AD1" t="str">
            <v>Q14</v>
          </cell>
          <cell r="AE1" t="str">
            <v>Q15</v>
          </cell>
          <cell r="AF1" t="str">
            <v>Q16</v>
          </cell>
          <cell r="AG1" t="str">
            <v>Assignment</v>
          </cell>
          <cell r="AH1" t="str">
            <v>FA1</v>
          </cell>
          <cell r="AI1" t="str">
            <v>FA2</v>
          </cell>
          <cell r="AJ1" t="str">
            <v>Total Marks</v>
          </cell>
          <cell r="AK1" t="str">
            <v>max Marks</v>
          </cell>
        </row>
        <row r="2">
          <cell r="A2">
            <v>1</v>
          </cell>
          <cell r="B2">
            <v>2010990089</v>
          </cell>
          <cell r="C2" t="str">
            <v>ANSH GARG</v>
          </cell>
          <cell r="E2" t="str">
            <v>EC112</v>
          </cell>
          <cell r="F2" t="str">
            <v>Network Analysis and Synthesis</v>
          </cell>
          <cell r="G2" t="str">
            <v>Theory</v>
          </cell>
          <cell r="H2" t="str">
            <v>B.E</v>
          </cell>
          <cell r="I2" t="str">
            <v>ECE</v>
          </cell>
          <cell r="J2">
            <v>2020</v>
          </cell>
          <cell r="K2">
            <v>3</v>
          </cell>
          <cell r="L2" t="str">
            <v>ST1</v>
          </cell>
          <cell r="M2" t="str">
            <v>U</v>
          </cell>
          <cell r="N2" t="str">
            <v>U</v>
          </cell>
          <cell r="O2" t="str">
            <v>U</v>
          </cell>
          <cell r="P2" t="str">
            <v>U</v>
          </cell>
          <cell r="Q2" t="str">
            <v>U</v>
          </cell>
          <cell r="R2">
            <v>0</v>
          </cell>
          <cell r="S2">
            <v>0</v>
          </cell>
          <cell r="T2">
            <v>1</v>
          </cell>
          <cell r="U2" t="str">
            <v>U</v>
          </cell>
          <cell r="V2" t="str">
            <v>U</v>
          </cell>
          <cell r="W2" t="str">
            <v>U</v>
          </cell>
          <cell r="X2">
            <v>2</v>
          </cell>
          <cell r="Y2">
            <v>2</v>
          </cell>
          <cell r="Z2">
            <v>1</v>
          </cell>
          <cell r="AA2">
            <v>4</v>
          </cell>
          <cell r="AB2" t="str">
            <v>U</v>
          </cell>
          <cell r="AC2" t="str">
            <v>U</v>
          </cell>
          <cell r="AD2">
            <v>4</v>
          </cell>
          <cell r="AE2" t="str">
            <v>U</v>
          </cell>
          <cell r="AF2" t="str">
            <v>U</v>
          </cell>
          <cell r="AG2">
            <v>7</v>
          </cell>
          <cell r="AH2" t="str">
            <v>U</v>
          </cell>
          <cell r="AI2" t="str">
            <v>U</v>
          </cell>
          <cell r="AJ2">
            <v>21</v>
          </cell>
          <cell r="AK2">
            <v>50</v>
          </cell>
        </row>
        <row r="3">
          <cell r="A3">
            <v>2</v>
          </cell>
          <cell r="B3">
            <v>2010992002</v>
          </cell>
          <cell r="C3" t="str">
            <v>PANSY VERMA</v>
          </cell>
          <cell r="E3" t="str">
            <v>EC112</v>
          </cell>
          <cell r="F3" t="str">
            <v>Network Analysis and Synthesis</v>
          </cell>
          <cell r="G3" t="str">
            <v>Theory</v>
          </cell>
          <cell r="H3" t="str">
            <v>B.E</v>
          </cell>
          <cell r="I3" t="str">
            <v>ECE</v>
          </cell>
          <cell r="J3">
            <v>2020</v>
          </cell>
          <cell r="K3">
            <v>3</v>
          </cell>
          <cell r="L3" t="str">
            <v>ST1</v>
          </cell>
          <cell r="M3" t="str">
            <v>U</v>
          </cell>
          <cell r="N3" t="str">
            <v>U</v>
          </cell>
          <cell r="O3" t="str">
            <v>U</v>
          </cell>
          <cell r="P3" t="str">
            <v>U</v>
          </cell>
          <cell r="Q3" t="str">
            <v>U</v>
          </cell>
          <cell r="R3">
            <v>2</v>
          </cell>
          <cell r="S3">
            <v>2</v>
          </cell>
          <cell r="T3">
            <v>2</v>
          </cell>
          <cell r="U3" t="str">
            <v>U</v>
          </cell>
          <cell r="V3" t="str">
            <v>U</v>
          </cell>
          <cell r="W3" t="str">
            <v>U</v>
          </cell>
          <cell r="X3">
            <v>5</v>
          </cell>
          <cell r="Y3">
            <v>5</v>
          </cell>
          <cell r="Z3">
            <v>4</v>
          </cell>
          <cell r="AA3">
            <v>4</v>
          </cell>
          <cell r="AB3" t="str">
            <v>U</v>
          </cell>
          <cell r="AC3" t="str">
            <v>U</v>
          </cell>
          <cell r="AD3">
            <v>10</v>
          </cell>
          <cell r="AE3" t="str">
            <v>U</v>
          </cell>
          <cell r="AF3" t="str">
            <v>U</v>
          </cell>
          <cell r="AG3">
            <v>10</v>
          </cell>
          <cell r="AH3" t="str">
            <v>U</v>
          </cell>
          <cell r="AI3" t="str">
            <v>U</v>
          </cell>
          <cell r="AJ3">
            <v>44</v>
          </cell>
          <cell r="AK3">
            <v>50</v>
          </cell>
        </row>
        <row r="4">
          <cell r="A4">
            <v>3</v>
          </cell>
          <cell r="B4">
            <v>2010992004</v>
          </cell>
          <cell r="C4" t="str">
            <v>UTKARSH BHATT</v>
          </cell>
          <cell r="E4" t="str">
            <v>EC112</v>
          </cell>
          <cell r="F4" t="str">
            <v>Network Analysis and Synthesis</v>
          </cell>
          <cell r="G4" t="str">
            <v>Theory</v>
          </cell>
          <cell r="H4" t="str">
            <v>B.E</v>
          </cell>
          <cell r="I4" t="str">
            <v>ECE</v>
          </cell>
          <cell r="J4">
            <v>2020</v>
          </cell>
          <cell r="K4">
            <v>3</v>
          </cell>
          <cell r="L4" t="str">
            <v>ST1</v>
          </cell>
          <cell r="M4" t="str">
            <v>U</v>
          </cell>
          <cell r="N4" t="str">
            <v>U</v>
          </cell>
          <cell r="O4" t="str">
            <v>U</v>
          </cell>
          <cell r="P4" t="str">
            <v>U</v>
          </cell>
          <cell r="Q4" t="str">
            <v>U</v>
          </cell>
          <cell r="R4">
            <v>2</v>
          </cell>
          <cell r="S4">
            <v>2</v>
          </cell>
          <cell r="T4">
            <v>1</v>
          </cell>
          <cell r="U4">
            <v>2</v>
          </cell>
          <cell r="V4">
            <v>1</v>
          </cell>
          <cell r="W4" t="str">
            <v>U</v>
          </cell>
          <cell r="X4">
            <v>3</v>
          </cell>
          <cell r="Y4">
            <v>3</v>
          </cell>
          <cell r="Z4">
            <v>4</v>
          </cell>
          <cell r="AA4">
            <v>3</v>
          </cell>
          <cell r="AB4" t="str">
            <v>U</v>
          </cell>
          <cell r="AC4" t="str">
            <v>U</v>
          </cell>
          <cell r="AD4">
            <v>7</v>
          </cell>
          <cell r="AE4" t="str">
            <v>U</v>
          </cell>
          <cell r="AF4" t="str">
            <v>U</v>
          </cell>
          <cell r="AG4">
            <v>10</v>
          </cell>
          <cell r="AH4" t="str">
            <v>U</v>
          </cell>
          <cell r="AI4" t="str">
            <v>U</v>
          </cell>
          <cell r="AJ4">
            <v>38</v>
          </cell>
          <cell r="AK4">
            <v>50</v>
          </cell>
        </row>
        <row r="5">
          <cell r="A5">
            <v>4</v>
          </cell>
          <cell r="B5">
            <v>2010992005</v>
          </cell>
          <cell r="C5" t="str">
            <v>RATANABH SHARMA</v>
          </cell>
          <cell r="E5" t="str">
            <v>EC112</v>
          </cell>
          <cell r="F5" t="str">
            <v>Network Analysis and Synthesis</v>
          </cell>
          <cell r="G5" t="str">
            <v>Theory</v>
          </cell>
          <cell r="H5" t="str">
            <v>B.E</v>
          </cell>
          <cell r="I5" t="str">
            <v>ECE</v>
          </cell>
          <cell r="J5">
            <v>2020</v>
          </cell>
          <cell r="K5">
            <v>3</v>
          </cell>
          <cell r="L5" t="str">
            <v>ST1</v>
          </cell>
          <cell r="M5" t="str">
            <v>U</v>
          </cell>
          <cell r="N5" t="str">
            <v>U</v>
          </cell>
          <cell r="O5" t="str">
            <v>U</v>
          </cell>
          <cell r="P5" t="str">
            <v>U</v>
          </cell>
          <cell r="Q5" t="str">
            <v>U</v>
          </cell>
          <cell r="R5">
            <v>2</v>
          </cell>
          <cell r="S5">
            <v>1</v>
          </cell>
          <cell r="T5">
            <v>1</v>
          </cell>
          <cell r="U5" t="str">
            <v>U</v>
          </cell>
          <cell r="V5" t="str">
            <v>U</v>
          </cell>
          <cell r="W5" t="str">
            <v>U</v>
          </cell>
          <cell r="X5">
            <v>3</v>
          </cell>
          <cell r="Y5">
            <v>3</v>
          </cell>
          <cell r="Z5">
            <v>4</v>
          </cell>
          <cell r="AA5">
            <v>3</v>
          </cell>
          <cell r="AB5" t="str">
            <v>U</v>
          </cell>
          <cell r="AC5" t="str">
            <v>U</v>
          </cell>
          <cell r="AD5">
            <v>8</v>
          </cell>
          <cell r="AE5" t="str">
            <v>U</v>
          </cell>
          <cell r="AF5" t="str">
            <v>U</v>
          </cell>
          <cell r="AG5">
            <v>10</v>
          </cell>
          <cell r="AH5" t="str">
            <v>U</v>
          </cell>
          <cell r="AI5" t="str">
            <v>U</v>
          </cell>
          <cell r="AJ5">
            <v>35</v>
          </cell>
          <cell r="AK5">
            <v>50</v>
          </cell>
        </row>
        <row r="6">
          <cell r="A6">
            <v>5</v>
          </cell>
          <cell r="B6">
            <v>2010992006</v>
          </cell>
          <cell r="C6" t="str">
            <v>AYUSH SHARMA</v>
          </cell>
          <cell r="E6" t="str">
            <v>EC112</v>
          </cell>
          <cell r="F6" t="str">
            <v>Network Analysis and Synthesis</v>
          </cell>
          <cell r="G6" t="str">
            <v>Theory</v>
          </cell>
          <cell r="H6" t="str">
            <v>B.E</v>
          </cell>
          <cell r="I6" t="str">
            <v>ECE</v>
          </cell>
          <cell r="J6">
            <v>2020</v>
          </cell>
          <cell r="K6">
            <v>3</v>
          </cell>
          <cell r="L6" t="str">
            <v>ST1</v>
          </cell>
          <cell r="M6" t="str">
            <v>U</v>
          </cell>
          <cell r="N6" t="str">
            <v>U</v>
          </cell>
          <cell r="O6" t="str">
            <v>U</v>
          </cell>
          <cell r="P6" t="str">
            <v>U</v>
          </cell>
          <cell r="Q6" t="str">
            <v>U</v>
          </cell>
          <cell r="R6">
            <v>1</v>
          </cell>
          <cell r="S6">
            <v>2</v>
          </cell>
          <cell r="T6">
            <v>2</v>
          </cell>
          <cell r="U6">
            <v>2</v>
          </cell>
          <cell r="V6">
            <v>1</v>
          </cell>
          <cell r="W6" t="str">
            <v>U</v>
          </cell>
          <cell r="X6">
            <v>3</v>
          </cell>
          <cell r="Y6">
            <v>4</v>
          </cell>
          <cell r="Z6">
            <v>3</v>
          </cell>
          <cell r="AA6">
            <v>3</v>
          </cell>
          <cell r="AB6" t="str">
            <v>U</v>
          </cell>
          <cell r="AC6" t="str">
            <v>U</v>
          </cell>
          <cell r="AD6">
            <v>7</v>
          </cell>
          <cell r="AE6" t="str">
            <v>U</v>
          </cell>
          <cell r="AF6" t="str">
            <v>U</v>
          </cell>
          <cell r="AG6">
            <v>7</v>
          </cell>
          <cell r="AH6" t="str">
            <v>U</v>
          </cell>
          <cell r="AI6" t="str">
            <v>U</v>
          </cell>
          <cell r="AJ6">
            <v>35</v>
          </cell>
          <cell r="AK6">
            <v>50</v>
          </cell>
        </row>
        <row r="7">
          <cell r="A7">
            <v>6</v>
          </cell>
          <cell r="B7">
            <v>2010992008</v>
          </cell>
          <cell r="C7" t="str">
            <v>NAVDEEP SINGH</v>
          </cell>
          <cell r="E7" t="str">
            <v>EC112</v>
          </cell>
          <cell r="F7" t="str">
            <v>Network Analysis and Synthesis</v>
          </cell>
          <cell r="G7" t="str">
            <v>Theory</v>
          </cell>
          <cell r="H7" t="str">
            <v>B.E</v>
          </cell>
          <cell r="I7" t="str">
            <v>ECE</v>
          </cell>
          <cell r="J7">
            <v>2020</v>
          </cell>
          <cell r="K7">
            <v>3</v>
          </cell>
          <cell r="L7" t="str">
            <v>ST1</v>
          </cell>
          <cell r="M7" t="str">
            <v>U</v>
          </cell>
          <cell r="N7" t="str">
            <v>U</v>
          </cell>
          <cell r="O7" t="str">
            <v>U</v>
          </cell>
          <cell r="P7" t="str">
            <v>U</v>
          </cell>
          <cell r="Q7" t="str">
            <v>U</v>
          </cell>
          <cell r="R7">
            <v>1</v>
          </cell>
          <cell r="S7">
            <v>1</v>
          </cell>
          <cell r="T7">
            <v>2</v>
          </cell>
          <cell r="U7">
            <v>2</v>
          </cell>
          <cell r="V7">
            <v>1</v>
          </cell>
          <cell r="W7" t="str">
            <v>U</v>
          </cell>
          <cell r="X7">
            <v>4</v>
          </cell>
          <cell r="Y7">
            <v>4</v>
          </cell>
          <cell r="Z7">
            <v>3</v>
          </cell>
          <cell r="AA7">
            <v>4</v>
          </cell>
          <cell r="AB7" t="str">
            <v>U</v>
          </cell>
          <cell r="AC7" t="str">
            <v>U</v>
          </cell>
          <cell r="AD7">
            <v>7</v>
          </cell>
          <cell r="AE7" t="str">
            <v>U</v>
          </cell>
          <cell r="AF7" t="str">
            <v>U</v>
          </cell>
          <cell r="AG7">
            <v>9</v>
          </cell>
          <cell r="AH7" t="str">
            <v>U</v>
          </cell>
          <cell r="AI7" t="str">
            <v>U</v>
          </cell>
          <cell r="AJ7">
            <v>38</v>
          </cell>
          <cell r="AK7">
            <v>50</v>
          </cell>
        </row>
        <row r="8">
          <cell r="A8">
            <v>7</v>
          </cell>
          <cell r="B8">
            <v>2010992009</v>
          </cell>
          <cell r="C8" t="str">
            <v>RIYA</v>
          </cell>
          <cell r="E8" t="str">
            <v>EC112</v>
          </cell>
          <cell r="F8" t="str">
            <v>Network Analysis and Synthesis</v>
          </cell>
          <cell r="G8" t="str">
            <v>Theory</v>
          </cell>
          <cell r="H8" t="str">
            <v>B.E</v>
          </cell>
          <cell r="I8" t="str">
            <v>ECE</v>
          </cell>
          <cell r="J8">
            <v>2020</v>
          </cell>
          <cell r="K8">
            <v>3</v>
          </cell>
          <cell r="L8" t="str">
            <v>ST1</v>
          </cell>
          <cell r="M8" t="str">
            <v>U</v>
          </cell>
          <cell r="N8" t="str">
            <v>U</v>
          </cell>
          <cell r="O8" t="str">
            <v>U</v>
          </cell>
          <cell r="P8" t="str">
            <v>U</v>
          </cell>
          <cell r="Q8" t="str">
            <v>U</v>
          </cell>
          <cell r="R8">
            <v>2</v>
          </cell>
          <cell r="S8">
            <v>1</v>
          </cell>
          <cell r="T8">
            <v>2</v>
          </cell>
          <cell r="U8">
            <v>1</v>
          </cell>
          <cell r="V8">
            <v>1</v>
          </cell>
          <cell r="W8" t="str">
            <v>U</v>
          </cell>
          <cell r="X8">
            <v>3</v>
          </cell>
          <cell r="Y8">
            <v>4</v>
          </cell>
          <cell r="Z8">
            <v>3</v>
          </cell>
          <cell r="AA8">
            <v>3</v>
          </cell>
          <cell r="AB8" t="str">
            <v>U</v>
          </cell>
          <cell r="AC8" t="str">
            <v>U</v>
          </cell>
          <cell r="AD8">
            <v>8</v>
          </cell>
          <cell r="AE8" t="str">
            <v>U</v>
          </cell>
          <cell r="AF8" t="str">
            <v>U</v>
          </cell>
          <cell r="AG8">
            <v>9</v>
          </cell>
          <cell r="AH8" t="str">
            <v>U</v>
          </cell>
          <cell r="AI8" t="str">
            <v>U</v>
          </cell>
          <cell r="AJ8">
            <v>37</v>
          </cell>
          <cell r="AK8">
            <v>50</v>
          </cell>
        </row>
        <row r="9">
          <cell r="A9">
            <v>8</v>
          </cell>
          <cell r="B9">
            <v>2010992010</v>
          </cell>
          <cell r="C9" t="str">
            <v>RISHABH TANDON</v>
          </cell>
          <cell r="E9" t="str">
            <v>EC112</v>
          </cell>
          <cell r="F9" t="str">
            <v>Network Analysis and Synthesis</v>
          </cell>
          <cell r="G9" t="str">
            <v>Theory</v>
          </cell>
          <cell r="H9" t="str">
            <v>B.E</v>
          </cell>
          <cell r="I9" t="str">
            <v>ECE</v>
          </cell>
          <cell r="J9">
            <v>2020</v>
          </cell>
          <cell r="K9">
            <v>3</v>
          </cell>
          <cell r="L9" t="str">
            <v>ST1</v>
          </cell>
          <cell r="M9" t="str">
            <v>U</v>
          </cell>
          <cell r="N9" t="str">
            <v>U</v>
          </cell>
          <cell r="O9" t="str">
            <v>U</v>
          </cell>
          <cell r="P9" t="str">
            <v>U</v>
          </cell>
          <cell r="Q9" t="str">
            <v>U</v>
          </cell>
          <cell r="R9">
            <v>1</v>
          </cell>
          <cell r="S9">
            <v>1</v>
          </cell>
          <cell r="T9">
            <v>2</v>
          </cell>
          <cell r="U9">
            <v>1</v>
          </cell>
          <cell r="V9">
            <v>1</v>
          </cell>
          <cell r="W9" t="str">
            <v>U</v>
          </cell>
          <cell r="X9">
            <v>4</v>
          </cell>
          <cell r="Y9">
            <v>4</v>
          </cell>
          <cell r="Z9">
            <v>3</v>
          </cell>
          <cell r="AA9">
            <v>4</v>
          </cell>
          <cell r="AB9" t="str">
            <v>U</v>
          </cell>
          <cell r="AC9" t="str">
            <v>U</v>
          </cell>
          <cell r="AD9">
            <v>8</v>
          </cell>
          <cell r="AE9" t="str">
            <v>U</v>
          </cell>
          <cell r="AF9" t="str">
            <v>U</v>
          </cell>
          <cell r="AG9">
            <v>9</v>
          </cell>
          <cell r="AH9" t="str">
            <v>U</v>
          </cell>
          <cell r="AI9" t="str">
            <v>U</v>
          </cell>
          <cell r="AJ9">
            <v>38</v>
          </cell>
          <cell r="AK9">
            <v>50</v>
          </cell>
        </row>
        <row r="10">
          <cell r="A10">
            <v>9</v>
          </cell>
          <cell r="B10">
            <v>2010992011</v>
          </cell>
          <cell r="C10" t="str">
            <v>HEERENDRA SINGH CHAUHAN</v>
          </cell>
          <cell r="E10" t="str">
            <v>EC112</v>
          </cell>
          <cell r="F10" t="str">
            <v>Network Analysis and Synthesis</v>
          </cell>
          <cell r="G10" t="str">
            <v>Theory</v>
          </cell>
          <cell r="H10" t="str">
            <v>B.E</v>
          </cell>
          <cell r="I10" t="str">
            <v>ECE</v>
          </cell>
          <cell r="J10">
            <v>2020</v>
          </cell>
          <cell r="K10">
            <v>3</v>
          </cell>
          <cell r="L10" t="str">
            <v>ST1</v>
          </cell>
          <cell r="M10" t="str">
            <v>U</v>
          </cell>
          <cell r="N10" t="str">
            <v>U</v>
          </cell>
          <cell r="O10" t="str">
            <v>U</v>
          </cell>
          <cell r="P10" t="str">
            <v>U</v>
          </cell>
          <cell r="Q10" t="str">
            <v>U</v>
          </cell>
          <cell r="R10">
            <v>1</v>
          </cell>
          <cell r="S10">
            <v>1</v>
          </cell>
          <cell r="T10">
            <v>2</v>
          </cell>
          <cell r="U10">
            <v>1</v>
          </cell>
          <cell r="V10">
            <v>1</v>
          </cell>
          <cell r="W10" t="str">
            <v>U</v>
          </cell>
          <cell r="X10">
            <v>4</v>
          </cell>
          <cell r="Y10">
            <v>3</v>
          </cell>
          <cell r="Z10">
            <v>3</v>
          </cell>
          <cell r="AA10">
            <v>4</v>
          </cell>
          <cell r="AB10" t="str">
            <v>U</v>
          </cell>
          <cell r="AC10" t="str">
            <v>U</v>
          </cell>
          <cell r="AD10">
            <v>8</v>
          </cell>
          <cell r="AE10" t="str">
            <v>U</v>
          </cell>
          <cell r="AF10" t="str">
            <v>U</v>
          </cell>
          <cell r="AG10">
            <v>10</v>
          </cell>
          <cell r="AH10" t="str">
            <v>U</v>
          </cell>
          <cell r="AI10" t="str">
            <v>U</v>
          </cell>
          <cell r="AJ10">
            <v>38</v>
          </cell>
          <cell r="AK10">
            <v>50</v>
          </cell>
        </row>
        <row r="11">
          <cell r="A11">
            <v>10</v>
          </cell>
          <cell r="B11">
            <v>2010992012</v>
          </cell>
          <cell r="C11" t="str">
            <v>AKSHAT</v>
          </cell>
          <cell r="E11" t="str">
            <v>EC112</v>
          </cell>
          <cell r="F11" t="str">
            <v>Network Analysis and Synthesis</v>
          </cell>
          <cell r="G11" t="str">
            <v>Theory</v>
          </cell>
          <cell r="H11" t="str">
            <v>B.E</v>
          </cell>
          <cell r="I11" t="str">
            <v>ECE</v>
          </cell>
          <cell r="J11">
            <v>2020</v>
          </cell>
          <cell r="K11">
            <v>3</v>
          </cell>
          <cell r="L11" t="str">
            <v>ST1</v>
          </cell>
          <cell r="M11" t="str">
            <v>U</v>
          </cell>
          <cell r="N11" t="str">
            <v>U</v>
          </cell>
          <cell r="O11" t="str">
            <v>U</v>
          </cell>
          <cell r="P11" t="str">
            <v>U</v>
          </cell>
          <cell r="Q11" t="str">
            <v>U</v>
          </cell>
          <cell r="R11">
            <v>1</v>
          </cell>
          <cell r="S11">
            <v>1</v>
          </cell>
          <cell r="T11">
            <v>2</v>
          </cell>
          <cell r="U11">
            <v>1</v>
          </cell>
          <cell r="V11">
            <v>1</v>
          </cell>
          <cell r="W11" t="str">
            <v>U</v>
          </cell>
          <cell r="X11">
            <v>4</v>
          </cell>
          <cell r="Y11">
            <v>3</v>
          </cell>
          <cell r="Z11">
            <v>3</v>
          </cell>
          <cell r="AA11">
            <v>4</v>
          </cell>
          <cell r="AB11" t="str">
            <v>U</v>
          </cell>
          <cell r="AC11" t="str">
            <v>U</v>
          </cell>
          <cell r="AD11">
            <v>6</v>
          </cell>
          <cell r="AE11" t="str">
            <v>U</v>
          </cell>
          <cell r="AF11" t="str">
            <v>U</v>
          </cell>
          <cell r="AG11">
            <v>10</v>
          </cell>
          <cell r="AH11" t="str">
            <v>U</v>
          </cell>
          <cell r="AI11" t="str">
            <v>U</v>
          </cell>
          <cell r="AJ11">
            <v>36</v>
          </cell>
          <cell r="AK11">
            <v>50</v>
          </cell>
        </row>
        <row r="12">
          <cell r="A12">
            <v>11</v>
          </cell>
          <cell r="B12">
            <v>2010992014</v>
          </cell>
          <cell r="C12" t="str">
            <v>HARSHIT CHAHAL</v>
          </cell>
          <cell r="E12" t="str">
            <v>EC112</v>
          </cell>
          <cell r="F12" t="str">
            <v>Network Analysis and Synthesis</v>
          </cell>
          <cell r="G12" t="str">
            <v>Theory</v>
          </cell>
          <cell r="H12" t="str">
            <v>B.E</v>
          </cell>
          <cell r="I12" t="str">
            <v>ECE</v>
          </cell>
          <cell r="J12">
            <v>2020</v>
          </cell>
          <cell r="K12">
            <v>3</v>
          </cell>
          <cell r="L12" t="str">
            <v>ST1</v>
          </cell>
          <cell r="M12" t="str">
            <v>U</v>
          </cell>
          <cell r="N12" t="str">
            <v>U</v>
          </cell>
          <cell r="O12" t="str">
            <v>U</v>
          </cell>
          <cell r="P12" t="str">
            <v>U</v>
          </cell>
          <cell r="Q12" t="str">
            <v>U</v>
          </cell>
          <cell r="R12">
            <v>1</v>
          </cell>
          <cell r="S12">
            <v>1</v>
          </cell>
          <cell r="T12">
            <v>2</v>
          </cell>
          <cell r="U12">
            <v>1</v>
          </cell>
          <cell r="V12">
            <v>1</v>
          </cell>
          <cell r="W12" t="str">
            <v>U</v>
          </cell>
          <cell r="X12">
            <v>4</v>
          </cell>
          <cell r="Y12">
            <v>4</v>
          </cell>
          <cell r="Z12">
            <v>3</v>
          </cell>
          <cell r="AA12">
            <v>4</v>
          </cell>
          <cell r="AB12" t="str">
            <v>U</v>
          </cell>
          <cell r="AC12" t="str">
            <v>U</v>
          </cell>
          <cell r="AD12">
            <v>8</v>
          </cell>
          <cell r="AE12" t="str">
            <v>U</v>
          </cell>
          <cell r="AF12" t="str">
            <v>U</v>
          </cell>
          <cell r="AG12">
            <v>7</v>
          </cell>
          <cell r="AH12" t="str">
            <v>U</v>
          </cell>
          <cell r="AI12" t="str">
            <v>U</v>
          </cell>
          <cell r="AJ12">
            <v>36</v>
          </cell>
          <cell r="AK12">
            <v>50</v>
          </cell>
        </row>
        <row r="13">
          <cell r="A13">
            <v>12</v>
          </cell>
          <cell r="B13">
            <v>2010992015</v>
          </cell>
          <cell r="C13" t="str">
            <v>URVANSH NAHATA</v>
          </cell>
          <cell r="E13" t="str">
            <v>EC112</v>
          </cell>
          <cell r="F13" t="str">
            <v>Network Analysis and Synthesis</v>
          </cell>
          <cell r="G13" t="str">
            <v>Theory</v>
          </cell>
          <cell r="H13" t="str">
            <v>B.E</v>
          </cell>
          <cell r="I13" t="str">
            <v>ECE</v>
          </cell>
          <cell r="J13">
            <v>2020</v>
          </cell>
          <cell r="K13">
            <v>3</v>
          </cell>
          <cell r="L13" t="str">
            <v>ST1</v>
          </cell>
          <cell r="M13" t="str">
            <v>U</v>
          </cell>
          <cell r="N13" t="str">
            <v>U</v>
          </cell>
          <cell r="O13" t="str">
            <v>U</v>
          </cell>
          <cell r="P13" t="str">
            <v>U</v>
          </cell>
          <cell r="Q13" t="str">
            <v>U</v>
          </cell>
          <cell r="R13">
            <v>1</v>
          </cell>
          <cell r="S13">
            <v>1</v>
          </cell>
          <cell r="T13">
            <v>2</v>
          </cell>
          <cell r="U13">
            <v>1</v>
          </cell>
          <cell r="V13">
            <v>1</v>
          </cell>
          <cell r="W13" t="str">
            <v>U</v>
          </cell>
          <cell r="X13" t="str">
            <v>U</v>
          </cell>
          <cell r="Y13">
            <v>4</v>
          </cell>
          <cell r="Z13">
            <v>3</v>
          </cell>
          <cell r="AA13">
            <v>3</v>
          </cell>
          <cell r="AB13" t="str">
            <v>U</v>
          </cell>
          <cell r="AC13" t="str">
            <v>U</v>
          </cell>
          <cell r="AD13">
            <v>7</v>
          </cell>
          <cell r="AE13" t="str">
            <v>U</v>
          </cell>
          <cell r="AF13" t="str">
            <v>U</v>
          </cell>
          <cell r="AG13">
            <v>9</v>
          </cell>
          <cell r="AH13" t="str">
            <v>U</v>
          </cell>
          <cell r="AI13" t="str">
            <v>U</v>
          </cell>
          <cell r="AJ13">
            <v>32</v>
          </cell>
          <cell r="AK13">
            <v>50</v>
          </cell>
        </row>
        <row r="14">
          <cell r="A14">
            <v>13</v>
          </cell>
          <cell r="B14">
            <v>2010992016</v>
          </cell>
          <cell r="C14" t="str">
            <v>VARUN</v>
          </cell>
          <cell r="E14" t="str">
            <v>EC112</v>
          </cell>
          <cell r="F14" t="str">
            <v>Network Analysis and Synthesis</v>
          </cell>
          <cell r="G14" t="str">
            <v>Theory</v>
          </cell>
          <cell r="H14" t="str">
            <v>B.E</v>
          </cell>
          <cell r="I14" t="str">
            <v>ECE</v>
          </cell>
          <cell r="J14">
            <v>2020</v>
          </cell>
          <cell r="K14">
            <v>3</v>
          </cell>
          <cell r="L14" t="str">
            <v>ST1</v>
          </cell>
          <cell r="M14" t="str">
            <v>U</v>
          </cell>
          <cell r="N14" t="str">
            <v>U</v>
          </cell>
          <cell r="O14" t="str">
            <v>U</v>
          </cell>
          <cell r="P14" t="str">
            <v>U</v>
          </cell>
          <cell r="Q14" t="str">
            <v>U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 t="str">
            <v>U</v>
          </cell>
          <cell r="X14">
            <v>4</v>
          </cell>
          <cell r="Y14">
            <v>2</v>
          </cell>
          <cell r="Z14">
            <v>3</v>
          </cell>
          <cell r="AA14">
            <v>2</v>
          </cell>
          <cell r="AB14" t="str">
            <v>U</v>
          </cell>
          <cell r="AC14" t="str">
            <v>U</v>
          </cell>
          <cell r="AD14">
            <v>5</v>
          </cell>
          <cell r="AE14" t="str">
            <v>U</v>
          </cell>
          <cell r="AF14" t="str">
            <v>U</v>
          </cell>
          <cell r="AG14">
            <v>9</v>
          </cell>
          <cell r="AH14" t="str">
            <v>U</v>
          </cell>
          <cell r="AI14" t="str">
            <v>U</v>
          </cell>
          <cell r="AJ14">
            <v>30</v>
          </cell>
          <cell r="AK14">
            <v>50</v>
          </cell>
        </row>
        <row r="15">
          <cell r="A15">
            <v>14</v>
          </cell>
          <cell r="B15">
            <v>2010992017</v>
          </cell>
          <cell r="C15" t="str">
            <v>MRIDUL AGGARWAL</v>
          </cell>
          <cell r="E15" t="str">
            <v>EC112</v>
          </cell>
          <cell r="F15" t="str">
            <v>Network Analysis and Synthesis</v>
          </cell>
          <cell r="G15" t="str">
            <v>Theory</v>
          </cell>
          <cell r="H15" t="str">
            <v>B.E</v>
          </cell>
          <cell r="I15" t="str">
            <v>ECE</v>
          </cell>
          <cell r="J15">
            <v>2020</v>
          </cell>
          <cell r="K15">
            <v>3</v>
          </cell>
          <cell r="L15" t="str">
            <v>ST1</v>
          </cell>
          <cell r="M15" t="str">
            <v>U</v>
          </cell>
          <cell r="N15" t="str">
            <v>U</v>
          </cell>
          <cell r="O15" t="str">
            <v>U</v>
          </cell>
          <cell r="P15" t="str">
            <v>U</v>
          </cell>
          <cell r="Q15" t="str">
            <v>U</v>
          </cell>
          <cell r="R15">
            <v>1</v>
          </cell>
          <cell r="S15">
            <v>2</v>
          </cell>
          <cell r="T15">
            <v>2</v>
          </cell>
          <cell r="U15">
            <v>2</v>
          </cell>
          <cell r="V15">
            <v>1</v>
          </cell>
          <cell r="W15" t="str">
            <v>U</v>
          </cell>
          <cell r="X15">
            <v>4</v>
          </cell>
          <cell r="Y15">
            <v>4</v>
          </cell>
          <cell r="Z15">
            <v>3</v>
          </cell>
          <cell r="AA15">
            <v>4</v>
          </cell>
          <cell r="AB15" t="str">
            <v>U</v>
          </cell>
          <cell r="AC15" t="str">
            <v>U</v>
          </cell>
          <cell r="AD15">
            <v>8</v>
          </cell>
          <cell r="AE15" t="str">
            <v>U</v>
          </cell>
          <cell r="AF15" t="str">
            <v>U</v>
          </cell>
          <cell r="AG15">
            <v>7</v>
          </cell>
          <cell r="AH15" t="str">
            <v>U</v>
          </cell>
          <cell r="AI15" t="str">
            <v>U</v>
          </cell>
          <cell r="AJ15">
            <v>38</v>
          </cell>
          <cell r="AK15">
            <v>50</v>
          </cell>
        </row>
        <row r="16">
          <cell r="A16">
            <v>15</v>
          </cell>
          <cell r="B16">
            <v>2010992018</v>
          </cell>
          <cell r="C16" t="str">
            <v>SHAKSHI SINGH</v>
          </cell>
          <cell r="E16" t="str">
            <v>EC112</v>
          </cell>
          <cell r="F16" t="str">
            <v>Network Analysis and Synthesis</v>
          </cell>
          <cell r="G16" t="str">
            <v>Theory</v>
          </cell>
          <cell r="H16" t="str">
            <v>B.E</v>
          </cell>
          <cell r="I16" t="str">
            <v>ECE</v>
          </cell>
          <cell r="J16">
            <v>2020</v>
          </cell>
          <cell r="K16">
            <v>3</v>
          </cell>
          <cell r="L16" t="str">
            <v>ST1</v>
          </cell>
          <cell r="M16" t="str">
            <v>U</v>
          </cell>
          <cell r="N16" t="str">
            <v>U</v>
          </cell>
          <cell r="O16" t="str">
            <v>U</v>
          </cell>
          <cell r="P16" t="str">
            <v>U</v>
          </cell>
          <cell r="Q16" t="str">
            <v>U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 t="str">
            <v>U</v>
          </cell>
          <cell r="X16">
            <v>2</v>
          </cell>
          <cell r="Y16">
            <v>4</v>
          </cell>
          <cell r="Z16">
            <v>4</v>
          </cell>
          <cell r="AA16">
            <v>3</v>
          </cell>
          <cell r="AB16" t="str">
            <v>U</v>
          </cell>
          <cell r="AC16" t="str">
            <v>U</v>
          </cell>
          <cell r="AD16">
            <v>8</v>
          </cell>
          <cell r="AE16" t="str">
            <v>U</v>
          </cell>
          <cell r="AF16" t="str">
            <v>U</v>
          </cell>
          <cell r="AG16">
            <v>7</v>
          </cell>
          <cell r="AH16" t="str">
            <v>U</v>
          </cell>
          <cell r="AI16" t="str">
            <v>U</v>
          </cell>
          <cell r="AJ16">
            <v>33</v>
          </cell>
          <cell r="AK16">
            <v>50</v>
          </cell>
        </row>
        <row r="17">
          <cell r="A17">
            <v>16</v>
          </cell>
          <cell r="B17">
            <v>2010992019</v>
          </cell>
          <cell r="C17" t="str">
            <v>KHAN MUBASHIR RASOOL</v>
          </cell>
          <cell r="E17" t="str">
            <v>EC112</v>
          </cell>
          <cell r="F17" t="str">
            <v>Network Analysis and Synthesis</v>
          </cell>
          <cell r="G17" t="str">
            <v>Theory</v>
          </cell>
          <cell r="H17" t="str">
            <v>B.E</v>
          </cell>
          <cell r="I17" t="str">
            <v>ECE</v>
          </cell>
          <cell r="J17">
            <v>2020</v>
          </cell>
          <cell r="K17">
            <v>3</v>
          </cell>
          <cell r="L17" t="str">
            <v>ST1</v>
          </cell>
          <cell r="M17" t="str">
            <v>U</v>
          </cell>
          <cell r="N17" t="str">
            <v>U</v>
          </cell>
          <cell r="O17" t="str">
            <v>U</v>
          </cell>
          <cell r="P17" t="str">
            <v>U</v>
          </cell>
          <cell r="Q17" t="str">
            <v>U</v>
          </cell>
          <cell r="R17">
            <v>1</v>
          </cell>
          <cell r="S17">
            <v>1</v>
          </cell>
          <cell r="T17">
            <v>2</v>
          </cell>
          <cell r="U17">
            <v>1</v>
          </cell>
          <cell r="V17">
            <v>1</v>
          </cell>
          <cell r="W17" t="str">
            <v>U</v>
          </cell>
          <cell r="X17">
            <v>2</v>
          </cell>
          <cell r="Y17">
            <v>3</v>
          </cell>
          <cell r="Z17">
            <v>2</v>
          </cell>
          <cell r="AA17">
            <v>4</v>
          </cell>
          <cell r="AB17" t="str">
            <v>U</v>
          </cell>
          <cell r="AC17" t="str">
            <v>U</v>
          </cell>
          <cell r="AD17">
            <v>5</v>
          </cell>
          <cell r="AE17" t="str">
            <v>U</v>
          </cell>
          <cell r="AF17" t="str">
            <v>U</v>
          </cell>
          <cell r="AG17">
            <v>9</v>
          </cell>
          <cell r="AH17" t="str">
            <v>U</v>
          </cell>
          <cell r="AI17" t="str">
            <v>U</v>
          </cell>
          <cell r="AJ17">
            <v>31</v>
          </cell>
          <cell r="AK17">
            <v>50</v>
          </cell>
        </row>
        <row r="18">
          <cell r="A18">
            <v>17</v>
          </cell>
          <cell r="B18">
            <v>2010992163</v>
          </cell>
          <cell r="C18" t="str">
            <v>TAMANA SIAG</v>
          </cell>
          <cell r="E18" t="str">
            <v>EC112</v>
          </cell>
          <cell r="F18" t="str">
            <v>Network Analysis and Synthesis</v>
          </cell>
          <cell r="G18" t="str">
            <v>Theory</v>
          </cell>
          <cell r="H18" t="str">
            <v>B.E</v>
          </cell>
          <cell r="I18" t="str">
            <v>ECE</v>
          </cell>
          <cell r="J18">
            <v>2020</v>
          </cell>
          <cell r="K18">
            <v>3</v>
          </cell>
          <cell r="L18" t="str">
            <v>ST1</v>
          </cell>
          <cell r="M18" t="str">
            <v>U</v>
          </cell>
          <cell r="N18" t="str">
            <v>U</v>
          </cell>
          <cell r="O18" t="str">
            <v>U</v>
          </cell>
          <cell r="P18" t="str">
            <v>U</v>
          </cell>
          <cell r="Q18" t="str">
            <v>U</v>
          </cell>
          <cell r="R18">
            <v>1</v>
          </cell>
          <cell r="S18">
            <v>1</v>
          </cell>
          <cell r="T18">
            <v>2</v>
          </cell>
          <cell r="U18">
            <v>2</v>
          </cell>
          <cell r="V18">
            <v>1</v>
          </cell>
          <cell r="W18" t="str">
            <v>U</v>
          </cell>
          <cell r="X18">
            <v>4</v>
          </cell>
          <cell r="Y18">
            <v>4</v>
          </cell>
          <cell r="Z18">
            <v>3</v>
          </cell>
          <cell r="AA18">
            <v>4</v>
          </cell>
          <cell r="AB18" t="str">
            <v>U</v>
          </cell>
          <cell r="AC18" t="str">
            <v>U</v>
          </cell>
          <cell r="AD18">
            <v>9</v>
          </cell>
          <cell r="AE18" t="str">
            <v>U</v>
          </cell>
          <cell r="AF18" t="str">
            <v>U</v>
          </cell>
          <cell r="AG18">
            <v>10</v>
          </cell>
          <cell r="AH18" t="str">
            <v>U</v>
          </cell>
          <cell r="AI18" t="str">
            <v>U</v>
          </cell>
          <cell r="AJ18">
            <v>41</v>
          </cell>
          <cell r="AK18">
            <v>50</v>
          </cell>
        </row>
        <row r="19">
          <cell r="A19">
            <v>18</v>
          </cell>
          <cell r="B19">
            <v>2010992202</v>
          </cell>
          <cell r="C19" t="str">
            <v>EKAMJOT SINGH MAINGI</v>
          </cell>
          <cell r="E19" t="str">
            <v>EC112</v>
          </cell>
          <cell r="F19" t="str">
            <v>Network Analysis and Synthesis</v>
          </cell>
          <cell r="G19" t="str">
            <v>Theory</v>
          </cell>
          <cell r="H19" t="str">
            <v>B.E</v>
          </cell>
          <cell r="I19" t="str">
            <v>ECE</v>
          </cell>
          <cell r="J19">
            <v>2020</v>
          </cell>
          <cell r="K19">
            <v>3</v>
          </cell>
          <cell r="L19" t="str">
            <v>ST1</v>
          </cell>
          <cell r="M19" t="str">
            <v>U</v>
          </cell>
          <cell r="N19" t="str">
            <v>U</v>
          </cell>
          <cell r="O19" t="str">
            <v>U</v>
          </cell>
          <cell r="P19" t="str">
            <v>U</v>
          </cell>
          <cell r="Q19" t="str">
            <v>U</v>
          </cell>
          <cell r="R19">
            <v>1</v>
          </cell>
          <cell r="S19">
            <v>1</v>
          </cell>
          <cell r="T19">
            <v>2</v>
          </cell>
          <cell r="U19">
            <v>2</v>
          </cell>
          <cell r="V19">
            <v>1</v>
          </cell>
          <cell r="W19" t="str">
            <v>U</v>
          </cell>
          <cell r="X19">
            <v>4</v>
          </cell>
          <cell r="Y19">
            <v>4</v>
          </cell>
          <cell r="Z19">
            <v>3</v>
          </cell>
          <cell r="AA19">
            <v>4</v>
          </cell>
          <cell r="AB19" t="str">
            <v>U</v>
          </cell>
          <cell r="AC19" t="str">
            <v>U</v>
          </cell>
          <cell r="AD19">
            <v>8</v>
          </cell>
          <cell r="AE19" t="str">
            <v>U</v>
          </cell>
          <cell r="AF19" t="str">
            <v>U</v>
          </cell>
          <cell r="AG19">
            <v>7</v>
          </cell>
          <cell r="AH19" t="str">
            <v>U</v>
          </cell>
          <cell r="AI19" t="str">
            <v>U</v>
          </cell>
          <cell r="AJ19">
            <v>37</v>
          </cell>
          <cell r="AK19">
            <v>50</v>
          </cell>
        </row>
      </sheetData>
      <sheetData sheetId="3">
        <row r="1">
          <cell r="A1" t="str">
            <v>Q_Id</v>
          </cell>
          <cell r="B1" t="str">
            <v>Max Marks</v>
          </cell>
          <cell r="C1" t="str">
            <v>CO1</v>
          </cell>
          <cell r="D1" t="str">
            <v>CO2</v>
          </cell>
          <cell r="E1" t="str">
            <v>CO3</v>
          </cell>
          <cell r="F1" t="str">
            <v>CO4</v>
          </cell>
          <cell r="G1" t="str">
            <v>CO5</v>
          </cell>
          <cell r="H1" t="str">
            <v>CO6</v>
          </cell>
        </row>
        <row r="2">
          <cell r="A2" t="str">
            <v>1a</v>
          </cell>
          <cell r="B2">
            <v>0</v>
          </cell>
          <cell r="C2" t="b">
            <v>0</v>
          </cell>
          <cell r="D2" t="b">
            <v>0</v>
          </cell>
          <cell r="E2" t="b">
            <v>0</v>
          </cell>
          <cell r="F2" t="b">
            <v>0</v>
          </cell>
          <cell r="G2" t="b">
            <v>0</v>
          </cell>
          <cell r="H2" t="b">
            <v>0</v>
          </cell>
        </row>
        <row r="3">
          <cell r="A3" t="str">
            <v>1b</v>
          </cell>
          <cell r="B3">
            <v>0</v>
          </cell>
          <cell r="C3" t="b">
            <v>0</v>
          </cell>
          <cell r="D3" t="b">
            <v>0</v>
          </cell>
          <cell r="E3" t="b">
            <v>0</v>
          </cell>
          <cell r="F3" t="b">
            <v>0</v>
          </cell>
          <cell r="G3" t="b">
            <v>0</v>
          </cell>
          <cell r="H3" t="b">
            <v>0</v>
          </cell>
        </row>
        <row r="4">
          <cell r="A4" t="str">
            <v>1c</v>
          </cell>
          <cell r="B4">
            <v>0</v>
          </cell>
          <cell r="C4" t="b">
            <v>0</v>
          </cell>
          <cell r="D4" t="b">
            <v>0</v>
          </cell>
          <cell r="E4" t="b">
            <v>0</v>
          </cell>
          <cell r="F4" t="b">
            <v>0</v>
          </cell>
          <cell r="G4" t="b">
            <v>0</v>
          </cell>
          <cell r="H4" t="b">
            <v>0</v>
          </cell>
        </row>
        <row r="5">
          <cell r="A5" t="str">
            <v>1d</v>
          </cell>
          <cell r="B5">
            <v>0</v>
          </cell>
          <cell r="C5" t="b">
            <v>0</v>
          </cell>
          <cell r="D5" t="b">
            <v>0</v>
          </cell>
          <cell r="E5" t="b">
            <v>0</v>
          </cell>
          <cell r="F5" t="b">
            <v>0</v>
          </cell>
          <cell r="G5" t="b">
            <v>0</v>
          </cell>
          <cell r="H5" t="b">
            <v>0</v>
          </cell>
        </row>
        <row r="6">
          <cell r="A6" t="str">
            <v>1e</v>
          </cell>
          <cell r="B6">
            <v>0</v>
          </cell>
          <cell r="C6" t="b">
            <v>0</v>
          </cell>
          <cell r="D6" t="b">
            <v>0</v>
          </cell>
          <cell r="E6" t="b">
            <v>0</v>
          </cell>
          <cell r="F6" t="b">
            <v>0</v>
          </cell>
          <cell r="G6" t="b">
            <v>0</v>
          </cell>
          <cell r="H6" t="b">
            <v>0</v>
          </cell>
        </row>
        <row r="7">
          <cell r="A7" t="str">
            <v>Q2</v>
          </cell>
          <cell r="B7">
            <v>0</v>
          </cell>
          <cell r="C7" t="b">
            <v>0</v>
          </cell>
          <cell r="D7" t="b">
            <v>0</v>
          </cell>
          <cell r="E7" t="b">
            <v>0</v>
          </cell>
          <cell r="F7" t="b">
            <v>0</v>
          </cell>
          <cell r="G7" t="b">
            <v>0</v>
          </cell>
          <cell r="H7" t="b">
            <v>0</v>
          </cell>
        </row>
        <row r="8">
          <cell r="A8" t="str">
            <v>Q3</v>
          </cell>
          <cell r="B8">
            <v>0</v>
          </cell>
          <cell r="C8" t="b">
            <v>0</v>
          </cell>
          <cell r="D8" t="b">
            <v>0</v>
          </cell>
          <cell r="E8" t="b">
            <v>0</v>
          </cell>
          <cell r="F8" t="b">
            <v>0</v>
          </cell>
          <cell r="G8" t="b">
            <v>0</v>
          </cell>
          <cell r="H8" t="b">
            <v>0</v>
          </cell>
        </row>
        <row r="9">
          <cell r="A9" t="str">
            <v>Q4</v>
          </cell>
          <cell r="B9">
            <v>0</v>
          </cell>
          <cell r="C9" t="b">
            <v>0</v>
          </cell>
          <cell r="D9" t="b">
            <v>0</v>
          </cell>
          <cell r="E9" t="b">
            <v>0</v>
          </cell>
          <cell r="F9" t="b">
            <v>0</v>
          </cell>
          <cell r="G9" t="b">
            <v>0</v>
          </cell>
          <cell r="H9" t="b">
            <v>0</v>
          </cell>
        </row>
        <row r="10">
          <cell r="A10" t="str">
            <v>Q5</v>
          </cell>
          <cell r="B10">
            <v>0</v>
          </cell>
          <cell r="C10" t="b">
            <v>0</v>
          </cell>
          <cell r="D10" t="b">
            <v>0</v>
          </cell>
          <cell r="E10" t="b">
            <v>0</v>
          </cell>
          <cell r="F10" t="b">
            <v>0</v>
          </cell>
          <cell r="G10" t="b">
            <v>0</v>
          </cell>
          <cell r="H10" t="b">
            <v>0</v>
          </cell>
        </row>
        <row r="11">
          <cell r="A11" t="str">
            <v>Q6</v>
          </cell>
          <cell r="B11">
            <v>0</v>
          </cell>
          <cell r="C11" t="b">
            <v>0</v>
          </cell>
          <cell r="D11" t="b">
            <v>0</v>
          </cell>
          <cell r="E11" t="b">
            <v>0</v>
          </cell>
          <cell r="F11" t="b">
            <v>0</v>
          </cell>
          <cell r="G11" t="b">
            <v>0</v>
          </cell>
          <cell r="H11" t="b">
            <v>0</v>
          </cell>
        </row>
        <row r="12">
          <cell r="A12" t="str">
            <v>Q7</v>
          </cell>
          <cell r="B12">
            <v>0</v>
          </cell>
          <cell r="C12" t="b">
            <v>0</v>
          </cell>
          <cell r="D12" t="b">
            <v>0</v>
          </cell>
          <cell r="E12" t="b">
            <v>0</v>
          </cell>
          <cell r="F12" t="b">
            <v>0</v>
          </cell>
          <cell r="G12" t="b">
            <v>0</v>
          </cell>
          <cell r="H12" t="b">
            <v>0</v>
          </cell>
        </row>
        <row r="13">
          <cell r="A13" t="str">
            <v>Q8</v>
          </cell>
          <cell r="B13">
            <v>0</v>
          </cell>
          <cell r="C13" t="b">
            <v>0</v>
          </cell>
          <cell r="D13" t="b">
            <v>0</v>
          </cell>
          <cell r="E13" t="b">
            <v>0</v>
          </cell>
          <cell r="F13" t="b">
            <v>0</v>
          </cell>
          <cell r="G13" t="b">
            <v>0</v>
          </cell>
          <cell r="H13" t="b">
            <v>0</v>
          </cell>
        </row>
        <row r="14">
          <cell r="A14" t="str">
            <v>Q9</v>
          </cell>
          <cell r="B14">
            <v>0</v>
          </cell>
          <cell r="C14" t="b">
            <v>0</v>
          </cell>
          <cell r="D14" t="b">
            <v>0</v>
          </cell>
          <cell r="E14" t="b">
            <v>0</v>
          </cell>
          <cell r="F14" t="b">
            <v>0</v>
          </cell>
          <cell r="G14" t="b">
            <v>0</v>
          </cell>
          <cell r="H14" t="b">
            <v>0</v>
          </cell>
        </row>
        <row r="15">
          <cell r="A15" t="str">
            <v>Q10</v>
          </cell>
          <cell r="B15">
            <v>0</v>
          </cell>
          <cell r="C15" t="b">
            <v>0</v>
          </cell>
          <cell r="D15" t="b">
            <v>0</v>
          </cell>
          <cell r="E15" t="b">
            <v>0</v>
          </cell>
          <cell r="F15" t="b">
            <v>0</v>
          </cell>
          <cell r="G15" t="b">
            <v>0</v>
          </cell>
          <cell r="H15" t="b">
            <v>0</v>
          </cell>
        </row>
        <row r="16">
          <cell r="A16" t="str">
            <v>Q11</v>
          </cell>
          <cell r="B16">
            <v>0</v>
          </cell>
          <cell r="C16" t="b">
            <v>0</v>
          </cell>
          <cell r="D16" t="b">
            <v>0</v>
          </cell>
          <cell r="E16" t="b">
            <v>0</v>
          </cell>
          <cell r="F16" t="b">
            <v>0</v>
          </cell>
          <cell r="G16" t="b">
            <v>0</v>
          </cell>
          <cell r="H16" t="b">
            <v>0</v>
          </cell>
        </row>
        <row r="17">
          <cell r="A17" t="str">
            <v>Q12</v>
          </cell>
          <cell r="B17">
            <v>0</v>
          </cell>
          <cell r="C17" t="b">
            <v>0</v>
          </cell>
          <cell r="D17" t="b">
            <v>0</v>
          </cell>
          <cell r="E17" t="b">
            <v>0</v>
          </cell>
          <cell r="F17" t="b">
            <v>0</v>
          </cell>
          <cell r="G17" t="b">
            <v>0</v>
          </cell>
          <cell r="H17" t="b">
            <v>0</v>
          </cell>
        </row>
        <row r="18">
          <cell r="A18" t="str">
            <v>Q13</v>
          </cell>
          <cell r="B18">
            <v>0</v>
          </cell>
          <cell r="C18" t="b">
            <v>0</v>
          </cell>
          <cell r="D18" t="b">
            <v>0</v>
          </cell>
          <cell r="E18" t="b">
            <v>0</v>
          </cell>
          <cell r="F18" t="b">
            <v>0</v>
          </cell>
          <cell r="G18" t="b">
            <v>0</v>
          </cell>
          <cell r="H18" t="b">
            <v>0</v>
          </cell>
        </row>
        <row r="19">
          <cell r="A19" t="str">
            <v>Q14</v>
          </cell>
          <cell r="B19">
            <v>0</v>
          </cell>
          <cell r="C19" t="b">
            <v>0</v>
          </cell>
          <cell r="D19" t="b">
            <v>0</v>
          </cell>
          <cell r="E19" t="b">
            <v>0</v>
          </cell>
          <cell r="F19" t="b">
            <v>0</v>
          </cell>
          <cell r="G19" t="b">
            <v>0</v>
          </cell>
          <cell r="H19" t="b">
            <v>0</v>
          </cell>
        </row>
        <row r="20">
          <cell r="A20" t="str">
            <v>Q15</v>
          </cell>
          <cell r="B20">
            <v>0</v>
          </cell>
          <cell r="C20" t="b">
            <v>0</v>
          </cell>
          <cell r="D20" t="b">
            <v>0</v>
          </cell>
          <cell r="E20" t="b">
            <v>0</v>
          </cell>
          <cell r="F20" t="b">
            <v>0</v>
          </cell>
          <cell r="G20" t="b">
            <v>0</v>
          </cell>
          <cell r="H20" t="b">
            <v>0</v>
          </cell>
        </row>
        <row r="21">
          <cell r="A21" t="str">
            <v>Q16</v>
          </cell>
          <cell r="B21">
            <v>0</v>
          </cell>
          <cell r="C21" t="b">
            <v>0</v>
          </cell>
          <cell r="D21" t="b">
            <v>0</v>
          </cell>
          <cell r="E21" t="b">
            <v>0</v>
          </cell>
          <cell r="F21" t="b">
            <v>0</v>
          </cell>
          <cell r="G21" t="b">
            <v>0</v>
          </cell>
          <cell r="H21" t="b">
            <v>0</v>
          </cell>
        </row>
        <row r="22">
          <cell r="A22" t="str">
            <v>Assignment</v>
          </cell>
          <cell r="B22">
            <v>10</v>
          </cell>
          <cell r="C22" t="b">
            <v>1</v>
          </cell>
          <cell r="D22" t="b">
            <v>1</v>
          </cell>
          <cell r="E22" t="b">
            <v>1</v>
          </cell>
          <cell r="F22" t="b">
            <v>0</v>
          </cell>
          <cell r="G22" t="b">
            <v>0</v>
          </cell>
          <cell r="H22" t="b">
            <v>0</v>
          </cell>
        </row>
        <row r="23">
          <cell r="A23" t="str">
            <v>FA1</v>
          </cell>
          <cell r="B23">
            <v>20</v>
          </cell>
          <cell r="C23" t="b">
            <v>1</v>
          </cell>
          <cell r="D23" t="b">
            <v>1</v>
          </cell>
          <cell r="E23" t="b">
            <v>1</v>
          </cell>
          <cell r="F23" t="b">
            <v>0</v>
          </cell>
          <cell r="G23" t="b">
            <v>0</v>
          </cell>
          <cell r="H23" t="b">
            <v>0</v>
          </cell>
        </row>
        <row r="24">
          <cell r="A24" t="str">
            <v>FA2</v>
          </cell>
          <cell r="B24">
            <v>20</v>
          </cell>
          <cell r="C24" t="b">
            <v>1</v>
          </cell>
          <cell r="D24" t="b">
            <v>1</v>
          </cell>
          <cell r="E24" t="b">
            <v>1</v>
          </cell>
          <cell r="F24" t="b">
            <v>0</v>
          </cell>
          <cell r="G24" t="b">
            <v>0</v>
          </cell>
          <cell r="H24" t="b">
            <v>0</v>
          </cell>
        </row>
      </sheetData>
      <sheetData sheetId="4">
        <row r="1">
          <cell r="A1" t="str">
            <v>Sr.no</v>
          </cell>
          <cell r="B1" t="str">
            <v>Admission No. (Roll No.)</v>
          </cell>
          <cell r="C1" t="str">
            <v>Name of Student</v>
          </cell>
          <cell r="D1" t="str">
            <v>Division(Section)</v>
          </cell>
          <cell r="E1" t="str">
            <v>Course Code</v>
          </cell>
          <cell r="F1" t="str">
            <v>Course Name</v>
          </cell>
          <cell r="G1" t="str">
            <v>Lecture Type (Theory/Practical)</v>
          </cell>
          <cell r="H1" t="str">
            <v>Program Name</v>
          </cell>
          <cell r="I1" t="str">
            <v>Department Name</v>
          </cell>
          <cell r="J1" t="str">
            <v>Class Name (Batch)</v>
          </cell>
          <cell r="K1" t="str">
            <v>Semester Name</v>
          </cell>
          <cell r="L1" t="str">
            <v>Exam Name (ETE/ST/FA)</v>
          </cell>
          <cell r="M1" t="str">
            <v>1a</v>
          </cell>
          <cell r="N1" t="str">
            <v>1b</v>
          </cell>
          <cell r="O1" t="str">
            <v>1c</v>
          </cell>
          <cell r="P1" t="str">
            <v>1d</v>
          </cell>
          <cell r="Q1" t="str">
            <v>1e</v>
          </cell>
          <cell r="R1" t="str">
            <v>Q2</v>
          </cell>
          <cell r="S1" t="str">
            <v>Q3</v>
          </cell>
          <cell r="T1" t="str">
            <v>Q4</v>
          </cell>
          <cell r="U1" t="str">
            <v>Q5</v>
          </cell>
          <cell r="V1" t="str">
            <v>Q6</v>
          </cell>
          <cell r="W1" t="str">
            <v>Q7</v>
          </cell>
          <cell r="X1" t="str">
            <v>Q8</v>
          </cell>
          <cell r="Y1" t="str">
            <v>Q9</v>
          </cell>
          <cell r="Z1" t="str">
            <v>Q10</v>
          </cell>
          <cell r="AA1" t="str">
            <v>Q11</v>
          </cell>
          <cell r="AB1" t="str">
            <v>Q12</v>
          </cell>
          <cell r="AC1" t="str">
            <v>Q13</v>
          </cell>
          <cell r="AD1" t="str">
            <v>Q14</v>
          </cell>
          <cell r="AE1" t="str">
            <v>Q15</v>
          </cell>
          <cell r="AF1" t="str">
            <v>Q16</v>
          </cell>
          <cell r="AG1" t="str">
            <v>Assignment</v>
          </cell>
          <cell r="AH1" t="str">
            <v>FA1</v>
          </cell>
          <cell r="AI1" t="str">
            <v>FA2</v>
          </cell>
          <cell r="AJ1" t="str">
            <v>Total Marks</v>
          </cell>
          <cell r="AK1" t="str">
            <v>max Marks</v>
          </cell>
        </row>
        <row r="2">
          <cell r="A2">
            <v>1</v>
          </cell>
          <cell r="B2">
            <v>2010990089</v>
          </cell>
          <cell r="C2" t="str">
            <v>ANSH GARG</v>
          </cell>
          <cell r="E2" t="str">
            <v>EC112</v>
          </cell>
          <cell r="F2" t="str">
            <v>Network Analysis and Synthesis</v>
          </cell>
          <cell r="G2" t="str">
            <v>Theory</v>
          </cell>
          <cell r="H2" t="str">
            <v>B.E</v>
          </cell>
          <cell r="I2" t="str">
            <v>ECE</v>
          </cell>
          <cell r="J2">
            <v>2020</v>
          </cell>
          <cell r="K2">
            <v>3</v>
          </cell>
          <cell r="L2" t="str">
            <v>ST2</v>
          </cell>
          <cell r="M2" t="str">
            <v>U</v>
          </cell>
          <cell r="N2" t="str">
            <v>U</v>
          </cell>
          <cell r="O2" t="str">
            <v>U</v>
          </cell>
          <cell r="P2" t="str">
            <v>U</v>
          </cell>
          <cell r="Q2" t="str">
            <v>U</v>
          </cell>
          <cell r="R2" t="str">
            <v>U</v>
          </cell>
          <cell r="S2" t="str">
            <v>U</v>
          </cell>
          <cell r="T2" t="str">
            <v>U</v>
          </cell>
          <cell r="U2" t="str">
            <v>U</v>
          </cell>
          <cell r="V2" t="str">
            <v>U</v>
          </cell>
          <cell r="W2" t="str">
            <v>U</v>
          </cell>
          <cell r="X2" t="str">
            <v>U</v>
          </cell>
          <cell r="Y2" t="str">
            <v>U</v>
          </cell>
          <cell r="Z2" t="str">
            <v>U</v>
          </cell>
          <cell r="AA2" t="str">
            <v>U</v>
          </cell>
          <cell r="AB2" t="str">
            <v>U</v>
          </cell>
          <cell r="AC2" t="str">
            <v>U</v>
          </cell>
          <cell r="AD2" t="str">
            <v>U</v>
          </cell>
          <cell r="AE2" t="str">
            <v>U</v>
          </cell>
          <cell r="AF2" t="str">
            <v>U</v>
          </cell>
          <cell r="AG2">
            <v>7</v>
          </cell>
          <cell r="AH2">
            <v>15</v>
          </cell>
          <cell r="AI2">
            <v>18</v>
          </cell>
          <cell r="AJ2">
            <v>40</v>
          </cell>
          <cell r="AK2">
            <v>50</v>
          </cell>
        </row>
        <row r="3">
          <cell r="A3">
            <v>2</v>
          </cell>
          <cell r="B3">
            <v>2010992002</v>
          </cell>
          <cell r="C3" t="str">
            <v>PANSY VERMA</v>
          </cell>
          <cell r="E3" t="str">
            <v>EC112</v>
          </cell>
          <cell r="F3" t="str">
            <v>Network Analysis and Synthesis</v>
          </cell>
          <cell r="G3" t="str">
            <v>Theory</v>
          </cell>
          <cell r="H3" t="str">
            <v>B.E</v>
          </cell>
          <cell r="I3" t="str">
            <v>ECE</v>
          </cell>
          <cell r="J3">
            <v>2020</v>
          </cell>
          <cell r="K3">
            <v>3</v>
          </cell>
          <cell r="L3" t="str">
            <v>ST2</v>
          </cell>
          <cell r="M3" t="str">
            <v>U</v>
          </cell>
          <cell r="N3" t="str">
            <v>U</v>
          </cell>
          <cell r="O3" t="str">
            <v>U</v>
          </cell>
          <cell r="P3" t="str">
            <v>U</v>
          </cell>
          <cell r="Q3" t="str">
            <v>U</v>
          </cell>
          <cell r="R3" t="str">
            <v>U</v>
          </cell>
          <cell r="S3" t="str">
            <v>U</v>
          </cell>
          <cell r="T3" t="str">
            <v>U</v>
          </cell>
          <cell r="U3" t="str">
            <v>U</v>
          </cell>
          <cell r="V3" t="str">
            <v>U</v>
          </cell>
          <cell r="W3" t="str">
            <v>U</v>
          </cell>
          <cell r="X3" t="str">
            <v>U</v>
          </cell>
          <cell r="Y3" t="str">
            <v>U</v>
          </cell>
          <cell r="Z3" t="str">
            <v>U</v>
          </cell>
          <cell r="AA3" t="str">
            <v>U</v>
          </cell>
          <cell r="AB3" t="str">
            <v>U</v>
          </cell>
          <cell r="AC3" t="str">
            <v>U</v>
          </cell>
          <cell r="AD3" t="str">
            <v>U</v>
          </cell>
          <cell r="AE3" t="str">
            <v>U</v>
          </cell>
          <cell r="AF3" t="str">
            <v>U</v>
          </cell>
          <cell r="AG3">
            <v>10</v>
          </cell>
          <cell r="AH3">
            <v>16</v>
          </cell>
          <cell r="AI3">
            <v>18</v>
          </cell>
          <cell r="AJ3">
            <v>44</v>
          </cell>
          <cell r="AK3">
            <v>50</v>
          </cell>
        </row>
        <row r="4">
          <cell r="A4">
            <v>3</v>
          </cell>
          <cell r="B4">
            <v>2010992004</v>
          </cell>
          <cell r="C4" t="str">
            <v>UTKARSH BHATT</v>
          </cell>
          <cell r="E4" t="str">
            <v>EC112</v>
          </cell>
          <cell r="F4" t="str">
            <v>Network Analysis and Synthesis</v>
          </cell>
          <cell r="G4" t="str">
            <v>Theory</v>
          </cell>
          <cell r="H4" t="str">
            <v>B.E</v>
          </cell>
          <cell r="I4" t="str">
            <v>ECE</v>
          </cell>
          <cell r="J4">
            <v>2020</v>
          </cell>
          <cell r="K4">
            <v>3</v>
          </cell>
          <cell r="L4" t="str">
            <v>ST2</v>
          </cell>
          <cell r="M4" t="str">
            <v>U</v>
          </cell>
          <cell r="N4" t="str">
            <v>U</v>
          </cell>
          <cell r="O4" t="str">
            <v>U</v>
          </cell>
          <cell r="P4" t="str">
            <v>U</v>
          </cell>
          <cell r="Q4" t="str">
            <v>U</v>
          </cell>
          <cell r="R4" t="str">
            <v>U</v>
          </cell>
          <cell r="S4" t="str">
            <v>U</v>
          </cell>
          <cell r="T4" t="str">
            <v>U</v>
          </cell>
          <cell r="U4" t="str">
            <v>U</v>
          </cell>
          <cell r="V4" t="str">
            <v>U</v>
          </cell>
          <cell r="W4" t="str">
            <v>U</v>
          </cell>
          <cell r="X4" t="str">
            <v>U</v>
          </cell>
          <cell r="Y4" t="str">
            <v>U</v>
          </cell>
          <cell r="Z4" t="str">
            <v>U</v>
          </cell>
          <cell r="AA4" t="str">
            <v>U</v>
          </cell>
          <cell r="AB4" t="str">
            <v>U</v>
          </cell>
          <cell r="AC4" t="str">
            <v>U</v>
          </cell>
          <cell r="AD4" t="str">
            <v>U</v>
          </cell>
          <cell r="AE4" t="str">
            <v>U</v>
          </cell>
          <cell r="AF4" t="str">
            <v>U</v>
          </cell>
          <cell r="AG4">
            <v>7</v>
          </cell>
          <cell r="AH4">
            <v>15</v>
          </cell>
          <cell r="AI4">
            <v>18</v>
          </cell>
          <cell r="AJ4">
            <v>40</v>
          </cell>
          <cell r="AK4">
            <v>50</v>
          </cell>
        </row>
        <row r="5">
          <cell r="A5">
            <v>4</v>
          </cell>
          <cell r="B5">
            <v>2010992005</v>
          </cell>
          <cell r="C5" t="str">
            <v>RATANABH SHARMA</v>
          </cell>
          <cell r="E5" t="str">
            <v>EC112</v>
          </cell>
          <cell r="F5" t="str">
            <v>Network Analysis and Synthesis</v>
          </cell>
          <cell r="G5" t="str">
            <v>Theory</v>
          </cell>
          <cell r="H5" t="str">
            <v>B.E</v>
          </cell>
          <cell r="I5" t="str">
            <v>ECE</v>
          </cell>
          <cell r="J5">
            <v>2020</v>
          </cell>
          <cell r="K5">
            <v>3</v>
          </cell>
          <cell r="L5" t="str">
            <v>ST2</v>
          </cell>
          <cell r="M5" t="str">
            <v>U</v>
          </cell>
          <cell r="N5" t="str">
            <v>U</v>
          </cell>
          <cell r="O5" t="str">
            <v>U</v>
          </cell>
          <cell r="P5" t="str">
            <v>U</v>
          </cell>
          <cell r="Q5" t="str">
            <v>U</v>
          </cell>
          <cell r="R5" t="str">
            <v>U</v>
          </cell>
          <cell r="S5" t="str">
            <v>U</v>
          </cell>
          <cell r="T5" t="str">
            <v>U</v>
          </cell>
          <cell r="U5" t="str">
            <v>U</v>
          </cell>
          <cell r="V5" t="str">
            <v>U</v>
          </cell>
          <cell r="W5" t="str">
            <v>U</v>
          </cell>
          <cell r="X5" t="str">
            <v>U</v>
          </cell>
          <cell r="Y5" t="str">
            <v>U</v>
          </cell>
          <cell r="Z5" t="str">
            <v>U</v>
          </cell>
          <cell r="AA5" t="str">
            <v>U</v>
          </cell>
          <cell r="AB5" t="str">
            <v>U</v>
          </cell>
          <cell r="AC5" t="str">
            <v>U</v>
          </cell>
          <cell r="AD5" t="str">
            <v>U</v>
          </cell>
          <cell r="AE5" t="str">
            <v>U</v>
          </cell>
          <cell r="AF5" t="str">
            <v>U</v>
          </cell>
          <cell r="AG5">
            <v>10</v>
          </cell>
          <cell r="AH5">
            <v>17</v>
          </cell>
          <cell r="AI5">
            <v>18</v>
          </cell>
          <cell r="AJ5">
            <v>45</v>
          </cell>
          <cell r="AK5">
            <v>50</v>
          </cell>
        </row>
        <row r="6">
          <cell r="A6">
            <v>5</v>
          </cell>
          <cell r="B6">
            <v>2010992006</v>
          </cell>
          <cell r="C6" t="str">
            <v>AYUSH SHARMA</v>
          </cell>
          <cell r="E6" t="str">
            <v>EC112</v>
          </cell>
          <cell r="F6" t="str">
            <v>Network Analysis and Synthesis</v>
          </cell>
          <cell r="G6" t="str">
            <v>Theory</v>
          </cell>
          <cell r="H6" t="str">
            <v>B.E</v>
          </cell>
          <cell r="I6" t="str">
            <v>ECE</v>
          </cell>
          <cell r="J6">
            <v>2020</v>
          </cell>
          <cell r="K6">
            <v>3</v>
          </cell>
          <cell r="L6" t="str">
            <v>ST2</v>
          </cell>
          <cell r="M6" t="str">
            <v>U</v>
          </cell>
          <cell r="N6" t="str">
            <v>U</v>
          </cell>
          <cell r="O6" t="str">
            <v>U</v>
          </cell>
          <cell r="P6" t="str">
            <v>U</v>
          </cell>
          <cell r="Q6" t="str">
            <v>U</v>
          </cell>
          <cell r="R6" t="str">
            <v>U</v>
          </cell>
          <cell r="S6" t="str">
            <v>U</v>
          </cell>
          <cell r="T6" t="str">
            <v>U</v>
          </cell>
          <cell r="U6" t="str">
            <v>U</v>
          </cell>
          <cell r="V6" t="str">
            <v>U</v>
          </cell>
          <cell r="W6" t="str">
            <v>U</v>
          </cell>
          <cell r="X6" t="str">
            <v>U</v>
          </cell>
          <cell r="Y6" t="str">
            <v>U</v>
          </cell>
          <cell r="Z6" t="str">
            <v>U</v>
          </cell>
          <cell r="AA6" t="str">
            <v>U</v>
          </cell>
          <cell r="AB6" t="str">
            <v>U</v>
          </cell>
          <cell r="AC6" t="str">
            <v>U</v>
          </cell>
          <cell r="AD6" t="str">
            <v>U</v>
          </cell>
          <cell r="AE6" t="str">
            <v>U</v>
          </cell>
          <cell r="AF6" t="str">
            <v>U</v>
          </cell>
          <cell r="AG6">
            <v>7</v>
          </cell>
          <cell r="AH6">
            <v>14</v>
          </cell>
          <cell r="AI6">
            <v>16</v>
          </cell>
          <cell r="AJ6">
            <v>37</v>
          </cell>
          <cell r="AK6">
            <v>50</v>
          </cell>
        </row>
        <row r="7">
          <cell r="A7">
            <v>6</v>
          </cell>
          <cell r="B7">
            <v>2010992008</v>
          </cell>
          <cell r="C7" t="str">
            <v>NAVDEEP SINGH</v>
          </cell>
          <cell r="E7" t="str">
            <v>EC112</v>
          </cell>
          <cell r="F7" t="str">
            <v>Network Analysis and Synthesis</v>
          </cell>
          <cell r="G7" t="str">
            <v>Theory</v>
          </cell>
          <cell r="H7" t="str">
            <v>B.E</v>
          </cell>
          <cell r="I7" t="str">
            <v>ECE</v>
          </cell>
          <cell r="J7">
            <v>2020</v>
          </cell>
          <cell r="K7">
            <v>3</v>
          </cell>
          <cell r="L7" t="str">
            <v>ST2</v>
          </cell>
          <cell r="M7" t="str">
            <v>U</v>
          </cell>
          <cell r="N7" t="str">
            <v>U</v>
          </cell>
          <cell r="O7" t="str">
            <v>U</v>
          </cell>
          <cell r="P7" t="str">
            <v>U</v>
          </cell>
          <cell r="Q7" t="str">
            <v>U</v>
          </cell>
          <cell r="R7" t="str">
            <v>U</v>
          </cell>
          <cell r="S7" t="str">
            <v>U</v>
          </cell>
          <cell r="T7" t="str">
            <v>U</v>
          </cell>
          <cell r="U7" t="str">
            <v>U</v>
          </cell>
          <cell r="V7" t="str">
            <v>U</v>
          </cell>
          <cell r="W7" t="str">
            <v>U</v>
          </cell>
          <cell r="X7" t="str">
            <v>U</v>
          </cell>
          <cell r="Y7" t="str">
            <v>U</v>
          </cell>
          <cell r="Z7" t="str">
            <v>U</v>
          </cell>
          <cell r="AA7" t="str">
            <v>U</v>
          </cell>
          <cell r="AB7" t="str">
            <v>U</v>
          </cell>
          <cell r="AC7" t="str">
            <v>U</v>
          </cell>
          <cell r="AD7" t="str">
            <v>U</v>
          </cell>
          <cell r="AE7" t="str">
            <v>U</v>
          </cell>
          <cell r="AF7" t="str">
            <v>U</v>
          </cell>
          <cell r="AG7">
            <v>9</v>
          </cell>
          <cell r="AH7">
            <v>16</v>
          </cell>
          <cell r="AI7">
            <v>18</v>
          </cell>
          <cell r="AJ7">
            <v>43</v>
          </cell>
          <cell r="AK7">
            <v>50</v>
          </cell>
        </row>
        <row r="8">
          <cell r="A8">
            <v>7</v>
          </cell>
          <cell r="B8">
            <v>2010992009</v>
          </cell>
          <cell r="C8" t="str">
            <v>RIYA</v>
          </cell>
          <cell r="E8" t="str">
            <v>EC112</v>
          </cell>
          <cell r="F8" t="str">
            <v>Network Analysis and Synthesis</v>
          </cell>
          <cell r="G8" t="str">
            <v>Theory</v>
          </cell>
          <cell r="H8" t="str">
            <v>B.E</v>
          </cell>
          <cell r="I8" t="str">
            <v>ECE</v>
          </cell>
          <cell r="J8">
            <v>2020</v>
          </cell>
          <cell r="K8">
            <v>3</v>
          </cell>
          <cell r="L8" t="str">
            <v>ST2</v>
          </cell>
          <cell r="M8" t="str">
            <v>U</v>
          </cell>
          <cell r="N8" t="str">
            <v>U</v>
          </cell>
          <cell r="O8" t="str">
            <v>U</v>
          </cell>
          <cell r="P8" t="str">
            <v>U</v>
          </cell>
          <cell r="Q8" t="str">
            <v>U</v>
          </cell>
          <cell r="R8" t="str">
            <v>U</v>
          </cell>
          <cell r="S8" t="str">
            <v>U</v>
          </cell>
          <cell r="T8" t="str">
            <v>U</v>
          </cell>
          <cell r="U8" t="str">
            <v>U</v>
          </cell>
          <cell r="V8" t="str">
            <v>U</v>
          </cell>
          <cell r="W8" t="str">
            <v>U</v>
          </cell>
          <cell r="X8" t="str">
            <v>U</v>
          </cell>
          <cell r="Y8" t="str">
            <v>U</v>
          </cell>
          <cell r="Z8" t="str">
            <v>U</v>
          </cell>
          <cell r="AA8" t="str">
            <v>U</v>
          </cell>
          <cell r="AB8" t="str">
            <v>U</v>
          </cell>
          <cell r="AC8" t="str">
            <v>U</v>
          </cell>
          <cell r="AD8" t="str">
            <v>U</v>
          </cell>
          <cell r="AE8" t="str">
            <v>U</v>
          </cell>
          <cell r="AF8" t="str">
            <v>U</v>
          </cell>
          <cell r="AG8">
            <v>9</v>
          </cell>
          <cell r="AH8">
            <v>16</v>
          </cell>
          <cell r="AI8">
            <v>18</v>
          </cell>
          <cell r="AJ8">
            <v>43</v>
          </cell>
          <cell r="AK8">
            <v>50</v>
          </cell>
        </row>
        <row r="9">
          <cell r="A9">
            <v>8</v>
          </cell>
          <cell r="B9">
            <v>2010992010</v>
          </cell>
          <cell r="C9" t="str">
            <v>RISHABH TANDON</v>
          </cell>
          <cell r="E9" t="str">
            <v>EC112</v>
          </cell>
          <cell r="F9" t="str">
            <v>Network Analysis and Synthesis</v>
          </cell>
          <cell r="G9" t="str">
            <v>Theory</v>
          </cell>
          <cell r="H9" t="str">
            <v>B.E</v>
          </cell>
          <cell r="I9" t="str">
            <v>ECE</v>
          </cell>
          <cell r="J9">
            <v>2020</v>
          </cell>
          <cell r="K9">
            <v>3</v>
          </cell>
          <cell r="L9" t="str">
            <v>ST2</v>
          </cell>
          <cell r="M9" t="str">
            <v>U</v>
          </cell>
          <cell r="N9" t="str">
            <v>U</v>
          </cell>
          <cell r="O9" t="str">
            <v>U</v>
          </cell>
          <cell r="P9" t="str">
            <v>U</v>
          </cell>
          <cell r="Q9" t="str">
            <v>U</v>
          </cell>
          <cell r="R9" t="str">
            <v>U</v>
          </cell>
          <cell r="S9" t="str">
            <v>U</v>
          </cell>
          <cell r="T9" t="str">
            <v>U</v>
          </cell>
          <cell r="U9" t="str">
            <v>U</v>
          </cell>
          <cell r="V9" t="str">
            <v>U</v>
          </cell>
          <cell r="W9" t="str">
            <v>U</v>
          </cell>
          <cell r="X9" t="str">
            <v>U</v>
          </cell>
          <cell r="Y9" t="str">
            <v>U</v>
          </cell>
          <cell r="Z9" t="str">
            <v>U</v>
          </cell>
          <cell r="AA9" t="str">
            <v>U</v>
          </cell>
          <cell r="AB9" t="str">
            <v>U</v>
          </cell>
          <cell r="AC9" t="str">
            <v>U</v>
          </cell>
          <cell r="AD9" t="str">
            <v>U</v>
          </cell>
          <cell r="AE9" t="str">
            <v>U</v>
          </cell>
          <cell r="AF9" t="str">
            <v>U</v>
          </cell>
          <cell r="AG9">
            <v>9</v>
          </cell>
          <cell r="AH9">
            <v>17</v>
          </cell>
          <cell r="AI9">
            <v>18</v>
          </cell>
          <cell r="AJ9">
            <v>44</v>
          </cell>
          <cell r="AK9">
            <v>50</v>
          </cell>
        </row>
        <row r="10">
          <cell r="A10">
            <v>9</v>
          </cell>
          <cell r="B10">
            <v>2010992011</v>
          </cell>
          <cell r="C10" t="str">
            <v>HEERENDRA SINGH CHAUHAN</v>
          </cell>
          <cell r="E10" t="str">
            <v>EC112</v>
          </cell>
          <cell r="F10" t="str">
            <v>Network Analysis and Synthesis</v>
          </cell>
          <cell r="G10" t="str">
            <v>Theory</v>
          </cell>
          <cell r="H10" t="str">
            <v>B.E</v>
          </cell>
          <cell r="I10" t="str">
            <v>ECE</v>
          </cell>
          <cell r="J10">
            <v>2020</v>
          </cell>
          <cell r="K10">
            <v>3</v>
          </cell>
          <cell r="L10" t="str">
            <v>ST2</v>
          </cell>
          <cell r="M10" t="str">
            <v>U</v>
          </cell>
          <cell r="N10" t="str">
            <v>U</v>
          </cell>
          <cell r="O10" t="str">
            <v>U</v>
          </cell>
          <cell r="P10" t="str">
            <v>U</v>
          </cell>
          <cell r="Q10" t="str">
            <v>U</v>
          </cell>
          <cell r="R10" t="str">
            <v>U</v>
          </cell>
          <cell r="S10" t="str">
            <v>U</v>
          </cell>
          <cell r="T10" t="str">
            <v>U</v>
          </cell>
          <cell r="U10" t="str">
            <v>U</v>
          </cell>
          <cell r="V10" t="str">
            <v>U</v>
          </cell>
          <cell r="W10" t="str">
            <v>U</v>
          </cell>
          <cell r="X10" t="str">
            <v>U</v>
          </cell>
          <cell r="Y10" t="str">
            <v>U</v>
          </cell>
          <cell r="Z10" t="str">
            <v>U</v>
          </cell>
          <cell r="AA10" t="str">
            <v>U</v>
          </cell>
          <cell r="AB10" t="str">
            <v>U</v>
          </cell>
          <cell r="AC10" t="str">
            <v>U</v>
          </cell>
          <cell r="AD10" t="str">
            <v>U</v>
          </cell>
          <cell r="AE10" t="str">
            <v>U</v>
          </cell>
          <cell r="AF10" t="str">
            <v>U</v>
          </cell>
          <cell r="AG10">
            <v>7</v>
          </cell>
          <cell r="AH10">
            <v>12</v>
          </cell>
          <cell r="AI10">
            <v>10</v>
          </cell>
          <cell r="AJ10">
            <v>29</v>
          </cell>
          <cell r="AK10">
            <v>50</v>
          </cell>
        </row>
        <row r="11">
          <cell r="A11">
            <v>10</v>
          </cell>
          <cell r="B11">
            <v>2010992012</v>
          </cell>
          <cell r="C11" t="str">
            <v>AKSHAT</v>
          </cell>
          <cell r="E11" t="str">
            <v>EC112</v>
          </cell>
          <cell r="F11" t="str">
            <v>Network Analysis and Synthesis</v>
          </cell>
          <cell r="G11" t="str">
            <v>Theory</v>
          </cell>
          <cell r="H11" t="str">
            <v>B.E</v>
          </cell>
          <cell r="I11" t="str">
            <v>ECE</v>
          </cell>
          <cell r="J11">
            <v>2020</v>
          </cell>
          <cell r="K11">
            <v>3</v>
          </cell>
          <cell r="L11" t="str">
            <v>ST2</v>
          </cell>
          <cell r="M11" t="str">
            <v>U</v>
          </cell>
          <cell r="N11" t="str">
            <v>U</v>
          </cell>
          <cell r="O11" t="str">
            <v>U</v>
          </cell>
          <cell r="P11" t="str">
            <v>U</v>
          </cell>
          <cell r="Q11" t="str">
            <v>U</v>
          </cell>
          <cell r="R11" t="str">
            <v>U</v>
          </cell>
          <cell r="S11" t="str">
            <v>U</v>
          </cell>
          <cell r="T11" t="str">
            <v>U</v>
          </cell>
          <cell r="U11" t="str">
            <v>U</v>
          </cell>
          <cell r="V11" t="str">
            <v>U</v>
          </cell>
          <cell r="W11" t="str">
            <v>U</v>
          </cell>
          <cell r="X11" t="str">
            <v>U</v>
          </cell>
          <cell r="Y11" t="str">
            <v>U</v>
          </cell>
          <cell r="Z11" t="str">
            <v>U</v>
          </cell>
          <cell r="AA11" t="str">
            <v>U</v>
          </cell>
          <cell r="AB11" t="str">
            <v>U</v>
          </cell>
          <cell r="AC11" t="str">
            <v>U</v>
          </cell>
          <cell r="AD11" t="str">
            <v>U</v>
          </cell>
          <cell r="AE11" t="str">
            <v>U</v>
          </cell>
          <cell r="AF11" t="str">
            <v>U</v>
          </cell>
          <cell r="AG11">
            <v>10</v>
          </cell>
          <cell r="AH11">
            <v>16</v>
          </cell>
          <cell r="AI11">
            <v>18</v>
          </cell>
          <cell r="AJ11">
            <v>44</v>
          </cell>
          <cell r="AK11">
            <v>50</v>
          </cell>
        </row>
        <row r="12">
          <cell r="A12">
            <v>11</v>
          </cell>
          <cell r="B12">
            <v>2010992014</v>
          </cell>
          <cell r="C12" t="str">
            <v>HARSHIT CHAHAL</v>
          </cell>
          <cell r="E12" t="str">
            <v>EC112</v>
          </cell>
          <cell r="F12" t="str">
            <v>Network Analysis and Synthesis</v>
          </cell>
          <cell r="G12" t="str">
            <v>Theory</v>
          </cell>
          <cell r="H12" t="str">
            <v>B.E</v>
          </cell>
          <cell r="I12" t="str">
            <v>ECE</v>
          </cell>
          <cell r="J12">
            <v>2020</v>
          </cell>
          <cell r="K12">
            <v>3</v>
          </cell>
          <cell r="L12" t="str">
            <v>ST2</v>
          </cell>
          <cell r="M12" t="str">
            <v>U</v>
          </cell>
          <cell r="N12" t="str">
            <v>U</v>
          </cell>
          <cell r="O12" t="str">
            <v>U</v>
          </cell>
          <cell r="P12" t="str">
            <v>U</v>
          </cell>
          <cell r="Q12" t="str">
            <v>U</v>
          </cell>
          <cell r="R12" t="str">
            <v>U</v>
          </cell>
          <cell r="S12" t="str">
            <v>U</v>
          </cell>
          <cell r="T12" t="str">
            <v>U</v>
          </cell>
          <cell r="U12" t="str">
            <v>U</v>
          </cell>
          <cell r="V12" t="str">
            <v>U</v>
          </cell>
          <cell r="W12" t="str">
            <v>U</v>
          </cell>
          <cell r="X12" t="str">
            <v>U</v>
          </cell>
          <cell r="Y12" t="str">
            <v>U</v>
          </cell>
          <cell r="Z12" t="str">
            <v>U</v>
          </cell>
          <cell r="AA12" t="str">
            <v>U</v>
          </cell>
          <cell r="AB12" t="str">
            <v>U</v>
          </cell>
          <cell r="AC12" t="str">
            <v>U</v>
          </cell>
          <cell r="AD12" t="str">
            <v>U</v>
          </cell>
          <cell r="AE12" t="str">
            <v>U</v>
          </cell>
          <cell r="AF12" t="str">
            <v>U</v>
          </cell>
          <cell r="AG12">
            <v>9</v>
          </cell>
          <cell r="AH12">
            <v>18</v>
          </cell>
          <cell r="AI12">
            <v>16</v>
          </cell>
          <cell r="AJ12">
            <v>43</v>
          </cell>
          <cell r="AK12">
            <v>50</v>
          </cell>
        </row>
        <row r="13">
          <cell r="A13">
            <v>12</v>
          </cell>
          <cell r="B13">
            <v>2010992015</v>
          </cell>
          <cell r="C13" t="str">
            <v>URVANSH NAHATA</v>
          </cell>
          <cell r="E13" t="str">
            <v>EC112</v>
          </cell>
          <cell r="F13" t="str">
            <v>Network Analysis and Synthesis</v>
          </cell>
          <cell r="G13" t="str">
            <v>Theory</v>
          </cell>
          <cell r="H13" t="str">
            <v>B.E</v>
          </cell>
          <cell r="I13" t="str">
            <v>ECE</v>
          </cell>
          <cell r="J13">
            <v>2020</v>
          </cell>
          <cell r="K13">
            <v>3</v>
          </cell>
          <cell r="L13" t="str">
            <v>ST2</v>
          </cell>
          <cell r="M13" t="str">
            <v>U</v>
          </cell>
          <cell r="N13" t="str">
            <v>U</v>
          </cell>
          <cell r="O13" t="str">
            <v>U</v>
          </cell>
          <cell r="P13" t="str">
            <v>U</v>
          </cell>
          <cell r="Q13" t="str">
            <v>U</v>
          </cell>
          <cell r="R13" t="str">
            <v>U</v>
          </cell>
          <cell r="S13" t="str">
            <v>U</v>
          </cell>
          <cell r="T13" t="str">
            <v>U</v>
          </cell>
          <cell r="U13" t="str">
            <v>U</v>
          </cell>
          <cell r="V13" t="str">
            <v>U</v>
          </cell>
          <cell r="W13" t="str">
            <v>U</v>
          </cell>
          <cell r="X13" t="str">
            <v>U</v>
          </cell>
          <cell r="Y13" t="str">
            <v>U</v>
          </cell>
          <cell r="Z13" t="str">
            <v>U</v>
          </cell>
          <cell r="AA13" t="str">
            <v>U</v>
          </cell>
          <cell r="AB13" t="str">
            <v>U</v>
          </cell>
          <cell r="AC13" t="str">
            <v>U</v>
          </cell>
          <cell r="AD13" t="str">
            <v>U</v>
          </cell>
          <cell r="AE13" t="str">
            <v>U</v>
          </cell>
          <cell r="AF13" t="str">
            <v>U</v>
          </cell>
          <cell r="AG13">
            <v>7</v>
          </cell>
          <cell r="AH13">
            <v>14</v>
          </cell>
          <cell r="AI13">
            <v>14</v>
          </cell>
          <cell r="AJ13">
            <v>35</v>
          </cell>
          <cell r="AK13">
            <v>50</v>
          </cell>
        </row>
        <row r="14">
          <cell r="A14">
            <v>13</v>
          </cell>
          <cell r="B14">
            <v>2010992016</v>
          </cell>
          <cell r="C14" t="str">
            <v>VARUN</v>
          </cell>
          <cell r="E14" t="str">
            <v>EC112</v>
          </cell>
          <cell r="F14" t="str">
            <v>Network Analysis and Synthesis</v>
          </cell>
          <cell r="G14" t="str">
            <v>Theory</v>
          </cell>
          <cell r="H14" t="str">
            <v>B.E</v>
          </cell>
          <cell r="I14" t="str">
            <v>ECE</v>
          </cell>
          <cell r="J14">
            <v>2020</v>
          </cell>
          <cell r="K14">
            <v>3</v>
          </cell>
          <cell r="L14" t="str">
            <v>ST2</v>
          </cell>
          <cell r="M14" t="str">
            <v>U</v>
          </cell>
          <cell r="N14" t="str">
            <v>U</v>
          </cell>
          <cell r="O14" t="str">
            <v>U</v>
          </cell>
          <cell r="P14" t="str">
            <v>U</v>
          </cell>
          <cell r="Q14" t="str">
            <v>U</v>
          </cell>
          <cell r="R14" t="str">
            <v>U</v>
          </cell>
          <cell r="S14" t="str">
            <v>U</v>
          </cell>
          <cell r="T14" t="str">
            <v>U</v>
          </cell>
          <cell r="U14" t="str">
            <v>U</v>
          </cell>
          <cell r="V14" t="str">
            <v>U</v>
          </cell>
          <cell r="W14" t="str">
            <v>U</v>
          </cell>
          <cell r="X14" t="str">
            <v>U</v>
          </cell>
          <cell r="Y14" t="str">
            <v>U</v>
          </cell>
          <cell r="Z14" t="str">
            <v>U</v>
          </cell>
          <cell r="AA14" t="str">
            <v>U</v>
          </cell>
          <cell r="AB14" t="str">
            <v>U</v>
          </cell>
          <cell r="AC14" t="str">
            <v>U</v>
          </cell>
          <cell r="AD14" t="str">
            <v>U</v>
          </cell>
          <cell r="AE14" t="str">
            <v>U</v>
          </cell>
          <cell r="AF14" t="str">
            <v>U</v>
          </cell>
          <cell r="AG14">
            <v>10</v>
          </cell>
          <cell r="AH14">
            <v>11</v>
          </cell>
          <cell r="AI14">
            <v>10</v>
          </cell>
          <cell r="AJ14">
            <v>31</v>
          </cell>
          <cell r="AK14">
            <v>50</v>
          </cell>
        </row>
        <row r="15">
          <cell r="A15">
            <v>14</v>
          </cell>
          <cell r="B15">
            <v>2010992017</v>
          </cell>
          <cell r="C15" t="str">
            <v>MRIDUL AGGARWAL</v>
          </cell>
          <cell r="E15" t="str">
            <v>EC112</v>
          </cell>
          <cell r="F15" t="str">
            <v>Network Analysis and Synthesis</v>
          </cell>
          <cell r="G15" t="str">
            <v>Theory</v>
          </cell>
          <cell r="H15" t="str">
            <v>B.E</v>
          </cell>
          <cell r="I15" t="str">
            <v>ECE</v>
          </cell>
          <cell r="J15">
            <v>2020</v>
          </cell>
          <cell r="K15">
            <v>3</v>
          </cell>
          <cell r="L15" t="str">
            <v>ST2</v>
          </cell>
          <cell r="M15" t="str">
            <v>U</v>
          </cell>
          <cell r="N15" t="str">
            <v>U</v>
          </cell>
          <cell r="O15" t="str">
            <v>U</v>
          </cell>
          <cell r="P15" t="str">
            <v>U</v>
          </cell>
          <cell r="Q15" t="str">
            <v>U</v>
          </cell>
          <cell r="R15" t="str">
            <v>U</v>
          </cell>
          <cell r="S15" t="str">
            <v>U</v>
          </cell>
          <cell r="T15" t="str">
            <v>U</v>
          </cell>
          <cell r="U15" t="str">
            <v>U</v>
          </cell>
          <cell r="V15" t="str">
            <v>U</v>
          </cell>
          <cell r="W15" t="str">
            <v>U</v>
          </cell>
          <cell r="X15" t="str">
            <v>U</v>
          </cell>
          <cell r="Y15" t="str">
            <v>U</v>
          </cell>
          <cell r="Z15" t="str">
            <v>U</v>
          </cell>
          <cell r="AA15" t="str">
            <v>U</v>
          </cell>
          <cell r="AB15" t="str">
            <v>U</v>
          </cell>
          <cell r="AC15" t="str">
            <v>U</v>
          </cell>
          <cell r="AD15" t="str">
            <v>U</v>
          </cell>
          <cell r="AE15" t="str">
            <v>U</v>
          </cell>
          <cell r="AF15" t="str">
            <v>U</v>
          </cell>
          <cell r="AG15">
            <v>7</v>
          </cell>
          <cell r="AH15">
            <v>17</v>
          </cell>
          <cell r="AI15">
            <v>16</v>
          </cell>
          <cell r="AJ15">
            <v>40</v>
          </cell>
          <cell r="AK15">
            <v>50</v>
          </cell>
        </row>
        <row r="16">
          <cell r="A16">
            <v>15</v>
          </cell>
          <cell r="B16">
            <v>2010992018</v>
          </cell>
          <cell r="C16" t="str">
            <v>SHAKSHI SINGH</v>
          </cell>
          <cell r="E16" t="str">
            <v>EC112</v>
          </cell>
          <cell r="F16" t="str">
            <v>Network Analysis and Synthesis</v>
          </cell>
          <cell r="G16" t="str">
            <v>Theory</v>
          </cell>
          <cell r="H16" t="str">
            <v>B.E</v>
          </cell>
          <cell r="I16" t="str">
            <v>ECE</v>
          </cell>
          <cell r="J16">
            <v>2020</v>
          </cell>
          <cell r="K16">
            <v>3</v>
          </cell>
          <cell r="L16" t="str">
            <v>ST2</v>
          </cell>
          <cell r="M16" t="str">
            <v>U</v>
          </cell>
          <cell r="N16" t="str">
            <v>U</v>
          </cell>
          <cell r="O16" t="str">
            <v>U</v>
          </cell>
          <cell r="P16" t="str">
            <v>U</v>
          </cell>
          <cell r="Q16" t="str">
            <v>U</v>
          </cell>
          <cell r="R16" t="str">
            <v>U</v>
          </cell>
          <cell r="S16" t="str">
            <v>U</v>
          </cell>
          <cell r="T16" t="str">
            <v>U</v>
          </cell>
          <cell r="U16" t="str">
            <v>U</v>
          </cell>
          <cell r="V16" t="str">
            <v>U</v>
          </cell>
          <cell r="W16" t="str">
            <v>U</v>
          </cell>
          <cell r="X16" t="str">
            <v>U</v>
          </cell>
          <cell r="Y16" t="str">
            <v>U</v>
          </cell>
          <cell r="Z16" t="str">
            <v>U</v>
          </cell>
          <cell r="AA16" t="str">
            <v>U</v>
          </cell>
          <cell r="AB16" t="str">
            <v>U</v>
          </cell>
          <cell r="AC16" t="str">
            <v>U</v>
          </cell>
          <cell r="AD16" t="str">
            <v>U</v>
          </cell>
          <cell r="AE16" t="str">
            <v>U</v>
          </cell>
          <cell r="AF16" t="str">
            <v>U</v>
          </cell>
          <cell r="AG16">
            <v>10</v>
          </cell>
          <cell r="AH16">
            <v>17</v>
          </cell>
          <cell r="AI16">
            <v>16</v>
          </cell>
          <cell r="AJ16">
            <v>43</v>
          </cell>
          <cell r="AK16">
            <v>50</v>
          </cell>
        </row>
        <row r="17">
          <cell r="A17">
            <v>16</v>
          </cell>
          <cell r="B17">
            <v>2010992019</v>
          </cell>
          <cell r="C17" t="str">
            <v>KHAN MUBASHIR RASOOL</v>
          </cell>
          <cell r="E17" t="str">
            <v>EC112</v>
          </cell>
          <cell r="F17" t="str">
            <v>Network Analysis and Synthesis</v>
          </cell>
          <cell r="G17" t="str">
            <v>Theory</v>
          </cell>
          <cell r="H17" t="str">
            <v>B.E</v>
          </cell>
          <cell r="I17" t="str">
            <v>ECE</v>
          </cell>
          <cell r="J17">
            <v>2020</v>
          </cell>
          <cell r="K17">
            <v>3</v>
          </cell>
          <cell r="L17" t="str">
            <v>ST2</v>
          </cell>
          <cell r="M17" t="str">
            <v>U</v>
          </cell>
          <cell r="N17" t="str">
            <v>U</v>
          </cell>
          <cell r="O17" t="str">
            <v>U</v>
          </cell>
          <cell r="P17" t="str">
            <v>U</v>
          </cell>
          <cell r="Q17" t="str">
            <v>U</v>
          </cell>
          <cell r="R17" t="str">
            <v>U</v>
          </cell>
          <cell r="S17" t="str">
            <v>U</v>
          </cell>
          <cell r="T17" t="str">
            <v>U</v>
          </cell>
          <cell r="U17" t="str">
            <v>U</v>
          </cell>
          <cell r="V17" t="str">
            <v>U</v>
          </cell>
          <cell r="W17" t="str">
            <v>U</v>
          </cell>
          <cell r="X17" t="str">
            <v>U</v>
          </cell>
          <cell r="Y17" t="str">
            <v>U</v>
          </cell>
          <cell r="Z17" t="str">
            <v>U</v>
          </cell>
          <cell r="AA17" t="str">
            <v>U</v>
          </cell>
          <cell r="AB17" t="str">
            <v>U</v>
          </cell>
          <cell r="AC17" t="str">
            <v>U</v>
          </cell>
          <cell r="AD17" t="str">
            <v>U</v>
          </cell>
          <cell r="AE17" t="str">
            <v>U</v>
          </cell>
          <cell r="AF17" t="str">
            <v>U</v>
          </cell>
          <cell r="AG17">
            <v>10</v>
          </cell>
          <cell r="AH17">
            <v>16</v>
          </cell>
          <cell r="AI17">
            <v>16</v>
          </cell>
          <cell r="AJ17">
            <v>42</v>
          </cell>
          <cell r="AK17">
            <v>50</v>
          </cell>
        </row>
        <row r="18">
          <cell r="A18">
            <v>17</v>
          </cell>
          <cell r="B18">
            <v>2010992163</v>
          </cell>
          <cell r="C18" t="str">
            <v>TAMANA SIAG</v>
          </cell>
          <cell r="E18" t="str">
            <v>EC112</v>
          </cell>
          <cell r="F18" t="str">
            <v>Network Analysis and Synthesis</v>
          </cell>
          <cell r="G18" t="str">
            <v>Theory</v>
          </cell>
          <cell r="H18" t="str">
            <v>B.E</v>
          </cell>
          <cell r="I18" t="str">
            <v>ECE</v>
          </cell>
          <cell r="J18">
            <v>2020</v>
          </cell>
          <cell r="K18">
            <v>3</v>
          </cell>
          <cell r="L18" t="str">
            <v>ST2</v>
          </cell>
          <cell r="M18" t="str">
            <v>U</v>
          </cell>
          <cell r="N18" t="str">
            <v>U</v>
          </cell>
          <cell r="O18" t="str">
            <v>U</v>
          </cell>
          <cell r="P18" t="str">
            <v>U</v>
          </cell>
          <cell r="Q18" t="str">
            <v>U</v>
          </cell>
          <cell r="R18" t="str">
            <v>U</v>
          </cell>
          <cell r="S18" t="str">
            <v>U</v>
          </cell>
          <cell r="T18" t="str">
            <v>U</v>
          </cell>
          <cell r="U18" t="str">
            <v>U</v>
          </cell>
          <cell r="V18" t="str">
            <v>U</v>
          </cell>
          <cell r="W18" t="str">
            <v>U</v>
          </cell>
          <cell r="X18" t="str">
            <v>U</v>
          </cell>
          <cell r="Y18" t="str">
            <v>U</v>
          </cell>
          <cell r="Z18" t="str">
            <v>U</v>
          </cell>
          <cell r="AA18" t="str">
            <v>U</v>
          </cell>
          <cell r="AB18" t="str">
            <v>U</v>
          </cell>
          <cell r="AC18" t="str">
            <v>U</v>
          </cell>
          <cell r="AD18" t="str">
            <v>U</v>
          </cell>
          <cell r="AE18" t="str">
            <v>U</v>
          </cell>
          <cell r="AF18" t="str">
            <v>U</v>
          </cell>
          <cell r="AG18">
            <v>10</v>
          </cell>
          <cell r="AH18">
            <v>16</v>
          </cell>
          <cell r="AI18">
            <v>14</v>
          </cell>
          <cell r="AJ18">
            <v>40</v>
          </cell>
          <cell r="AK18">
            <v>50</v>
          </cell>
        </row>
        <row r="19">
          <cell r="A19">
            <v>18</v>
          </cell>
          <cell r="B19">
            <v>2010992202</v>
          </cell>
          <cell r="C19" t="str">
            <v>EKAMJOT SINGH MAINGI</v>
          </cell>
          <cell r="E19" t="str">
            <v>EC112</v>
          </cell>
          <cell r="F19" t="str">
            <v>Network Analysis and Synthesis</v>
          </cell>
          <cell r="G19" t="str">
            <v>Theory</v>
          </cell>
          <cell r="H19" t="str">
            <v>B.E</v>
          </cell>
          <cell r="I19" t="str">
            <v>ECE</v>
          </cell>
          <cell r="J19">
            <v>2020</v>
          </cell>
          <cell r="K19">
            <v>3</v>
          </cell>
          <cell r="L19" t="str">
            <v>ST2</v>
          </cell>
          <cell r="M19" t="str">
            <v>U</v>
          </cell>
          <cell r="N19" t="str">
            <v>U</v>
          </cell>
          <cell r="O19" t="str">
            <v>U</v>
          </cell>
          <cell r="P19" t="str">
            <v>U</v>
          </cell>
          <cell r="Q19" t="str">
            <v>U</v>
          </cell>
          <cell r="R19" t="str">
            <v>U</v>
          </cell>
          <cell r="S19" t="str">
            <v>U</v>
          </cell>
          <cell r="T19" t="str">
            <v>U</v>
          </cell>
          <cell r="U19" t="str">
            <v>U</v>
          </cell>
          <cell r="V19" t="str">
            <v>U</v>
          </cell>
          <cell r="W19" t="str">
            <v>U</v>
          </cell>
          <cell r="X19" t="str">
            <v>U</v>
          </cell>
          <cell r="Y19" t="str">
            <v>U</v>
          </cell>
          <cell r="Z19" t="str">
            <v>U</v>
          </cell>
          <cell r="AA19" t="str">
            <v>U</v>
          </cell>
          <cell r="AB19" t="str">
            <v>U</v>
          </cell>
          <cell r="AC19" t="str">
            <v>U</v>
          </cell>
          <cell r="AD19" t="str">
            <v>U</v>
          </cell>
          <cell r="AE19" t="str">
            <v>U</v>
          </cell>
          <cell r="AF19" t="str">
            <v>U</v>
          </cell>
          <cell r="AG19">
            <v>7</v>
          </cell>
          <cell r="AH19">
            <v>17</v>
          </cell>
          <cell r="AI19">
            <v>16</v>
          </cell>
          <cell r="AJ19">
            <v>40</v>
          </cell>
          <cell r="AK19">
            <v>50</v>
          </cell>
        </row>
      </sheetData>
      <sheetData sheetId="5">
        <row r="1">
          <cell r="A1" t="str">
            <v>Q_Id</v>
          </cell>
          <cell r="B1" t="str">
            <v>Max Marks</v>
          </cell>
          <cell r="C1" t="str">
            <v>CO1</v>
          </cell>
          <cell r="D1" t="str">
            <v>CO2</v>
          </cell>
          <cell r="E1" t="str">
            <v>CO3</v>
          </cell>
          <cell r="F1" t="str">
            <v>CO4</v>
          </cell>
          <cell r="G1" t="str">
            <v>CO5</v>
          </cell>
          <cell r="H1" t="str">
            <v>CO6</v>
          </cell>
        </row>
        <row r="2">
          <cell r="A2" t="str">
            <v>1a</v>
          </cell>
          <cell r="B2">
            <v>0</v>
          </cell>
          <cell r="C2" t="b">
            <v>0</v>
          </cell>
          <cell r="D2" t="b">
            <v>0</v>
          </cell>
          <cell r="E2" t="b">
            <v>0</v>
          </cell>
          <cell r="F2" t="b">
            <v>0</v>
          </cell>
          <cell r="G2" t="b">
            <v>0</v>
          </cell>
          <cell r="H2" t="b">
            <v>0</v>
          </cell>
        </row>
        <row r="3">
          <cell r="A3" t="str">
            <v>1b</v>
          </cell>
          <cell r="B3">
            <v>0</v>
          </cell>
          <cell r="C3" t="b">
            <v>0</v>
          </cell>
          <cell r="D3" t="b">
            <v>0</v>
          </cell>
          <cell r="E3" t="b">
            <v>0</v>
          </cell>
          <cell r="F3" t="b">
            <v>0</v>
          </cell>
          <cell r="G3" t="b">
            <v>0</v>
          </cell>
          <cell r="H3" t="b">
            <v>0</v>
          </cell>
        </row>
        <row r="4">
          <cell r="A4" t="str">
            <v>1c</v>
          </cell>
          <cell r="B4">
            <v>0</v>
          </cell>
          <cell r="C4" t="b">
            <v>0</v>
          </cell>
          <cell r="D4" t="b">
            <v>0</v>
          </cell>
          <cell r="E4" t="b">
            <v>0</v>
          </cell>
          <cell r="F4" t="b">
            <v>0</v>
          </cell>
          <cell r="G4" t="b">
            <v>0</v>
          </cell>
          <cell r="H4" t="b">
            <v>0</v>
          </cell>
        </row>
        <row r="5">
          <cell r="A5" t="str">
            <v>1d</v>
          </cell>
          <cell r="B5">
            <v>0</v>
          </cell>
          <cell r="C5" t="b">
            <v>0</v>
          </cell>
          <cell r="D5" t="b">
            <v>0</v>
          </cell>
          <cell r="E5" t="b">
            <v>0</v>
          </cell>
          <cell r="F5" t="b">
            <v>0</v>
          </cell>
          <cell r="G5" t="b">
            <v>0</v>
          </cell>
          <cell r="H5" t="b">
            <v>0</v>
          </cell>
        </row>
        <row r="6">
          <cell r="A6" t="str">
            <v>1e</v>
          </cell>
          <cell r="B6">
            <v>0</v>
          </cell>
          <cell r="C6" t="b">
            <v>0</v>
          </cell>
          <cell r="D6" t="b">
            <v>0</v>
          </cell>
          <cell r="E6" t="b">
            <v>0</v>
          </cell>
          <cell r="F6" t="b">
            <v>0</v>
          </cell>
          <cell r="G6" t="b">
            <v>0</v>
          </cell>
          <cell r="H6" t="b">
            <v>0</v>
          </cell>
        </row>
        <row r="7">
          <cell r="A7" t="str">
            <v>Q2</v>
          </cell>
          <cell r="B7">
            <v>0</v>
          </cell>
          <cell r="C7" t="b">
            <v>0</v>
          </cell>
          <cell r="D7" t="b">
            <v>0</v>
          </cell>
          <cell r="E7" t="b">
            <v>0</v>
          </cell>
          <cell r="F7" t="b">
            <v>0</v>
          </cell>
          <cell r="G7" t="b">
            <v>0</v>
          </cell>
          <cell r="H7" t="b">
            <v>0</v>
          </cell>
        </row>
        <row r="8">
          <cell r="A8" t="str">
            <v>Q3</v>
          </cell>
          <cell r="B8">
            <v>0</v>
          </cell>
          <cell r="C8" t="b">
            <v>0</v>
          </cell>
          <cell r="D8" t="b">
            <v>0</v>
          </cell>
          <cell r="E8" t="b">
            <v>0</v>
          </cell>
          <cell r="F8" t="b">
            <v>0</v>
          </cell>
          <cell r="G8" t="b">
            <v>0</v>
          </cell>
          <cell r="H8" t="b">
            <v>0</v>
          </cell>
        </row>
        <row r="9">
          <cell r="A9" t="str">
            <v>Q4</v>
          </cell>
          <cell r="B9">
            <v>0</v>
          </cell>
          <cell r="C9" t="b">
            <v>0</v>
          </cell>
          <cell r="D9" t="b">
            <v>0</v>
          </cell>
          <cell r="E9" t="b">
            <v>0</v>
          </cell>
          <cell r="F9" t="b">
            <v>0</v>
          </cell>
          <cell r="G9" t="b">
            <v>0</v>
          </cell>
          <cell r="H9" t="b">
            <v>0</v>
          </cell>
        </row>
        <row r="10">
          <cell r="A10" t="str">
            <v>Q5</v>
          </cell>
          <cell r="B10">
            <v>0</v>
          </cell>
          <cell r="C10" t="b">
            <v>0</v>
          </cell>
          <cell r="D10" t="b">
            <v>0</v>
          </cell>
          <cell r="E10" t="b">
            <v>0</v>
          </cell>
          <cell r="F10" t="b">
            <v>0</v>
          </cell>
          <cell r="G10" t="b">
            <v>0</v>
          </cell>
          <cell r="H10" t="b">
            <v>0</v>
          </cell>
        </row>
        <row r="11">
          <cell r="A11" t="str">
            <v>Q6</v>
          </cell>
          <cell r="B11">
            <v>0</v>
          </cell>
          <cell r="C11" t="b">
            <v>0</v>
          </cell>
          <cell r="D11" t="b">
            <v>0</v>
          </cell>
          <cell r="E11" t="b">
            <v>0</v>
          </cell>
          <cell r="F11" t="b">
            <v>0</v>
          </cell>
          <cell r="G11" t="b">
            <v>0</v>
          </cell>
          <cell r="H11" t="b">
            <v>0</v>
          </cell>
        </row>
        <row r="12">
          <cell r="A12" t="str">
            <v>Q7</v>
          </cell>
          <cell r="B12">
            <v>0</v>
          </cell>
          <cell r="C12" t="b">
            <v>0</v>
          </cell>
          <cell r="D12" t="b">
            <v>0</v>
          </cell>
          <cell r="E12" t="b">
            <v>0</v>
          </cell>
          <cell r="F12" t="b">
            <v>0</v>
          </cell>
          <cell r="G12" t="b">
            <v>0</v>
          </cell>
          <cell r="H12" t="b">
            <v>0</v>
          </cell>
        </row>
        <row r="13">
          <cell r="A13" t="str">
            <v>Q8</v>
          </cell>
          <cell r="B13">
            <v>0</v>
          </cell>
          <cell r="C13" t="b">
            <v>0</v>
          </cell>
          <cell r="D13" t="b">
            <v>0</v>
          </cell>
          <cell r="E13" t="b">
            <v>0</v>
          </cell>
          <cell r="F13" t="b">
            <v>0</v>
          </cell>
          <cell r="G13" t="b">
            <v>0</v>
          </cell>
          <cell r="H13" t="b">
            <v>0</v>
          </cell>
        </row>
        <row r="14">
          <cell r="A14" t="str">
            <v>Q9</v>
          </cell>
          <cell r="B14">
            <v>0</v>
          </cell>
          <cell r="C14" t="b">
            <v>0</v>
          </cell>
          <cell r="D14" t="b">
            <v>0</v>
          </cell>
          <cell r="E14" t="b">
            <v>0</v>
          </cell>
          <cell r="F14" t="b">
            <v>0</v>
          </cell>
          <cell r="G14" t="b">
            <v>0</v>
          </cell>
          <cell r="H14" t="b">
            <v>0</v>
          </cell>
        </row>
        <row r="15">
          <cell r="A15" t="str">
            <v>Q10</v>
          </cell>
          <cell r="B15">
            <v>0</v>
          </cell>
          <cell r="C15" t="b">
            <v>0</v>
          </cell>
          <cell r="D15" t="b">
            <v>0</v>
          </cell>
          <cell r="E15" t="b">
            <v>0</v>
          </cell>
          <cell r="F15" t="b">
            <v>0</v>
          </cell>
          <cell r="G15" t="b">
            <v>0</v>
          </cell>
          <cell r="H15" t="b">
            <v>0</v>
          </cell>
        </row>
        <row r="16">
          <cell r="A16" t="str">
            <v>Q11</v>
          </cell>
          <cell r="B16">
            <v>0</v>
          </cell>
          <cell r="C16" t="b">
            <v>0</v>
          </cell>
          <cell r="D16" t="b">
            <v>0</v>
          </cell>
          <cell r="E16" t="b">
            <v>0</v>
          </cell>
          <cell r="F16" t="b">
            <v>0</v>
          </cell>
          <cell r="G16" t="b">
            <v>0</v>
          </cell>
          <cell r="H16" t="b">
            <v>0</v>
          </cell>
        </row>
        <row r="17">
          <cell r="A17" t="str">
            <v>Q12</v>
          </cell>
          <cell r="B17">
            <v>0</v>
          </cell>
          <cell r="C17" t="b">
            <v>0</v>
          </cell>
          <cell r="D17" t="b">
            <v>0</v>
          </cell>
          <cell r="E17" t="b">
            <v>0</v>
          </cell>
          <cell r="F17" t="b">
            <v>0</v>
          </cell>
          <cell r="G17" t="b">
            <v>0</v>
          </cell>
          <cell r="H17" t="b">
            <v>0</v>
          </cell>
        </row>
        <row r="18">
          <cell r="A18" t="str">
            <v>Q13</v>
          </cell>
          <cell r="B18">
            <v>0</v>
          </cell>
          <cell r="C18" t="b">
            <v>0</v>
          </cell>
          <cell r="D18" t="b">
            <v>0</v>
          </cell>
          <cell r="E18" t="b">
            <v>0</v>
          </cell>
          <cell r="F18" t="b">
            <v>0</v>
          </cell>
          <cell r="G18" t="b">
            <v>0</v>
          </cell>
          <cell r="H18" t="b">
            <v>0</v>
          </cell>
        </row>
        <row r="19">
          <cell r="A19" t="str">
            <v>Q14</v>
          </cell>
          <cell r="B19">
            <v>0</v>
          </cell>
          <cell r="C19" t="b">
            <v>0</v>
          </cell>
          <cell r="D19" t="b">
            <v>0</v>
          </cell>
          <cell r="E19" t="b">
            <v>0</v>
          </cell>
          <cell r="F19" t="b">
            <v>0</v>
          </cell>
          <cell r="G19" t="b">
            <v>0</v>
          </cell>
          <cell r="H19" t="b">
            <v>0</v>
          </cell>
        </row>
        <row r="20">
          <cell r="A20" t="str">
            <v>Q15</v>
          </cell>
          <cell r="B20">
            <v>0</v>
          </cell>
          <cell r="C20" t="b">
            <v>0</v>
          </cell>
          <cell r="D20" t="b">
            <v>0</v>
          </cell>
          <cell r="E20" t="b">
            <v>0</v>
          </cell>
          <cell r="F20" t="b">
            <v>0</v>
          </cell>
          <cell r="G20" t="b">
            <v>0</v>
          </cell>
          <cell r="H20" t="b">
            <v>0</v>
          </cell>
        </row>
        <row r="21">
          <cell r="A21" t="str">
            <v>Q16</v>
          </cell>
          <cell r="B21">
            <v>0</v>
          </cell>
          <cell r="C21" t="b">
            <v>0</v>
          </cell>
          <cell r="D21" t="b">
            <v>0</v>
          </cell>
          <cell r="E21" t="b">
            <v>0</v>
          </cell>
          <cell r="F21" t="b">
            <v>0</v>
          </cell>
          <cell r="G21" t="b">
            <v>0</v>
          </cell>
          <cell r="H21" t="b">
            <v>0</v>
          </cell>
        </row>
        <row r="22">
          <cell r="A22" t="str">
            <v>Assignment</v>
          </cell>
          <cell r="B22">
            <v>0</v>
          </cell>
          <cell r="C22" t="b">
            <v>0</v>
          </cell>
          <cell r="D22" t="b">
            <v>0</v>
          </cell>
          <cell r="E22" t="b">
            <v>0</v>
          </cell>
          <cell r="F22" t="b">
            <v>0</v>
          </cell>
          <cell r="G22" t="b">
            <v>0</v>
          </cell>
          <cell r="H22" t="b">
            <v>0</v>
          </cell>
        </row>
        <row r="23">
          <cell r="A23" t="str">
            <v>FA1</v>
          </cell>
          <cell r="B23">
            <v>0</v>
          </cell>
          <cell r="C23" t="b">
            <v>0</v>
          </cell>
          <cell r="D23" t="b">
            <v>0</v>
          </cell>
          <cell r="E23" t="b">
            <v>0</v>
          </cell>
          <cell r="F23" t="b">
            <v>0</v>
          </cell>
          <cell r="G23" t="b">
            <v>0</v>
          </cell>
          <cell r="H23" t="b">
            <v>0</v>
          </cell>
        </row>
        <row r="24">
          <cell r="A24" t="str">
            <v>FA2</v>
          </cell>
          <cell r="B24">
            <v>0</v>
          </cell>
          <cell r="C24" t="b">
            <v>0</v>
          </cell>
          <cell r="D24" t="b">
            <v>0</v>
          </cell>
          <cell r="E24" t="b">
            <v>0</v>
          </cell>
          <cell r="F24" t="b">
            <v>0</v>
          </cell>
          <cell r="G24" t="b">
            <v>0</v>
          </cell>
          <cell r="H24" t="b">
            <v>0</v>
          </cell>
        </row>
      </sheetData>
      <sheetData sheetId="6">
        <row r="1">
          <cell r="A1" t="str">
            <v>Sr.no</v>
          </cell>
          <cell r="B1" t="str">
            <v>Admission No. (Roll No.)</v>
          </cell>
          <cell r="C1" t="str">
            <v>Name of Student</v>
          </cell>
          <cell r="D1" t="str">
            <v>Division(Section)</v>
          </cell>
          <cell r="E1" t="str">
            <v>Course Code</v>
          </cell>
          <cell r="F1" t="str">
            <v>Course Name</v>
          </cell>
          <cell r="G1" t="str">
            <v>Lecture Type (Theory/Practical)</v>
          </cell>
          <cell r="H1" t="str">
            <v>Program Name</v>
          </cell>
          <cell r="I1" t="str">
            <v>Department Name</v>
          </cell>
          <cell r="J1" t="str">
            <v>Class Name (Batch)</v>
          </cell>
          <cell r="K1" t="str">
            <v>Semester Name</v>
          </cell>
          <cell r="L1" t="str">
            <v>Exam Name (ETE/ST/FA)</v>
          </cell>
          <cell r="M1" t="str">
            <v>1a</v>
          </cell>
          <cell r="N1" t="str">
            <v>1b</v>
          </cell>
          <cell r="O1" t="str">
            <v>1c</v>
          </cell>
          <cell r="P1" t="str">
            <v>1d</v>
          </cell>
          <cell r="Q1" t="str">
            <v>1e</v>
          </cell>
          <cell r="R1" t="str">
            <v>Q2</v>
          </cell>
          <cell r="S1" t="str">
            <v>Q3</v>
          </cell>
          <cell r="T1" t="str">
            <v>Q4</v>
          </cell>
          <cell r="U1" t="str">
            <v>Q5</v>
          </cell>
          <cell r="V1" t="str">
            <v>Q6</v>
          </cell>
          <cell r="W1" t="str">
            <v>Q7</v>
          </cell>
          <cell r="X1" t="str">
            <v>Q8</v>
          </cell>
          <cell r="Y1" t="str">
            <v>Q9</v>
          </cell>
          <cell r="Z1" t="str">
            <v>Q10</v>
          </cell>
          <cell r="AA1" t="str">
            <v>Q11</v>
          </cell>
          <cell r="AB1" t="str">
            <v>Q12</v>
          </cell>
          <cell r="AC1" t="str">
            <v>Q13</v>
          </cell>
          <cell r="AD1" t="str">
            <v>Q14</v>
          </cell>
          <cell r="AE1" t="str">
            <v>Q15</v>
          </cell>
          <cell r="AF1" t="str">
            <v>Q16</v>
          </cell>
          <cell r="AG1" t="str">
            <v>Assignment</v>
          </cell>
          <cell r="AH1" t="str">
            <v>FA1</v>
          </cell>
          <cell r="AI1" t="str">
            <v>FA2</v>
          </cell>
          <cell r="AJ1" t="str">
            <v>Total Marks</v>
          </cell>
          <cell r="AK1" t="str">
            <v>max Marks</v>
          </cell>
        </row>
        <row r="2">
          <cell r="A2">
            <v>1</v>
          </cell>
          <cell r="B2">
            <v>2010990089</v>
          </cell>
          <cell r="C2" t="str">
            <v>ANSH GARG</v>
          </cell>
          <cell r="E2" t="str">
            <v>EC112</v>
          </cell>
          <cell r="F2" t="str">
            <v>Network Analysis and Synthesis</v>
          </cell>
          <cell r="G2" t="str">
            <v>Theory</v>
          </cell>
          <cell r="H2" t="str">
            <v>B.E</v>
          </cell>
          <cell r="I2" t="str">
            <v>ECE</v>
          </cell>
          <cell r="J2">
            <v>2020</v>
          </cell>
          <cell r="K2">
            <v>3</v>
          </cell>
          <cell r="L2" t="str">
            <v>ST3</v>
          </cell>
          <cell r="M2" t="str">
            <v>U</v>
          </cell>
          <cell r="N2" t="str">
            <v>U</v>
          </cell>
          <cell r="O2" t="str">
            <v>U</v>
          </cell>
          <cell r="P2" t="str">
            <v>U</v>
          </cell>
          <cell r="Q2" t="str">
            <v>U</v>
          </cell>
          <cell r="R2" t="str">
            <v>U</v>
          </cell>
          <cell r="S2" t="str">
            <v>U</v>
          </cell>
          <cell r="T2" t="str">
            <v>U</v>
          </cell>
          <cell r="U2" t="str">
            <v>U</v>
          </cell>
          <cell r="V2" t="str">
            <v>U</v>
          </cell>
          <cell r="W2" t="str">
            <v>U</v>
          </cell>
          <cell r="X2" t="str">
            <v>U</v>
          </cell>
          <cell r="Y2" t="str">
            <v>U</v>
          </cell>
          <cell r="Z2" t="str">
            <v>U</v>
          </cell>
          <cell r="AA2" t="str">
            <v>U</v>
          </cell>
          <cell r="AB2" t="str">
            <v>U</v>
          </cell>
          <cell r="AC2" t="str">
            <v>U</v>
          </cell>
          <cell r="AD2" t="str">
            <v>U</v>
          </cell>
          <cell r="AE2" t="str">
            <v>U</v>
          </cell>
          <cell r="AF2" t="str">
            <v>U</v>
          </cell>
          <cell r="AG2" t="str">
            <v>U</v>
          </cell>
          <cell r="AH2" t="str">
            <v>U</v>
          </cell>
          <cell r="AI2" t="str">
            <v>U</v>
          </cell>
          <cell r="AJ2">
            <v>0</v>
          </cell>
          <cell r="AK2">
            <v>0</v>
          </cell>
        </row>
        <row r="3">
          <cell r="A3">
            <v>2</v>
          </cell>
          <cell r="B3">
            <v>2010992002</v>
          </cell>
          <cell r="C3" t="str">
            <v>PANSY VERMA</v>
          </cell>
          <cell r="E3" t="str">
            <v>EC112</v>
          </cell>
          <cell r="F3" t="str">
            <v>Network Analysis and Synthesis</v>
          </cell>
          <cell r="G3" t="str">
            <v>Theory</v>
          </cell>
          <cell r="H3" t="str">
            <v>B.E</v>
          </cell>
          <cell r="I3" t="str">
            <v>ECE</v>
          </cell>
          <cell r="J3">
            <v>2020</v>
          </cell>
          <cell r="K3">
            <v>3</v>
          </cell>
          <cell r="L3" t="str">
            <v>ST3</v>
          </cell>
          <cell r="M3" t="str">
            <v>U</v>
          </cell>
          <cell r="N3" t="str">
            <v>U</v>
          </cell>
          <cell r="O3" t="str">
            <v>U</v>
          </cell>
          <cell r="P3" t="str">
            <v>U</v>
          </cell>
          <cell r="Q3" t="str">
            <v>U</v>
          </cell>
          <cell r="R3" t="str">
            <v>U</v>
          </cell>
          <cell r="S3" t="str">
            <v>U</v>
          </cell>
          <cell r="T3" t="str">
            <v>U</v>
          </cell>
          <cell r="U3" t="str">
            <v>U</v>
          </cell>
          <cell r="V3" t="str">
            <v>U</v>
          </cell>
          <cell r="W3" t="str">
            <v>U</v>
          </cell>
          <cell r="X3" t="str">
            <v>U</v>
          </cell>
          <cell r="Y3" t="str">
            <v>U</v>
          </cell>
          <cell r="Z3" t="str">
            <v>U</v>
          </cell>
          <cell r="AA3" t="str">
            <v>U</v>
          </cell>
          <cell r="AB3" t="str">
            <v>U</v>
          </cell>
          <cell r="AC3" t="str">
            <v>U</v>
          </cell>
          <cell r="AD3" t="str">
            <v>U</v>
          </cell>
          <cell r="AE3" t="str">
            <v>U</v>
          </cell>
          <cell r="AF3" t="str">
            <v>U</v>
          </cell>
          <cell r="AG3" t="str">
            <v>U</v>
          </cell>
          <cell r="AH3" t="str">
            <v>U</v>
          </cell>
          <cell r="AI3" t="str">
            <v>U</v>
          </cell>
          <cell r="AJ3">
            <v>0</v>
          </cell>
          <cell r="AK3">
            <v>0</v>
          </cell>
        </row>
        <row r="4">
          <cell r="A4">
            <v>3</v>
          </cell>
          <cell r="B4">
            <v>2010992004</v>
          </cell>
          <cell r="C4" t="str">
            <v>UTKARSH BHATT</v>
          </cell>
          <cell r="E4" t="str">
            <v>EC112</v>
          </cell>
          <cell r="F4" t="str">
            <v>Network Analysis and Synthesis</v>
          </cell>
          <cell r="G4" t="str">
            <v>Theory</v>
          </cell>
          <cell r="H4" t="str">
            <v>B.E</v>
          </cell>
          <cell r="I4" t="str">
            <v>ECE</v>
          </cell>
          <cell r="J4">
            <v>2020</v>
          </cell>
          <cell r="K4">
            <v>3</v>
          </cell>
          <cell r="L4" t="str">
            <v>ST3</v>
          </cell>
          <cell r="M4" t="str">
            <v>U</v>
          </cell>
          <cell r="N4" t="str">
            <v>U</v>
          </cell>
          <cell r="O4" t="str">
            <v>U</v>
          </cell>
          <cell r="P4" t="str">
            <v>U</v>
          </cell>
          <cell r="Q4" t="str">
            <v>U</v>
          </cell>
          <cell r="R4" t="str">
            <v>U</v>
          </cell>
          <cell r="S4" t="str">
            <v>U</v>
          </cell>
          <cell r="T4" t="str">
            <v>U</v>
          </cell>
          <cell r="U4" t="str">
            <v>U</v>
          </cell>
          <cell r="V4" t="str">
            <v>U</v>
          </cell>
          <cell r="W4" t="str">
            <v>U</v>
          </cell>
          <cell r="X4" t="str">
            <v>U</v>
          </cell>
          <cell r="Y4" t="str">
            <v>U</v>
          </cell>
          <cell r="Z4" t="str">
            <v>U</v>
          </cell>
          <cell r="AA4" t="str">
            <v>U</v>
          </cell>
          <cell r="AB4" t="str">
            <v>U</v>
          </cell>
          <cell r="AC4" t="str">
            <v>U</v>
          </cell>
          <cell r="AD4" t="str">
            <v>U</v>
          </cell>
          <cell r="AE4" t="str">
            <v>U</v>
          </cell>
          <cell r="AF4" t="str">
            <v>U</v>
          </cell>
          <cell r="AG4" t="str">
            <v>U</v>
          </cell>
          <cell r="AH4" t="str">
            <v>U</v>
          </cell>
          <cell r="AI4" t="str">
            <v>U</v>
          </cell>
          <cell r="AJ4">
            <v>0</v>
          </cell>
          <cell r="AK4">
            <v>0</v>
          </cell>
        </row>
        <row r="5">
          <cell r="A5">
            <v>4</v>
          </cell>
          <cell r="B5">
            <v>2010992005</v>
          </cell>
          <cell r="C5" t="str">
            <v>RATANABH SHARMA</v>
          </cell>
          <cell r="E5" t="str">
            <v>EC112</v>
          </cell>
          <cell r="F5" t="str">
            <v>Network Analysis and Synthesis</v>
          </cell>
          <cell r="G5" t="str">
            <v>Theory</v>
          </cell>
          <cell r="H5" t="str">
            <v>B.E</v>
          </cell>
          <cell r="I5" t="str">
            <v>ECE</v>
          </cell>
          <cell r="J5">
            <v>2020</v>
          </cell>
          <cell r="K5">
            <v>3</v>
          </cell>
          <cell r="L5" t="str">
            <v>ST3</v>
          </cell>
          <cell r="M5" t="str">
            <v>U</v>
          </cell>
          <cell r="N5" t="str">
            <v>U</v>
          </cell>
          <cell r="O5" t="str">
            <v>U</v>
          </cell>
          <cell r="P5" t="str">
            <v>U</v>
          </cell>
          <cell r="Q5" t="str">
            <v>U</v>
          </cell>
          <cell r="R5" t="str">
            <v>U</v>
          </cell>
          <cell r="S5" t="str">
            <v>U</v>
          </cell>
          <cell r="T5" t="str">
            <v>U</v>
          </cell>
          <cell r="U5" t="str">
            <v>U</v>
          </cell>
          <cell r="V5" t="str">
            <v>U</v>
          </cell>
          <cell r="W5" t="str">
            <v>U</v>
          </cell>
          <cell r="X5" t="str">
            <v>U</v>
          </cell>
          <cell r="Y5" t="str">
            <v>U</v>
          </cell>
          <cell r="Z5" t="str">
            <v>U</v>
          </cell>
          <cell r="AA5" t="str">
            <v>U</v>
          </cell>
          <cell r="AB5" t="str">
            <v>U</v>
          </cell>
          <cell r="AC5" t="str">
            <v>U</v>
          </cell>
          <cell r="AD5" t="str">
            <v>U</v>
          </cell>
          <cell r="AE5" t="str">
            <v>U</v>
          </cell>
          <cell r="AF5" t="str">
            <v>U</v>
          </cell>
          <cell r="AG5" t="str">
            <v>U</v>
          </cell>
          <cell r="AH5" t="str">
            <v>U</v>
          </cell>
          <cell r="AI5" t="str">
            <v>U</v>
          </cell>
          <cell r="AJ5">
            <v>0</v>
          </cell>
          <cell r="AK5">
            <v>0</v>
          </cell>
        </row>
        <row r="6">
          <cell r="A6">
            <v>5</v>
          </cell>
          <cell r="B6">
            <v>2010992006</v>
          </cell>
          <cell r="C6" t="str">
            <v>AYUSH SHARMA</v>
          </cell>
          <cell r="E6" t="str">
            <v>EC112</v>
          </cell>
          <cell r="F6" t="str">
            <v>Network Analysis and Synthesis</v>
          </cell>
          <cell r="G6" t="str">
            <v>Theory</v>
          </cell>
          <cell r="H6" t="str">
            <v>B.E</v>
          </cell>
          <cell r="I6" t="str">
            <v>ECE</v>
          </cell>
          <cell r="J6">
            <v>2020</v>
          </cell>
          <cell r="K6">
            <v>3</v>
          </cell>
          <cell r="L6" t="str">
            <v>ST3</v>
          </cell>
          <cell r="M6" t="str">
            <v>U</v>
          </cell>
          <cell r="N6" t="str">
            <v>U</v>
          </cell>
          <cell r="O6" t="str">
            <v>U</v>
          </cell>
          <cell r="P6" t="str">
            <v>U</v>
          </cell>
          <cell r="Q6" t="str">
            <v>U</v>
          </cell>
          <cell r="R6" t="str">
            <v>U</v>
          </cell>
          <cell r="S6" t="str">
            <v>U</v>
          </cell>
          <cell r="T6" t="str">
            <v>U</v>
          </cell>
          <cell r="U6" t="str">
            <v>U</v>
          </cell>
          <cell r="V6" t="str">
            <v>U</v>
          </cell>
          <cell r="W6" t="str">
            <v>U</v>
          </cell>
          <cell r="X6" t="str">
            <v>U</v>
          </cell>
          <cell r="Y6" t="str">
            <v>U</v>
          </cell>
          <cell r="Z6" t="str">
            <v>U</v>
          </cell>
          <cell r="AA6" t="str">
            <v>U</v>
          </cell>
          <cell r="AB6" t="str">
            <v>U</v>
          </cell>
          <cell r="AC6" t="str">
            <v>U</v>
          </cell>
          <cell r="AD6" t="str">
            <v>U</v>
          </cell>
          <cell r="AE6" t="str">
            <v>U</v>
          </cell>
          <cell r="AF6" t="str">
            <v>U</v>
          </cell>
          <cell r="AG6" t="str">
            <v>U</v>
          </cell>
          <cell r="AH6" t="str">
            <v>U</v>
          </cell>
          <cell r="AI6" t="str">
            <v>U</v>
          </cell>
          <cell r="AJ6">
            <v>0</v>
          </cell>
          <cell r="AK6">
            <v>0</v>
          </cell>
        </row>
        <row r="7">
          <cell r="A7">
            <v>6</v>
          </cell>
          <cell r="B7">
            <v>2010992008</v>
          </cell>
          <cell r="C7" t="str">
            <v>NAVDEEP SINGH</v>
          </cell>
          <cell r="E7" t="str">
            <v>EC112</v>
          </cell>
          <cell r="F7" t="str">
            <v>Network Analysis and Synthesis</v>
          </cell>
          <cell r="G7" t="str">
            <v>Theory</v>
          </cell>
          <cell r="H7" t="str">
            <v>B.E</v>
          </cell>
          <cell r="I7" t="str">
            <v>ECE</v>
          </cell>
          <cell r="J7">
            <v>2020</v>
          </cell>
          <cell r="K7">
            <v>3</v>
          </cell>
          <cell r="L7" t="str">
            <v>ST3</v>
          </cell>
          <cell r="M7" t="str">
            <v>U</v>
          </cell>
          <cell r="N7" t="str">
            <v>U</v>
          </cell>
          <cell r="O7" t="str">
            <v>U</v>
          </cell>
          <cell r="P7" t="str">
            <v>U</v>
          </cell>
          <cell r="Q7" t="str">
            <v>U</v>
          </cell>
          <cell r="R7" t="str">
            <v>U</v>
          </cell>
          <cell r="S7" t="str">
            <v>U</v>
          </cell>
          <cell r="T7" t="str">
            <v>U</v>
          </cell>
          <cell r="U7" t="str">
            <v>U</v>
          </cell>
          <cell r="V7" t="str">
            <v>U</v>
          </cell>
          <cell r="W7" t="str">
            <v>U</v>
          </cell>
          <cell r="X7" t="str">
            <v>U</v>
          </cell>
          <cell r="Y7" t="str">
            <v>U</v>
          </cell>
          <cell r="Z7" t="str">
            <v>U</v>
          </cell>
          <cell r="AA7" t="str">
            <v>U</v>
          </cell>
          <cell r="AB7" t="str">
            <v>U</v>
          </cell>
          <cell r="AC7" t="str">
            <v>U</v>
          </cell>
          <cell r="AD7" t="str">
            <v>U</v>
          </cell>
          <cell r="AE7" t="str">
            <v>U</v>
          </cell>
          <cell r="AF7" t="str">
            <v>U</v>
          </cell>
          <cell r="AG7" t="str">
            <v>U</v>
          </cell>
          <cell r="AH7" t="str">
            <v>U</v>
          </cell>
          <cell r="AI7" t="str">
            <v>U</v>
          </cell>
          <cell r="AJ7">
            <v>0</v>
          </cell>
          <cell r="AK7">
            <v>0</v>
          </cell>
        </row>
        <row r="8">
          <cell r="A8">
            <v>7</v>
          </cell>
          <cell r="B8">
            <v>2010992009</v>
          </cell>
          <cell r="C8" t="str">
            <v>RIYA</v>
          </cell>
          <cell r="E8" t="str">
            <v>EC112</v>
          </cell>
          <cell r="F8" t="str">
            <v>Network Analysis and Synthesis</v>
          </cell>
          <cell r="G8" t="str">
            <v>Theory</v>
          </cell>
          <cell r="H8" t="str">
            <v>B.E</v>
          </cell>
          <cell r="I8" t="str">
            <v>ECE</v>
          </cell>
          <cell r="J8">
            <v>2020</v>
          </cell>
          <cell r="K8">
            <v>3</v>
          </cell>
          <cell r="L8" t="str">
            <v>ST3</v>
          </cell>
          <cell r="M8" t="str">
            <v>U</v>
          </cell>
          <cell r="N8" t="str">
            <v>U</v>
          </cell>
          <cell r="O8" t="str">
            <v>U</v>
          </cell>
          <cell r="P8" t="str">
            <v>U</v>
          </cell>
          <cell r="Q8" t="str">
            <v>U</v>
          </cell>
          <cell r="R8" t="str">
            <v>U</v>
          </cell>
          <cell r="S8" t="str">
            <v>U</v>
          </cell>
          <cell r="T8" t="str">
            <v>U</v>
          </cell>
          <cell r="U8" t="str">
            <v>U</v>
          </cell>
          <cell r="V8" t="str">
            <v>U</v>
          </cell>
          <cell r="W8" t="str">
            <v>U</v>
          </cell>
          <cell r="X8" t="str">
            <v>U</v>
          </cell>
          <cell r="Y8" t="str">
            <v>U</v>
          </cell>
          <cell r="Z8" t="str">
            <v>U</v>
          </cell>
          <cell r="AA8" t="str">
            <v>U</v>
          </cell>
          <cell r="AB8" t="str">
            <v>U</v>
          </cell>
          <cell r="AC8" t="str">
            <v>U</v>
          </cell>
          <cell r="AD8" t="str">
            <v>U</v>
          </cell>
          <cell r="AE8" t="str">
            <v>U</v>
          </cell>
          <cell r="AF8" t="str">
            <v>U</v>
          </cell>
          <cell r="AG8" t="str">
            <v>U</v>
          </cell>
          <cell r="AH8" t="str">
            <v>U</v>
          </cell>
          <cell r="AI8" t="str">
            <v>U</v>
          </cell>
          <cell r="AJ8">
            <v>0</v>
          </cell>
          <cell r="AK8">
            <v>0</v>
          </cell>
        </row>
        <row r="9">
          <cell r="A9">
            <v>8</v>
          </cell>
          <cell r="B9">
            <v>2010992010</v>
          </cell>
          <cell r="C9" t="str">
            <v>RISHABH TANDON</v>
          </cell>
          <cell r="E9" t="str">
            <v>EC112</v>
          </cell>
          <cell r="F9" t="str">
            <v>Network Analysis and Synthesis</v>
          </cell>
          <cell r="G9" t="str">
            <v>Theory</v>
          </cell>
          <cell r="H9" t="str">
            <v>B.E</v>
          </cell>
          <cell r="I9" t="str">
            <v>ECE</v>
          </cell>
          <cell r="J9">
            <v>2020</v>
          </cell>
          <cell r="K9">
            <v>3</v>
          </cell>
          <cell r="L9" t="str">
            <v>ST3</v>
          </cell>
          <cell r="M9" t="str">
            <v>U</v>
          </cell>
          <cell r="N9" t="str">
            <v>U</v>
          </cell>
          <cell r="O9" t="str">
            <v>U</v>
          </cell>
          <cell r="P9" t="str">
            <v>U</v>
          </cell>
          <cell r="Q9" t="str">
            <v>U</v>
          </cell>
          <cell r="R9" t="str">
            <v>U</v>
          </cell>
          <cell r="S9" t="str">
            <v>U</v>
          </cell>
          <cell r="T9" t="str">
            <v>U</v>
          </cell>
          <cell r="U9" t="str">
            <v>U</v>
          </cell>
          <cell r="V9" t="str">
            <v>U</v>
          </cell>
          <cell r="W9" t="str">
            <v>U</v>
          </cell>
          <cell r="X9" t="str">
            <v>U</v>
          </cell>
          <cell r="Y9" t="str">
            <v>U</v>
          </cell>
          <cell r="Z9" t="str">
            <v>U</v>
          </cell>
          <cell r="AA9" t="str">
            <v>U</v>
          </cell>
          <cell r="AB9" t="str">
            <v>U</v>
          </cell>
          <cell r="AC9" t="str">
            <v>U</v>
          </cell>
          <cell r="AD9" t="str">
            <v>U</v>
          </cell>
          <cell r="AE9" t="str">
            <v>U</v>
          </cell>
          <cell r="AF9" t="str">
            <v>U</v>
          </cell>
          <cell r="AG9" t="str">
            <v>U</v>
          </cell>
          <cell r="AH9" t="str">
            <v>U</v>
          </cell>
          <cell r="AI9" t="str">
            <v>U</v>
          </cell>
          <cell r="AJ9">
            <v>0</v>
          </cell>
          <cell r="AK9">
            <v>0</v>
          </cell>
        </row>
        <row r="10">
          <cell r="A10">
            <v>9</v>
          </cell>
          <cell r="B10">
            <v>2010992011</v>
          </cell>
          <cell r="C10" t="str">
            <v>HEERENDRA SINGH CHAUHAN</v>
          </cell>
          <cell r="E10" t="str">
            <v>EC112</v>
          </cell>
          <cell r="F10" t="str">
            <v>Network Analysis and Synthesis</v>
          </cell>
          <cell r="G10" t="str">
            <v>Theory</v>
          </cell>
          <cell r="H10" t="str">
            <v>B.E</v>
          </cell>
          <cell r="I10" t="str">
            <v>ECE</v>
          </cell>
          <cell r="J10">
            <v>2020</v>
          </cell>
          <cell r="K10">
            <v>3</v>
          </cell>
          <cell r="L10" t="str">
            <v>ST3</v>
          </cell>
          <cell r="M10" t="str">
            <v>U</v>
          </cell>
          <cell r="N10" t="str">
            <v>U</v>
          </cell>
          <cell r="O10" t="str">
            <v>U</v>
          </cell>
          <cell r="P10" t="str">
            <v>U</v>
          </cell>
          <cell r="Q10" t="str">
            <v>U</v>
          </cell>
          <cell r="R10" t="str">
            <v>U</v>
          </cell>
          <cell r="S10" t="str">
            <v>U</v>
          </cell>
          <cell r="T10" t="str">
            <v>U</v>
          </cell>
          <cell r="U10" t="str">
            <v>U</v>
          </cell>
          <cell r="V10" t="str">
            <v>U</v>
          </cell>
          <cell r="W10" t="str">
            <v>U</v>
          </cell>
          <cell r="X10" t="str">
            <v>U</v>
          </cell>
          <cell r="Y10" t="str">
            <v>U</v>
          </cell>
          <cell r="Z10" t="str">
            <v>U</v>
          </cell>
          <cell r="AA10" t="str">
            <v>U</v>
          </cell>
          <cell r="AB10" t="str">
            <v>U</v>
          </cell>
          <cell r="AC10" t="str">
            <v>U</v>
          </cell>
          <cell r="AD10" t="str">
            <v>U</v>
          </cell>
          <cell r="AE10" t="str">
            <v>U</v>
          </cell>
          <cell r="AF10" t="str">
            <v>U</v>
          </cell>
          <cell r="AG10" t="str">
            <v>U</v>
          </cell>
          <cell r="AH10" t="str">
            <v>U</v>
          </cell>
          <cell r="AI10" t="str">
            <v>U</v>
          </cell>
          <cell r="AJ10">
            <v>0</v>
          </cell>
          <cell r="AK10">
            <v>0</v>
          </cell>
        </row>
        <row r="11">
          <cell r="A11">
            <v>10</v>
          </cell>
          <cell r="B11">
            <v>2010992012</v>
          </cell>
          <cell r="C11" t="str">
            <v>AKSHAT</v>
          </cell>
          <cell r="E11" t="str">
            <v>EC112</v>
          </cell>
          <cell r="F11" t="str">
            <v>Network Analysis and Synthesis</v>
          </cell>
          <cell r="G11" t="str">
            <v>Theory</v>
          </cell>
          <cell r="H11" t="str">
            <v>B.E</v>
          </cell>
          <cell r="I11" t="str">
            <v>ECE</v>
          </cell>
          <cell r="J11">
            <v>2020</v>
          </cell>
          <cell r="K11">
            <v>3</v>
          </cell>
          <cell r="L11" t="str">
            <v>ST3</v>
          </cell>
          <cell r="M11" t="str">
            <v>U</v>
          </cell>
          <cell r="N11" t="str">
            <v>U</v>
          </cell>
          <cell r="O11" t="str">
            <v>U</v>
          </cell>
          <cell r="P11" t="str">
            <v>U</v>
          </cell>
          <cell r="Q11" t="str">
            <v>U</v>
          </cell>
          <cell r="R11" t="str">
            <v>U</v>
          </cell>
          <cell r="S11" t="str">
            <v>U</v>
          </cell>
          <cell r="T11" t="str">
            <v>U</v>
          </cell>
          <cell r="U11" t="str">
            <v>U</v>
          </cell>
          <cell r="V11" t="str">
            <v>U</v>
          </cell>
          <cell r="W11" t="str">
            <v>U</v>
          </cell>
          <cell r="X11" t="str">
            <v>U</v>
          </cell>
          <cell r="Y11" t="str">
            <v>U</v>
          </cell>
          <cell r="Z11" t="str">
            <v>U</v>
          </cell>
          <cell r="AA11" t="str">
            <v>U</v>
          </cell>
          <cell r="AB11" t="str">
            <v>U</v>
          </cell>
          <cell r="AC11" t="str">
            <v>U</v>
          </cell>
          <cell r="AD11" t="str">
            <v>U</v>
          </cell>
          <cell r="AE11" t="str">
            <v>U</v>
          </cell>
          <cell r="AF11" t="str">
            <v>U</v>
          </cell>
          <cell r="AG11" t="str">
            <v>U</v>
          </cell>
          <cell r="AH11" t="str">
            <v>U</v>
          </cell>
          <cell r="AI11" t="str">
            <v>U</v>
          </cell>
          <cell r="AJ11">
            <v>0</v>
          </cell>
          <cell r="AK11">
            <v>0</v>
          </cell>
        </row>
        <row r="12">
          <cell r="A12">
            <v>11</v>
          </cell>
          <cell r="B12">
            <v>2010992014</v>
          </cell>
          <cell r="C12" t="str">
            <v>HARSHIT CHAHAL</v>
          </cell>
          <cell r="E12" t="str">
            <v>EC112</v>
          </cell>
          <cell r="F12" t="str">
            <v>Network Analysis and Synthesis</v>
          </cell>
          <cell r="G12" t="str">
            <v>Theory</v>
          </cell>
          <cell r="H12" t="str">
            <v>B.E</v>
          </cell>
          <cell r="I12" t="str">
            <v>ECE</v>
          </cell>
          <cell r="J12">
            <v>2020</v>
          </cell>
          <cell r="K12">
            <v>3</v>
          </cell>
          <cell r="L12" t="str">
            <v>ST3</v>
          </cell>
          <cell r="M12" t="str">
            <v>U</v>
          </cell>
          <cell r="N12" t="str">
            <v>U</v>
          </cell>
          <cell r="O12" t="str">
            <v>U</v>
          </cell>
          <cell r="P12" t="str">
            <v>U</v>
          </cell>
          <cell r="Q12" t="str">
            <v>U</v>
          </cell>
          <cell r="R12" t="str">
            <v>U</v>
          </cell>
          <cell r="S12" t="str">
            <v>U</v>
          </cell>
          <cell r="T12" t="str">
            <v>U</v>
          </cell>
          <cell r="U12" t="str">
            <v>U</v>
          </cell>
          <cell r="V12" t="str">
            <v>U</v>
          </cell>
          <cell r="W12" t="str">
            <v>U</v>
          </cell>
          <cell r="X12" t="str">
            <v>U</v>
          </cell>
          <cell r="Y12" t="str">
            <v>U</v>
          </cell>
          <cell r="Z12" t="str">
            <v>U</v>
          </cell>
          <cell r="AA12" t="str">
            <v>U</v>
          </cell>
          <cell r="AB12" t="str">
            <v>U</v>
          </cell>
          <cell r="AC12" t="str">
            <v>U</v>
          </cell>
          <cell r="AD12" t="str">
            <v>U</v>
          </cell>
          <cell r="AE12" t="str">
            <v>U</v>
          </cell>
          <cell r="AF12" t="str">
            <v>U</v>
          </cell>
          <cell r="AG12" t="str">
            <v>U</v>
          </cell>
          <cell r="AH12" t="str">
            <v>U</v>
          </cell>
          <cell r="AI12" t="str">
            <v>U</v>
          </cell>
          <cell r="AJ12">
            <v>0</v>
          </cell>
          <cell r="AK12">
            <v>0</v>
          </cell>
        </row>
        <row r="13">
          <cell r="A13">
            <v>12</v>
          </cell>
          <cell r="B13">
            <v>2010992015</v>
          </cell>
          <cell r="C13" t="str">
            <v>URVANSH NAHATA</v>
          </cell>
          <cell r="E13" t="str">
            <v>EC112</v>
          </cell>
          <cell r="F13" t="str">
            <v>Network Analysis and Synthesis</v>
          </cell>
          <cell r="G13" t="str">
            <v>Theory</v>
          </cell>
          <cell r="H13" t="str">
            <v>B.E</v>
          </cell>
          <cell r="I13" t="str">
            <v>ECE</v>
          </cell>
          <cell r="J13">
            <v>2020</v>
          </cell>
          <cell r="K13">
            <v>3</v>
          </cell>
          <cell r="L13" t="str">
            <v>ST3</v>
          </cell>
          <cell r="M13" t="str">
            <v>U</v>
          </cell>
          <cell r="N13" t="str">
            <v>U</v>
          </cell>
          <cell r="O13" t="str">
            <v>U</v>
          </cell>
          <cell r="P13" t="str">
            <v>U</v>
          </cell>
          <cell r="Q13" t="str">
            <v>U</v>
          </cell>
          <cell r="R13" t="str">
            <v>U</v>
          </cell>
          <cell r="S13" t="str">
            <v>U</v>
          </cell>
          <cell r="T13" t="str">
            <v>U</v>
          </cell>
          <cell r="U13" t="str">
            <v>U</v>
          </cell>
          <cell r="V13" t="str">
            <v>U</v>
          </cell>
          <cell r="W13" t="str">
            <v>U</v>
          </cell>
          <cell r="X13" t="str">
            <v>U</v>
          </cell>
          <cell r="Y13" t="str">
            <v>U</v>
          </cell>
          <cell r="Z13" t="str">
            <v>U</v>
          </cell>
          <cell r="AA13" t="str">
            <v>U</v>
          </cell>
          <cell r="AB13" t="str">
            <v>U</v>
          </cell>
          <cell r="AC13" t="str">
            <v>U</v>
          </cell>
          <cell r="AD13" t="str">
            <v>U</v>
          </cell>
          <cell r="AE13" t="str">
            <v>U</v>
          </cell>
          <cell r="AF13" t="str">
            <v>U</v>
          </cell>
          <cell r="AG13" t="str">
            <v>U</v>
          </cell>
          <cell r="AH13" t="str">
            <v>U</v>
          </cell>
          <cell r="AI13" t="str">
            <v>U</v>
          </cell>
          <cell r="AJ13">
            <v>0</v>
          </cell>
          <cell r="AK13">
            <v>0</v>
          </cell>
        </row>
        <row r="14">
          <cell r="A14">
            <v>13</v>
          </cell>
          <cell r="B14">
            <v>2010992016</v>
          </cell>
          <cell r="C14" t="str">
            <v>VARUN</v>
          </cell>
          <cell r="E14" t="str">
            <v>EC112</v>
          </cell>
          <cell r="F14" t="str">
            <v>Network Analysis and Synthesis</v>
          </cell>
          <cell r="G14" t="str">
            <v>Theory</v>
          </cell>
          <cell r="H14" t="str">
            <v>B.E</v>
          </cell>
          <cell r="I14" t="str">
            <v>ECE</v>
          </cell>
          <cell r="J14">
            <v>2020</v>
          </cell>
          <cell r="K14">
            <v>3</v>
          </cell>
          <cell r="L14" t="str">
            <v>ST3</v>
          </cell>
          <cell r="M14" t="str">
            <v>U</v>
          </cell>
          <cell r="N14" t="str">
            <v>U</v>
          </cell>
          <cell r="O14" t="str">
            <v>U</v>
          </cell>
          <cell r="P14" t="str">
            <v>U</v>
          </cell>
          <cell r="Q14" t="str">
            <v>U</v>
          </cell>
          <cell r="R14" t="str">
            <v>U</v>
          </cell>
          <cell r="S14" t="str">
            <v>U</v>
          </cell>
          <cell r="T14" t="str">
            <v>U</v>
          </cell>
          <cell r="U14" t="str">
            <v>U</v>
          </cell>
          <cell r="V14" t="str">
            <v>U</v>
          </cell>
          <cell r="W14" t="str">
            <v>U</v>
          </cell>
          <cell r="X14" t="str">
            <v>U</v>
          </cell>
          <cell r="Y14" t="str">
            <v>U</v>
          </cell>
          <cell r="Z14" t="str">
            <v>U</v>
          </cell>
          <cell r="AA14" t="str">
            <v>U</v>
          </cell>
          <cell r="AB14" t="str">
            <v>U</v>
          </cell>
          <cell r="AC14" t="str">
            <v>U</v>
          </cell>
          <cell r="AD14" t="str">
            <v>U</v>
          </cell>
          <cell r="AE14" t="str">
            <v>U</v>
          </cell>
          <cell r="AF14" t="str">
            <v>U</v>
          </cell>
          <cell r="AG14" t="str">
            <v>U</v>
          </cell>
          <cell r="AH14" t="str">
            <v>U</v>
          </cell>
          <cell r="AI14" t="str">
            <v>U</v>
          </cell>
          <cell r="AJ14">
            <v>0</v>
          </cell>
          <cell r="AK14">
            <v>0</v>
          </cell>
        </row>
        <row r="15">
          <cell r="A15">
            <v>14</v>
          </cell>
          <cell r="B15">
            <v>2010992017</v>
          </cell>
          <cell r="C15" t="str">
            <v>MRIDUL AGGARWAL</v>
          </cell>
          <cell r="E15" t="str">
            <v>EC112</v>
          </cell>
          <cell r="F15" t="str">
            <v>Network Analysis and Synthesis</v>
          </cell>
          <cell r="G15" t="str">
            <v>Theory</v>
          </cell>
          <cell r="H15" t="str">
            <v>B.E</v>
          </cell>
          <cell r="I15" t="str">
            <v>ECE</v>
          </cell>
          <cell r="J15">
            <v>2020</v>
          </cell>
          <cell r="K15">
            <v>3</v>
          </cell>
          <cell r="L15" t="str">
            <v>ST3</v>
          </cell>
          <cell r="M15" t="str">
            <v>U</v>
          </cell>
          <cell r="N15" t="str">
            <v>U</v>
          </cell>
          <cell r="O15" t="str">
            <v>U</v>
          </cell>
          <cell r="P15" t="str">
            <v>U</v>
          </cell>
          <cell r="Q15" t="str">
            <v>U</v>
          </cell>
          <cell r="R15" t="str">
            <v>U</v>
          </cell>
          <cell r="S15" t="str">
            <v>U</v>
          </cell>
          <cell r="T15" t="str">
            <v>U</v>
          </cell>
          <cell r="U15" t="str">
            <v>U</v>
          </cell>
          <cell r="V15" t="str">
            <v>U</v>
          </cell>
          <cell r="W15" t="str">
            <v>U</v>
          </cell>
          <cell r="X15" t="str">
            <v>U</v>
          </cell>
          <cell r="Y15" t="str">
            <v>U</v>
          </cell>
          <cell r="Z15" t="str">
            <v>U</v>
          </cell>
          <cell r="AA15" t="str">
            <v>U</v>
          </cell>
          <cell r="AB15" t="str">
            <v>U</v>
          </cell>
          <cell r="AC15" t="str">
            <v>U</v>
          </cell>
          <cell r="AD15" t="str">
            <v>U</v>
          </cell>
          <cell r="AE15" t="str">
            <v>U</v>
          </cell>
          <cell r="AF15" t="str">
            <v>U</v>
          </cell>
          <cell r="AG15" t="str">
            <v>U</v>
          </cell>
          <cell r="AH15" t="str">
            <v>U</v>
          </cell>
          <cell r="AI15" t="str">
            <v>U</v>
          </cell>
          <cell r="AJ15">
            <v>0</v>
          </cell>
          <cell r="AK15">
            <v>0</v>
          </cell>
        </row>
        <row r="16">
          <cell r="A16">
            <v>15</v>
          </cell>
          <cell r="B16">
            <v>2010992018</v>
          </cell>
          <cell r="C16" t="str">
            <v>SHAKSHI SINGH</v>
          </cell>
          <cell r="E16" t="str">
            <v>EC112</v>
          </cell>
          <cell r="F16" t="str">
            <v>Network Analysis and Synthesis</v>
          </cell>
          <cell r="G16" t="str">
            <v>Theory</v>
          </cell>
          <cell r="H16" t="str">
            <v>B.E</v>
          </cell>
          <cell r="I16" t="str">
            <v>ECE</v>
          </cell>
          <cell r="J16">
            <v>2020</v>
          </cell>
          <cell r="K16">
            <v>3</v>
          </cell>
          <cell r="L16" t="str">
            <v>ST3</v>
          </cell>
          <cell r="M16" t="str">
            <v>U</v>
          </cell>
          <cell r="N16" t="str">
            <v>U</v>
          </cell>
          <cell r="O16" t="str">
            <v>U</v>
          </cell>
          <cell r="P16" t="str">
            <v>U</v>
          </cell>
          <cell r="Q16" t="str">
            <v>U</v>
          </cell>
          <cell r="R16" t="str">
            <v>U</v>
          </cell>
          <cell r="S16" t="str">
            <v>U</v>
          </cell>
          <cell r="T16" t="str">
            <v>U</v>
          </cell>
          <cell r="U16" t="str">
            <v>U</v>
          </cell>
          <cell r="V16" t="str">
            <v>U</v>
          </cell>
          <cell r="W16" t="str">
            <v>U</v>
          </cell>
          <cell r="X16" t="str">
            <v>U</v>
          </cell>
          <cell r="Y16" t="str">
            <v>U</v>
          </cell>
          <cell r="Z16" t="str">
            <v>U</v>
          </cell>
          <cell r="AA16" t="str">
            <v>U</v>
          </cell>
          <cell r="AB16" t="str">
            <v>U</v>
          </cell>
          <cell r="AC16" t="str">
            <v>U</v>
          </cell>
          <cell r="AD16" t="str">
            <v>U</v>
          </cell>
          <cell r="AE16" t="str">
            <v>U</v>
          </cell>
          <cell r="AF16" t="str">
            <v>U</v>
          </cell>
          <cell r="AG16" t="str">
            <v>U</v>
          </cell>
          <cell r="AH16" t="str">
            <v>U</v>
          </cell>
          <cell r="AI16" t="str">
            <v>U</v>
          </cell>
          <cell r="AJ16">
            <v>0</v>
          </cell>
          <cell r="AK16">
            <v>0</v>
          </cell>
        </row>
        <row r="17">
          <cell r="A17">
            <v>16</v>
          </cell>
          <cell r="B17">
            <v>2010992019</v>
          </cell>
          <cell r="C17" t="str">
            <v>KHAN MUBASHIR RASOOL</v>
          </cell>
          <cell r="E17" t="str">
            <v>EC112</v>
          </cell>
          <cell r="F17" t="str">
            <v>Network Analysis and Synthesis</v>
          </cell>
          <cell r="G17" t="str">
            <v>Theory</v>
          </cell>
          <cell r="H17" t="str">
            <v>B.E</v>
          </cell>
          <cell r="I17" t="str">
            <v>ECE</v>
          </cell>
          <cell r="J17">
            <v>2020</v>
          </cell>
          <cell r="K17">
            <v>3</v>
          </cell>
          <cell r="L17" t="str">
            <v>ST3</v>
          </cell>
          <cell r="M17" t="str">
            <v>U</v>
          </cell>
          <cell r="N17" t="str">
            <v>U</v>
          </cell>
          <cell r="O17" t="str">
            <v>U</v>
          </cell>
          <cell r="P17" t="str">
            <v>U</v>
          </cell>
          <cell r="Q17" t="str">
            <v>U</v>
          </cell>
          <cell r="R17" t="str">
            <v>U</v>
          </cell>
          <cell r="S17" t="str">
            <v>U</v>
          </cell>
          <cell r="T17" t="str">
            <v>U</v>
          </cell>
          <cell r="U17" t="str">
            <v>U</v>
          </cell>
          <cell r="V17" t="str">
            <v>U</v>
          </cell>
          <cell r="W17" t="str">
            <v>U</v>
          </cell>
          <cell r="X17" t="str">
            <v>U</v>
          </cell>
          <cell r="Y17" t="str">
            <v>U</v>
          </cell>
          <cell r="Z17" t="str">
            <v>U</v>
          </cell>
          <cell r="AA17" t="str">
            <v>U</v>
          </cell>
          <cell r="AB17" t="str">
            <v>U</v>
          </cell>
          <cell r="AC17" t="str">
            <v>U</v>
          </cell>
          <cell r="AD17" t="str">
            <v>U</v>
          </cell>
          <cell r="AE17" t="str">
            <v>U</v>
          </cell>
          <cell r="AF17" t="str">
            <v>U</v>
          </cell>
          <cell r="AG17" t="str">
            <v>U</v>
          </cell>
          <cell r="AH17" t="str">
            <v>U</v>
          </cell>
          <cell r="AI17" t="str">
            <v>U</v>
          </cell>
          <cell r="AJ17">
            <v>0</v>
          </cell>
          <cell r="AK17">
            <v>0</v>
          </cell>
        </row>
        <row r="18">
          <cell r="A18">
            <v>17</v>
          </cell>
          <cell r="B18">
            <v>2010992163</v>
          </cell>
          <cell r="C18" t="str">
            <v>TAMANA SIAG</v>
          </cell>
          <cell r="E18" t="str">
            <v>EC112</v>
          </cell>
          <cell r="F18" t="str">
            <v>Network Analysis and Synthesis</v>
          </cell>
          <cell r="G18" t="str">
            <v>Theory</v>
          </cell>
          <cell r="H18" t="str">
            <v>B.E</v>
          </cell>
          <cell r="I18" t="str">
            <v>ECE</v>
          </cell>
          <cell r="J18">
            <v>2020</v>
          </cell>
          <cell r="K18">
            <v>3</v>
          </cell>
          <cell r="L18" t="str">
            <v>ST3</v>
          </cell>
          <cell r="M18" t="str">
            <v>U</v>
          </cell>
          <cell r="N18" t="str">
            <v>U</v>
          </cell>
          <cell r="O18" t="str">
            <v>U</v>
          </cell>
          <cell r="P18" t="str">
            <v>U</v>
          </cell>
          <cell r="Q18" t="str">
            <v>U</v>
          </cell>
          <cell r="R18" t="str">
            <v>U</v>
          </cell>
          <cell r="S18" t="str">
            <v>U</v>
          </cell>
          <cell r="T18" t="str">
            <v>U</v>
          </cell>
          <cell r="U18" t="str">
            <v>U</v>
          </cell>
          <cell r="V18" t="str">
            <v>U</v>
          </cell>
          <cell r="W18" t="str">
            <v>U</v>
          </cell>
          <cell r="X18" t="str">
            <v>U</v>
          </cell>
          <cell r="Y18" t="str">
            <v>U</v>
          </cell>
          <cell r="Z18" t="str">
            <v>U</v>
          </cell>
          <cell r="AA18" t="str">
            <v>U</v>
          </cell>
          <cell r="AB18" t="str">
            <v>U</v>
          </cell>
          <cell r="AC18" t="str">
            <v>U</v>
          </cell>
          <cell r="AD18" t="str">
            <v>U</v>
          </cell>
          <cell r="AE18" t="str">
            <v>U</v>
          </cell>
          <cell r="AF18" t="str">
            <v>U</v>
          </cell>
          <cell r="AG18" t="str">
            <v>U</v>
          </cell>
          <cell r="AH18" t="str">
            <v>U</v>
          </cell>
          <cell r="AI18" t="str">
            <v>U</v>
          </cell>
          <cell r="AJ18">
            <v>0</v>
          </cell>
          <cell r="AK18">
            <v>0</v>
          </cell>
        </row>
        <row r="19">
          <cell r="A19">
            <v>18</v>
          </cell>
          <cell r="B19">
            <v>2010992202</v>
          </cell>
          <cell r="C19" t="str">
            <v>EKAMJOT SINGH MAINGI</v>
          </cell>
          <cell r="E19" t="str">
            <v>EC112</v>
          </cell>
          <cell r="F19" t="str">
            <v>Network Analysis and Synthesis</v>
          </cell>
          <cell r="G19" t="str">
            <v>Theory</v>
          </cell>
          <cell r="H19" t="str">
            <v>B.E</v>
          </cell>
          <cell r="I19" t="str">
            <v>ECE</v>
          </cell>
          <cell r="J19">
            <v>2020</v>
          </cell>
          <cell r="K19">
            <v>3</v>
          </cell>
          <cell r="L19" t="str">
            <v>ST3</v>
          </cell>
          <cell r="M19" t="str">
            <v>U</v>
          </cell>
          <cell r="N19" t="str">
            <v>U</v>
          </cell>
          <cell r="O19" t="str">
            <v>U</v>
          </cell>
          <cell r="P19" t="str">
            <v>U</v>
          </cell>
          <cell r="Q19" t="str">
            <v>U</v>
          </cell>
          <cell r="R19" t="str">
            <v>U</v>
          </cell>
          <cell r="S19" t="str">
            <v>U</v>
          </cell>
          <cell r="T19" t="str">
            <v>U</v>
          </cell>
          <cell r="U19" t="str">
            <v>U</v>
          </cell>
          <cell r="V19" t="str">
            <v>U</v>
          </cell>
          <cell r="W19" t="str">
            <v>U</v>
          </cell>
          <cell r="X19" t="str">
            <v>U</v>
          </cell>
          <cell r="Y19" t="str">
            <v>U</v>
          </cell>
          <cell r="Z19" t="str">
            <v>U</v>
          </cell>
          <cell r="AA19" t="str">
            <v>U</v>
          </cell>
          <cell r="AB19" t="str">
            <v>U</v>
          </cell>
          <cell r="AC19" t="str">
            <v>U</v>
          </cell>
          <cell r="AD19" t="str">
            <v>U</v>
          </cell>
          <cell r="AE19" t="str">
            <v>U</v>
          </cell>
          <cell r="AF19" t="str">
            <v>U</v>
          </cell>
          <cell r="AG19" t="str">
            <v>U</v>
          </cell>
          <cell r="AH19" t="str">
            <v>U</v>
          </cell>
          <cell r="AI19" t="str">
            <v>U</v>
          </cell>
          <cell r="AJ19">
            <v>0</v>
          </cell>
          <cell r="AK19">
            <v>0</v>
          </cell>
        </row>
      </sheetData>
      <sheetData sheetId="7">
        <row r="1">
          <cell r="A1" t="str">
            <v>Q_Id</v>
          </cell>
          <cell r="B1" t="str">
            <v>Max Marks</v>
          </cell>
          <cell r="C1" t="str">
            <v>CO1</v>
          </cell>
          <cell r="D1" t="str">
            <v>CO2</v>
          </cell>
          <cell r="E1" t="str">
            <v>CO3</v>
          </cell>
          <cell r="F1" t="str">
            <v>CO4</v>
          </cell>
          <cell r="G1" t="str">
            <v>CO5</v>
          </cell>
          <cell r="H1" t="str">
            <v>CO6</v>
          </cell>
        </row>
        <row r="2">
          <cell r="A2" t="str">
            <v>1a</v>
          </cell>
          <cell r="B2">
            <v>0</v>
          </cell>
          <cell r="C2" t="b">
            <v>0</v>
          </cell>
          <cell r="D2" t="b">
            <v>0</v>
          </cell>
          <cell r="E2" t="b">
            <v>0</v>
          </cell>
          <cell r="F2" t="b">
            <v>0</v>
          </cell>
          <cell r="G2" t="b">
            <v>0</v>
          </cell>
          <cell r="H2" t="b">
            <v>0</v>
          </cell>
        </row>
        <row r="3">
          <cell r="A3" t="str">
            <v>1b</v>
          </cell>
          <cell r="B3">
            <v>0</v>
          </cell>
          <cell r="C3" t="b">
            <v>0</v>
          </cell>
          <cell r="D3" t="b">
            <v>0</v>
          </cell>
          <cell r="E3" t="b">
            <v>0</v>
          </cell>
          <cell r="F3" t="b">
            <v>0</v>
          </cell>
          <cell r="G3" t="b">
            <v>0</v>
          </cell>
          <cell r="H3" t="b">
            <v>0</v>
          </cell>
        </row>
        <row r="4">
          <cell r="A4" t="str">
            <v>1c</v>
          </cell>
          <cell r="B4">
            <v>0</v>
          </cell>
          <cell r="C4" t="b">
            <v>0</v>
          </cell>
          <cell r="D4" t="b">
            <v>0</v>
          </cell>
          <cell r="E4" t="b">
            <v>0</v>
          </cell>
          <cell r="F4" t="b">
            <v>0</v>
          </cell>
          <cell r="G4" t="b">
            <v>0</v>
          </cell>
          <cell r="H4" t="b">
            <v>0</v>
          </cell>
        </row>
        <row r="5">
          <cell r="A5" t="str">
            <v>1d</v>
          </cell>
          <cell r="B5">
            <v>0</v>
          </cell>
          <cell r="C5" t="b">
            <v>0</v>
          </cell>
          <cell r="D5" t="b">
            <v>0</v>
          </cell>
          <cell r="E5" t="b">
            <v>0</v>
          </cell>
          <cell r="F5" t="b">
            <v>0</v>
          </cell>
          <cell r="G5" t="b">
            <v>0</v>
          </cell>
          <cell r="H5" t="b">
            <v>0</v>
          </cell>
        </row>
        <row r="6">
          <cell r="A6" t="str">
            <v>1e</v>
          </cell>
          <cell r="B6">
            <v>0</v>
          </cell>
          <cell r="C6" t="b">
            <v>0</v>
          </cell>
          <cell r="D6" t="b">
            <v>0</v>
          </cell>
          <cell r="E6" t="b">
            <v>0</v>
          </cell>
          <cell r="F6" t="b">
            <v>0</v>
          </cell>
          <cell r="G6" t="b">
            <v>0</v>
          </cell>
          <cell r="H6" t="b">
            <v>0</v>
          </cell>
        </row>
        <row r="7">
          <cell r="A7" t="str">
            <v>Q2</v>
          </cell>
          <cell r="B7">
            <v>0</v>
          </cell>
          <cell r="C7" t="b">
            <v>0</v>
          </cell>
          <cell r="D7" t="b">
            <v>0</v>
          </cell>
          <cell r="E7" t="b">
            <v>0</v>
          </cell>
          <cell r="F7" t="b">
            <v>0</v>
          </cell>
          <cell r="G7" t="b">
            <v>0</v>
          </cell>
          <cell r="H7" t="b">
            <v>0</v>
          </cell>
        </row>
        <row r="8">
          <cell r="A8" t="str">
            <v>Q3</v>
          </cell>
          <cell r="B8">
            <v>0</v>
          </cell>
          <cell r="C8" t="b">
            <v>0</v>
          </cell>
          <cell r="D8" t="b">
            <v>0</v>
          </cell>
          <cell r="E8" t="b">
            <v>0</v>
          </cell>
          <cell r="F8" t="b">
            <v>0</v>
          </cell>
          <cell r="G8" t="b">
            <v>0</v>
          </cell>
          <cell r="H8" t="b">
            <v>0</v>
          </cell>
        </row>
        <row r="9">
          <cell r="A9" t="str">
            <v>Q4</v>
          </cell>
          <cell r="B9">
            <v>0</v>
          </cell>
          <cell r="C9" t="b">
            <v>0</v>
          </cell>
          <cell r="D9" t="b">
            <v>0</v>
          </cell>
          <cell r="E9" t="b">
            <v>0</v>
          </cell>
          <cell r="F9" t="b">
            <v>0</v>
          </cell>
          <cell r="G9" t="b">
            <v>0</v>
          </cell>
          <cell r="H9" t="b">
            <v>0</v>
          </cell>
        </row>
        <row r="10">
          <cell r="A10" t="str">
            <v>Q5</v>
          </cell>
          <cell r="B10">
            <v>0</v>
          </cell>
          <cell r="C10" t="b">
            <v>0</v>
          </cell>
          <cell r="D10" t="b">
            <v>0</v>
          </cell>
          <cell r="E10" t="b">
            <v>0</v>
          </cell>
          <cell r="F10" t="b">
            <v>0</v>
          </cell>
          <cell r="G10" t="b">
            <v>0</v>
          </cell>
          <cell r="H10" t="b">
            <v>0</v>
          </cell>
        </row>
        <row r="11">
          <cell r="A11" t="str">
            <v>Q6</v>
          </cell>
          <cell r="B11">
            <v>0</v>
          </cell>
          <cell r="C11" t="b">
            <v>0</v>
          </cell>
          <cell r="D11" t="b">
            <v>0</v>
          </cell>
          <cell r="E11" t="b">
            <v>0</v>
          </cell>
          <cell r="F11" t="b">
            <v>0</v>
          </cell>
          <cell r="G11" t="b">
            <v>0</v>
          </cell>
          <cell r="H11" t="b">
            <v>0</v>
          </cell>
        </row>
        <row r="12">
          <cell r="A12" t="str">
            <v>Q7</v>
          </cell>
          <cell r="B12">
            <v>0</v>
          </cell>
          <cell r="C12" t="b">
            <v>0</v>
          </cell>
          <cell r="D12" t="b">
            <v>0</v>
          </cell>
          <cell r="E12" t="b">
            <v>0</v>
          </cell>
          <cell r="F12" t="b">
            <v>0</v>
          </cell>
          <cell r="G12" t="b">
            <v>0</v>
          </cell>
          <cell r="H12" t="b">
            <v>0</v>
          </cell>
        </row>
        <row r="13">
          <cell r="A13" t="str">
            <v>Q8</v>
          </cell>
          <cell r="B13">
            <v>0</v>
          </cell>
          <cell r="C13" t="b">
            <v>0</v>
          </cell>
          <cell r="D13" t="b">
            <v>0</v>
          </cell>
          <cell r="E13" t="b">
            <v>0</v>
          </cell>
          <cell r="F13" t="b">
            <v>0</v>
          </cell>
          <cell r="G13" t="b">
            <v>0</v>
          </cell>
          <cell r="H13" t="b">
            <v>0</v>
          </cell>
        </row>
        <row r="14">
          <cell r="A14" t="str">
            <v>Q9</v>
          </cell>
          <cell r="B14">
            <v>0</v>
          </cell>
          <cell r="C14" t="b">
            <v>0</v>
          </cell>
          <cell r="D14" t="b">
            <v>0</v>
          </cell>
          <cell r="E14" t="b">
            <v>0</v>
          </cell>
          <cell r="F14" t="b">
            <v>0</v>
          </cell>
          <cell r="G14" t="b">
            <v>0</v>
          </cell>
          <cell r="H14" t="b">
            <v>0</v>
          </cell>
        </row>
        <row r="15">
          <cell r="A15" t="str">
            <v>Q10</v>
          </cell>
          <cell r="B15">
            <v>0</v>
          </cell>
          <cell r="C15" t="b">
            <v>0</v>
          </cell>
          <cell r="D15" t="b">
            <v>0</v>
          </cell>
          <cell r="E15" t="b">
            <v>0</v>
          </cell>
          <cell r="F15" t="b">
            <v>0</v>
          </cell>
          <cell r="G15" t="b">
            <v>0</v>
          </cell>
          <cell r="H15" t="b">
            <v>0</v>
          </cell>
        </row>
        <row r="16">
          <cell r="A16" t="str">
            <v>Q11</v>
          </cell>
          <cell r="B16">
            <v>0</v>
          </cell>
          <cell r="C16" t="b">
            <v>0</v>
          </cell>
          <cell r="D16" t="b">
            <v>0</v>
          </cell>
          <cell r="E16" t="b">
            <v>0</v>
          </cell>
          <cell r="F16" t="b">
            <v>0</v>
          </cell>
          <cell r="G16" t="b">
            <v>0</v>
          </cell>
          <cell r="H16" t="b">
            <v>0</v>
          </cell>
        </row>
        <row r="17">
          <cell r="A17" t="str">
            <v>Q12</v>
          </cell>
          <cell r="B17">
            <v>0</v>
          </cell>
          <cell r="C17" t="b">
            <v>0</v>
          </cell>
          <cell r="D17" t="b">
            <v>0</v>
          </cell>
          <cell r="E17" t="b">
            <v>0</v>
          </cell>
          <cell r="F17" t="b">
            <v>0</v>
          </cell>
          <cell r="G17" t="b">
            <v>0</v>
          </cell>
          <cell r="H17" t="b">
            <v>0</v>
          </cell>
        </row>
        <row r="18">
          <cell r="A18" t="str">
            <v>Q13</v>
          </cell>
          <cell r="B18">
            <v>0</v>
          </cell>
          <cell r="C18" t="b">
            <v>0</v>
          </cell>
          <cell r="D18" t="b">
            <v>0</v>
          </cell>
          <cell r="E18" t="b">
            <v>0</v>
          </cell>
          <cell r="F18" t="b">
            <v>0</v>
          </cell>
          <cell r="G18" t="b">
            <v>0</v>
          </cell>
          <cell r="H18" t="b">
            <v>0</v>
          </cell>
        </row>
        <row r="19">
          <cell r="A19" t="str">
            <v>Q14</v>
          </cell>
          <cell r="B19">
            <v>0</v>
          </cell>
          <cell r="C19" t="b">
            <v>0</v>
          </cell>
          <cell r="D19" t="b">
            <v>0</v>
          </cell>
          <cell r="E19" t="b">
            <v>0</v>
          </cell>
          <cell r="F19" t="b">
            <v>0</v>
          </cell>
          <cell r="G19" t="b">
            <v>0</v>
          </cell>
          <cell r="H19" t="b">
            <v>0</v>
          </cell>
        </row>
        <row r="20">
          <cell r="A20" t="str">
            <v>Q15</v>
          </cell>
          <cell r="B20">
            <v>0</v>
          </cell>
          <cell r="C20" t="b">
            <v>0</v>
          </cell>
          <cell r="D20" t="b">
            <v>0</v>
          </cell>
          <cell r="E20" t="b">
            <v>0</v>
          </cell>
          <cell r="F20" t="b">
            <v>0</v>
          </cell>
          <cell r="G20" t="b">
            <v>0</v>
          </cell>
          <cell r="H20" t="b">
            <v>0</v>
          </cell>
        </row>
        <row r="21">
          <cell r="A21" t="str">
            <v>Q16</v>
          </cell>
          <cell r="B21">
            <v>0</v>
          </cell>
          <cell r="C21" t="b">
            <v>0</v>
          </cell>
          <cell r="D21" t="b">
            <v>0</v>
          </cell>
          <cell r="E21" t="b">
            <v>0</v>
          </cell>
          <cell r="F21" t="b">
            <v>0</v>
          </cell>
          <cell r="G21" t="b">
            <v>0</v>
          </cell>
          <cell r="H21" t="b">
            <v>0</v>
          </cell>
        </row>
        <row r="22">
          <cell r="A22" t="str">
            <v>Assignment</v>
          </cell>
          <cell r="B22">
            <v>0</v>
          </cell>
          <cell r="C22" t="b">
            <v>0</v>
          </cell>
          <cell r="D22" t="b">
            <v>0</v>
          </cell>
          <cell r="E22" t="b">
            <v>0</v>
          </cell>
          <cell r="F22" t="b">
            <v>0</v>
          </cell>
          <cell r="G22" t="b">
            <v>0</v>
          </cell>
          <cell r="H22" t="b">
            <v>0</v>
          </cell>
        </row>
        <row r="23">
          <cell r="A23" t="str">
            <v>FA1</v>
          </cell>
          <cell r="B23">
            <v>30</v>
          </cell>
          <cell r="C23" t="b">
            <v>1</v>
          </cell>
          <cell r="D23" t="b">
            <v>1</v>
          </cell>
          <cell r="E23" t="b">
            <v>1</v>
          </cell>
          <cell r="F23" t="b">
            <v>0</v>
          </cell>
          <cell r="G23" t="b">
            <v>0</v>
          </cell>
          <cell r="H23" t="b">
            <v>0</v>
          </cell>
        </row>
        <row r="24">
          <cell r="A24" t="str">
            <v>FA2</v>
          </cell>
          <cell r="B24">
            <v>30</v>
          </cell>
          <cell r="C24" t="b">
            <v>1</v>
          </cell>
          <cell r="D24" t="b">
            <v>1</v>
          </cell>
          <cell r="E24" t="b">
            <v>1</v>
          </cell>
          <cell r="F24" t="b">
            <v>0</v>
          </cell>
          <cell r="G24" t="b">
            <v>0</v>
          </cell>
          <cell r="H24" t="b">
            <v>0</v>
          </cell>
        </row>
      </sheetData>
      <sheetData sheetId="8">
        <row r="1">
          <cell r="A1" t="str">
            <v>Sr.no</v>
          </cell>
          <cell r="AK1" t="str">
            <v>max Marks</v>
          </cell>
        </row>
        <row r="2">
          <cell r="AK2">
            <v>60</v>
          </cell>
        </row>
        <row r="3">
          <cell r="AK3">
            <v>60</v>
          </cell>
        </row>
        <row r="4">
          <cell r="AK4">
            <v>60</v>
          </cell>
        </row>
        <row r="5">
          <cell r="AK5">
            <v>60</v>
          </cell>
        </row>
        <row r="6">
          <cell r="AK6">
            <v>60</v>
          </cell>
        </row>
        <row r="7">
          <cell r="AK7">
            <v>60</v>
          </cell>
        </row>
        <row r="8">
          <cell r="AK8">
            <v>60</v>
          </cell>
        </row>
        <row r="9">
          <cell r="AK9">
            <v>60</v>
          </cell>
        </row>
        <row r="10">
          <cell r="AK10">
            <v>60</v>
          </cell>
        </row>
        <row r="11">
          <cell r="AK11">
            <v>60</v>
          </cell>
        </row>
        <row r="12">
          <cell r="AK12">
            <v>60</v>
          </cell>
        </row>
        <row r="13">
          <cell r="AK13">
            <v>60</v>
          </cell>
        </row>
        <row r="14">
          <cell r="AK14">
            <v>60</v>
          </cell>
        </row>
        <row r="15">
          <cell r="AK15">
            <v>60</v>
          </cell>
        </row>
        <row r="16">
          <cell r="AK16">
            <v>60</v>
          </cell>
        </row>
        <row r="17">
          <cell r="AK17">
            <v>60</v>
          </cell>
        </row>
        <row r="18">
          <cell r="AK18">
            <v>60</v>
          </cell>
        </row>
        <row r="19">
          <cell r="AK19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73-820A-484B-AAA5-BC37DD0284F4}">
  <dimension ref="A1:B15"/>
  <sheetViews>
    <sheetView workbookViewId="0">
      <selection activeCell="B1" sqref="B1"/>
    </sheetView>
  </sheetViews>
  <sheetFormatPr defaultRowHeight="14.4" x14ac:dyDescent="0.3"/>
  <cols>
    <col min="2" max="2" width="24.33203125" bestFit="1" customWidth="1"/>
  </cols>
  <sheetData>
    <row r="1" spans="1:2" x14ac:dyDescent="0.3">
      <c r="A1" t="str" cm="1">
        <f t="array" ref="A1:B15">'[1]OBE Details'!$A$1:$B$15</f>
        <v>CO Score</v>
      </c>
      <c r="B1" t="str">
        <v>Percentage of Co attained</v>
      </c>
    </row>
    <row r="2" spans="1:2" x14ac:dyDescent="0.3">
      <c r="A2" t="str">
        <v>Attained 3</v>
      </c>
      <c r="B2">
        <v>60</v>
      </c>
    </row>
    <row r="3" spans="1:2" x14ac:dyDescent="0.3">
      <c r="A3" t="str">
        <v>Attained 2</v>
      </c>
      <c r="B3">
        <v>60</v>
      </c>
    </row>
    <row r="4" spans="1:2" x14ac:dyDescent="0.3">
      <c r="A4" t="str">
        <v>Attained 1</v>
      </c>
      <c r="B4">
        <v>60</v>
      </c>
    </row>
    <row r="5" spans="1:2" x14ac:dyDescent="0.3">
      <c r="A5" t="str">
        <v>Threshold</v>
      </c>
      <c r="B5">
        <v>60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 t="str">
        <v>Types</v>
      </c>
      <c r="B8" t="str">
        <v>Weightages</v>
      </c>
    </row>
    <row r="9" spans="1:2" x14ac:dyDescent="0.3">
      <c r="A9" t="str">
        <v>Internal (Avg of ST1,ST2,ST3)</v>
      </c>
      <c r="B9">
        <v>0.4</v>
      </c>
    </row>
    <row r="10" spans="1:2" x14ac:dyDescent="0.3">
      <c r="A10" t="str">
        <v>External(ETE)</v>
      </c>
      <c r="B10">
        <v>0.6</v>
      </c>
    </row>
    <row r="11" spans="1:2" x14ac:dyDescent="0.3">
      <c r="A11">
        <v>0</v>
      </c>
      <c r="B11">
        <v>0</v>
      </c>
    </row>
    <row r="12" spans="1:2" x14ac:dyDescent="0.3">
      <c r="A12" t="str">
        <v>CO Score</v>
      </c>
      <c r="B12" t="str">
        <v>Perecntage of students attaining Target</v>
      </c>
    </row>
    <row r="13" spans="1:2" x14ac:dyDescent="0.3">
      <c r="A13">
        <v>3</v>
      </c>
      <c r="B13">
        <v>0.8</v>
      </c>
    </row>
    <row r="14" spans="1:2" x14ac:dyDescent="0.3">
      <c r="A14">
        <v>2</v>
      </c>
      <c r="B14">
        <v>0.7</v>
      </c>
    </row>
    <row r="15" spans="1:2" x14ac:dyDescent="0.3">
      <c r="A15">
        <v>1</v>
      </c>
      <c r="B15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1"/>
  <sheetViews>
    <sheetView workbookViewId="0"/>
  </sheetViews>
  <sheetFormatPr defaultRowHeight="14.4" x14ac:dyDescent="0.3"/>
  <sheetData>
    <row r="1" spans="1:8" x14ac:dyDescent="0.3">
      <c r="A1" t="str" cm="1">
        <f t="array" ref="A1:H21">'[1]ST1 Question Map'!$A$1:$H$21</f>
        <v>Q_Id</v>
      </c>
      <c r="B1" t="str">
        <v>Max Marks</v>
      </c>
      <c r="C1" t="str">
        <v>CO1</v>
      </c>
      <c r="D1" t="str">
        <v>CO2</v>
      </c>
      <c r="E1" t="str">
        <v>CO3</v>
      </c>
      <c r="F1" t="str">
        <v>CO4</v>
      </c>
      <c r="G1" t="str">
        <v>CO5</v>
      </c>
      <c r="H1" t="str">
        <v>CO6</v>
      </c>
    </row>
    <row r="2" spans="1:8" x14ac:dyDescent="0.3">
      <c r="A2" t="str">
        <v>1a</v>
      </c>
      <c r="B2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 spans="1:8" x14ac:dyDescent="0.3">
      <c r="A3" t="str">
        <v>1b</v>
      </c>
      <c r="B3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 spans="1:8" x14ac:dyDescent="0.3">
      <c r="A4" t="str">
        <v>1c</v>
      </c>
      <c r="B4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 spans="1:8" x14ac:dyDescent="0.3">
      <c r="A5" t="str">
        <v>1d</v>
      </c>
      <c r="B5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 spans="1:8" x14ac:dyDescent="0.3">
      <c r="A6" t="str">
        <v>1e</v>
      </c>
      <c r="B6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 spans="1:8" x14ac:dyDescent="0.3">
      <c r="A7" t="str">
        <v>Q2</v>
      </c>
      <c r="B7">
        <v>2</v>
      </c>
      <c r="C7" t="b">
        <v>1</v>
      </c>
      <c r="D7" t="b">
        <v>0</v>
      </c>
      <c r="E7" t="b">
        <v>1</v>
      </c>
      <c r="F7" t="b">
        <v>0</v>
      </c>
      <c r="G7" t="b">
        <v>0</v>
      </c>
      <c r="H7" t="b">
        <v>0</v>
      </c>
    </row>
    <row r="8" spans="1:8" x14ac:dyDescent="0.3">
      <c r="A8" t="str">
        <v>Q3</v>
      </c>
      <c r="B8">
        <v>2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 spans="1:8" x14ac:dyDescent="0.3">
      <c r="A9" t="str">
        <v>Q4</v>
      </c>
      <c r="B9">
        <v>2</v>
      </c>
      <c r="C9" t="b">
        <v>1</v>
      </c>
      <c r="D9" t="b">
        <v>1</v>
      </c>
      <c r="E9" t="b">
        <v>0</v>
      </c>
      <c r="F9" t="b">
        <v>1</v>
      </c>
      <c r="G9" t="b">
        <v>0</v>
      </c>
      <c r="H9" t="b">
        <v>0</v>
      </c>
    </row>
    <row r="10" spans="1:8" x14ac:dyDescent="0.3">
      <c r="A10" t="str">
        <v>Q5</v>
      </c>
      <c r="B10">
        <v>2</v>
      </c>
      <c r="C10" t="b">
        <v>1</v>
      </c>
      <c r="D10" t="b">
        <v>1</v>
      </c>
      <c r="E10" t="b">
        <v>0</v>
      </c>
      <c r="F10" t="b">
        <v>0</v>
      </c>
      <c r="G10" t="b">
        <v>1</v>
      </c>
      <c r="H10" t="b">
        <v>0</v>
      </c>
    </row>
    <row r="11" spans="1:8" x14ac:dyDescent="0.3">
      <c r="A11" t="str">
        <v>Q6</v>
      </c>
      <c r="B11">
        <v>2</v>
      </c>
      <c r="C11" t="b">
        <v>1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</row>
    <row r="12" spans="1:8" x14ac:dyDescent="0.3">
      <c r="A12" t="str">
        <v>Q7</v>
      </c>
      <c r="B12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 spans="1:8" x14ac:dyDescent="0.3">
      <c r="A13" t="str">
        <v>Q8</v>
      </c>
      <c r="B13">
        <v>5</v>
      </c>
      <c r="C13" t="b">
        <v>1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</row>
    <row r="14" spans="1:8" x14ac:dyDescent="0.3">
      <c r="A14" t="str">
        <v>Q9</v>
      </c>
      <c r="B14">
        <v>5</v>
      </c>
      <c r="C14" t="b">
        <v>1</v>
      </c>
      <c r="D14" t="b">
        <v>0</v>
      </c>
      <c r="E14" t="b">
        <v>1</v>
      </c>
      <c r="F14" t="b">
        <v>0</v>
      </c>
      <c r="G14" t="b">
        <v>0</v>
      </c>
      <c r="H14" t="b">
        <v>0</v>
      </c>
    </row>
    <row r="15" spans="1:8" x14ac:dyDescent="0.3">
      <c r="A15" t="str">
        <v>Q10</v>
      </c>
      <c r="B15">
        <v>5</v>
      </c>
      <c r="C15" t="b">
        <v>1</v>
      </c>
      <c r="D15" t="b">
        <v>1</v>
      </c>
      <c r="E15" t="b">
        <v>0</v>
      </c>
      <c r="F15" t="b">
        <v>1</v>
      </c>
      <c r="G15" t="b">
        <v>0</v>
      </c>
      <c r="H15" t="b">
        <v>0</v>
      </c>
    </row>
    <row r="16" spans="1:8" x14ac:dyDescent="0.3">
      <c r="A16" t="str">
        <v>Q11</v>
      </c>
      <c r="B16">
        <v>5</v>
      </c>
      <c r="C16" t="b">
        <v>1</v>
      </c>
      <c r="D16" t="b">
        <v>0</v>
      </c>
      <c r="E16" t="b">
        <v>0</v>
      </c>
      <c r="F16" t="b">
        <v>1</v>
      </c>
      <c r="G16" t="b">
        <v>0</v>
      </c>
      <c r="H16" t="b">
        <v>1</v>
      </c>
    </row>
    <row r="17" spans="1:8" x14ac:dyDescent="0.3">
      <c r="A17" t="str">
        <v>Q12</v>
      </c>
      <c r="B17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 spans="1:8" x14ac:dyDescent="0.3">
      <c r="A18" t="str">
        <v>Q13</v>
      </c>
      <c r="B18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 spans="1:8" x14ac:dyDescent="0.3">
      <c r="A19" t="str">
        <v>Q14</v>
      </c>
      <c r="B19">
        <v>10</v>
      </c>
      <c r="C19" t="b">
        <v>1</v>
      </c>
      <c r="D19" t="b">
        <v>1</v>
      </c>
      <c r="E19" t="b">
        <v>1</v>
      </c>
      <c r="F19" t="b">
        <v>1</v>
      </c>
      <c r="G19" t="b">
        <v>0</v>
      </c>
      <c r="H19" t="b">
        <v>1</v>
      </c>
    </row>
    <row r="20" spans="1:8" x14ac:dyDescent="0.3">
      <c r="A20" t="str">
        <v>Q15</v>
      </c>
      <c r="B20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 spans="1:8" x14ac:dyDescent="0.3">
      <c r="A21" t="str">
        <v>Q16</v>
      </c>
      <c r="B21">
        <v>0</v>
      </c>
      <c r="C21" t="b">
        <v>0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4667-E011-4AF6-8F28-13FE5928C886}">
  <sheetPr codeName="Sheet2"/>
  <dimension ref="A1:AK19"/>
  <sheetViews>
    <sheetView topLeftCell="K1" zoomScale="85" zoomScaleNormal="85" workbookViewId="0"/>
  </sheetViews>
  <sheetFormatPr defaultRowHeight="14.4" x14ac:dyDescent="0.3"/>
  <cols>
    <col min="2" max="2" width="21.6640625" bestFit="1" customWidth="1"/>
  </cols>
  <sheetData>
    <row r="1" spans="1:37" x14ac:dyDescent="0.3">
      <c r="A1" t="str" cm="1">
        <f t="array" ref="A1:AK19">INDEX('[1]ST1 Result'!$A:$AK, 1, 1):INDEX('[1]ST1 Result'!$AK:$AK,COUNTA('[1]ST1 Result'!$AK:$AK))</f>
        <v>Sr.no</v>
      </c>
      <c r="B1" t="str">
        <v>Admission No. (Roll No.)</v>
      </c>
      <c r="C1" t="str">
        <v>Name of Student</v>
      </c>
      <c r="D1" t="str">
        <v>Division(Section)</v>
      </c>
      <c r="E1" t="str">
        <v>Course Code</v>
      </c>
      <c r="F1" t="str">
        <v>Course Name</v>
      </c>
      <c r="G1" t="str">
        <v>Lecture Type (Theory/Practical)</v>
      </c>
      <c r="H1" t="str">
        <v>Program Name</v>
      </c>
      <c r="I1" t="str">
        <v>Department Name</v>
      </c>
      <c r="J1" t="str">
        <v>Class Name (Batch)</v>
      </c>
      <c r="K1" t="str">
        <v>Semester Name</v>
      </c>
      <c r="L1" t="str">
        <v>Exam Name (ETE/ST/FA)</v>
      </c>
      <c r="M1" t="str">
        <v>1a</v>
      </c>
      <c r="N1" t="str">
        <v>1b</v>
      </c>
      <c r="O1" t="str">
        <v>1c</v>
      </c>
      <c r="P1" t="str">
        <v>1d</v>
      </c>
      <c r="Q1" t="str">
        <v>1e</v>
      </c>
      <c r="R1" t="str">
        <v>Q2</v>
      </c>
      <c r="S1" t="str">
        <v>Q3</v>
      </c>
      <c r="T1" t="str">
        <v>Q4</v>
      </c>
      <c r="U1" t="str">
        <v>Q5</v>
      </c>
      <c r="V1" t="str">
        <v>Q6</v>
      </c>
      <c r="W1" t="str">
        <v>Q7</v>
      </c>
      <c r="X1" t="str">
        <v>Q8</v>
      </c>
      <c r="Y1" t="str">
        <v>Q9</v>
      </c>
      <c r="Z1" t="str">
        <v>Q10</v>
      </c>
      <c r="AA1" t="str">
        <v>Q11</v>
      </c>
      <c r="AB1" t="str">
        <v>Q12</v>
      </c>
      <c r="AC1" t="str">
        <v>Q13</v>
      </c>
      <c r="AD1" t="str">
        <v>Q14</v>
      </c>
      <c r="AE1" t="str">
        <v>Q15</v>
      </c>
      <c r="AF1" t="str">
        <v>Q16</v>
      </c>
      <c r="AG1" t="str">
        <v>Assignment</v>
      </c>
      <c r="AH1" t="str">
        <v>FA1</v>
      </c>
      <c r="AI1" t="str">
        <v>FA2</v>
      </c>
      <c r="AJ1" t="str">
        <v>Total Marks</v>
      </c>
      <c r="AK1" t="str">
        <v>max Marks</v>
      </c>
    </row>
    <row r="2" spans="1:37" x14ac:dyDescent="0.3">
      <c r="A2">
        <v>1</v>
      </c>
      <c r="B2">
        <v>2010990089</v>
      </c>
      <c r="C2" t="str">
        <v>ANSH GARG</v>
      </c>
      <c r="D2">
        <v>0</v>
      </c>
      <c r="E2" t="str">
        <v>EC112</v>
      </c>
      <c r="F2" t="str">
        <v>Network Analysis and Synthesis</v>
      </c>
      <c r="G2" t="str">
        <v>Theory</v>
      </c>
      <c r="H2" t="str">
        <v>B.E</v>
      </c>
      <c r="I2" t="str">
        <v>ECE</v>
      </c>
      <c r="J2">
        <v>2020</v>
      </c>
      <c r="K2">
        <v>3</v>
      </c>
      <c r="L2" t="str">
        <v>ST1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>
        <v>0</v>
      </c>
      <c r="S2">
        <v>0</v>
      </c>
      <c r="T2">
        <v>1</v>
      </c>
      <c r="U2" t="str">
        <v>U</v>
      </c>
      <c r="V2" t="str">
        <v>U</v>
      </c>
      <c r="W2" t="str">
        <v>U</v>
      </c>
      <c r="X2">
        <v>2</v>
      </c>
      <c r="Y2">
        <v>2</v>
      </c>
      <c r="Z2">
        <v>1</v>
      </c>
      <c r="AA2">
        <v>4</v>
      </c>
      <c r="AB2" t="str">
        <v>U</v>
      </c>
      <c r="AC2" t="str">
        <v>U</v>
      </c>
      <c r="AD2">
        <v>4</v>
      </c>
      <c r="AE2" t="str">
        <v>U</v>
      </c>
      <c r="AF2" t="str">
        <v>U</v>
      </c>
      <c r="AG2">
        <v>7</v>
      </c>
      <c r="AH2" t="str">
        <v>U</v>
      </c>
      <c r="AI2" t="str">
        <v>U</v>
      </c>
      <c r="AJ2">
        <v>21</v>
      </c>
      <c r="AK2">
        <v>50</v>
      </c>
    </row>
    <row r="3" spans="1:37" x14ac:dyDescent="0.3">
      <c r="A3">
        <v>2</v>
      </c>
      <c r="B3">
        <v>2010992002</v>
      </c>
      <c r="C3" t="str">
        <v>PANSY VERMA</v>
      </c>
      <c r="D3">
        <v>0</v>
      </c>
      <c r="E3" t="str">
        <v>EC112</v>
      </c>
      <c r="F3" t="str">
        <v>Network Analysis and Synthesis</v>
      </c>
      <c r="G3" t="str">
        <v>Theory</v>
      </c>
      <c r="H3" t="str">
        <v>B.E</v>
      </c>
      <c r="I3" t="str">
        <v>ECE</v>
      </c>
      <c r="J3">
        <v>2020</v>
      </c>
      <c r="K3">
        <v>3</v>
      </c>
      <c r="L3" t="str">
        <v>ST1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>
        <v>2</v>
      </c>
      <c r="S3">
        <v>2</v>
      </c>
      <c r="T3">
        <v>2</v>
      </c>
      <c r="U3" t="str">
        <v>U</v>
      </c>
      <c r="V3" t="str">
        <v>U</v>
      </c>
      <c r="W3" t="str">
        <v>U</v>
      </c>
      <c r="X3">
        <v>5</v>
      </c>
      <c r="Y3">
        <v>5</v>
      </c>
      <c r="Z3">
        <v>4</v>
      </c>
      <c r="AA3">
        <v>4</v>
      </c>
      <c r="AB3" t="str">
        <v>U</v>
      </c>
      <c r="AC3" t="str">
        <v>U</v>
      </c>
      <c r="AD3">
        <v>10</v>
      </c>
      <c r="AE3" t="str">
        <v>U</v>
      </c>
      <c r="AF3" t="str">
        <v>U</v>
      </c>
      <c r="AG3">
        <v>10</v>
      </c>
      <c r="AH3" t="str">
        <v>U</v>
      </c>
      <c r="AI3" t="str">
        <v>U</v>
      </c>
      <c r="AJ3">
        <v>44</v>
      </c>
      <c r="AK3">
        <v>50</v>
      </c>
    </row>
    <row r="4" spans="1:37" x14ac:dyDescent="0.3">
      <c r="A4">
        <v>3</v>
      </c>
      <c r="B4">
        <v>2010992004</v>
      </c>
      <c r="C4" t="str">
        <v>UTKARSH BHATT</v>
      </c>
      <c r="D4">
        <v>0</v>
      </c>
      <c r="E4" t="str">
        <v>EC112</v>
      </c>
      <c r="F4" t="str">
        <v>Network Analysis and Synthesis</v>
      </c>
      <c r="G4" t="str">
        <v>Theory</v>
      </c>
      <c r="H4" t="str">
        <v>B.E</v>
      </c>
      <c r="I4" t="str">
        <v>ECE</v>
      </c>
      <c r="J4">
        <v>2020</v>
      </c>
      <c r="K4">
        <v>3</v>
      </c>
      <c r="L4" t="str">
        <v>ST1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>
        <v>2</v>
      </c>
      <c r="S4">
        <v>2</v>
      </c>
      <c r="T4">
        <v>1</v>
      </c>
      <c r="U4">
        <v>2</v>
      </c>
      <c r="V4">
        <v>1</v>
      </c>
      <c r="W4" t="str">
        <v>U</v>
      </c>
      <c r="X4">
        <v>3</v>
      </c>
      <c r="Y4">
        <v>3</v>
      </c>
      <c r="Z4">
        <v>4</v>
      </c>
      <c r="AA4">
        <v>3</v>
      </c>
      <c r="AB4" t="str">
        <v>U</v>
      </c>
      <c r="AC4" t="str">
        <v>U</v>
      </c>
      <c r="AD4">
        <v>7</v>
      </c>
      <c r="AE4" t="str">
        <v>U</v>
      </c>
      <c r="AF4" t="str">
        <v>U</v>
      </c>
      <c r="AG4">
        <v>10</v>
      </c>
      <c r="AH4" t="str">
        <v>U</v>
      </c>
      <c r="AI4" t="str">
        <v>U</v>
      </c>
      <c r="AJ4">
        <v>38</v>
      </c>
      <c r="AK4">
        <v>50</v>
      </c>
    </row>
    <row r="5" spans="1:37" x14ac:dyDescent="0.3">
      <c r="A5">
        <v>4</v>
      </c>
      <c r="B5">
        <v>2010992005</v>
      </c>
      <c r="C5" t="str">
        <v>RATANABH SHARMA</v>
      </c>
      <c r="D5">
        <v>0</v>
      </c>
      <c r="E5" t="str">
        <v>EC112</v>
      </c>
      <c r="F5" t="str">
        <v>Network Analysis and Synthesis</v>
      </c>
      <c r="G5" t="str">
        <v>Theory</v>
      </c>
      <c r="H5" t="str">
        <v>B.E</v>
      </c>
      <c r="I5" t="str">
        <v>ECE</v>
      </c>
      <c r="J5">
        <v>2020</v>
      </c>
      <c r="K5">
        <v>3</v>
      </c>
      <c r="L5" t="str">
        <v>ST1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>
        <v>2</v>
      </c>
      <c r="S5">
        <v>1</v>
      </c>
      <c r="T5">
        <v>1</v>
      </c>
      <c r="U5" t="str">
        <v>U</v>
      </c>
      <c r="V5" t="str">
        <v>U</v>
      </c>
      <c r="W5" t="str">
        <v>U</v>
      </c>
      <c r="X5">
        <v>3</v>
      </c>
      <c r="Y5">
        <v>3</v>
      </c>
      <c r="Z5">
        <v>4</v>
      </c>
      <c r="AA5">
        <v>3</v>
      </c>
      <c r="AB5" t="str">
        <v>U</v>
      </c>
      <c r="AC5" t="str">
        <v>U</v>
      </c>
      <c r="AD5">
        <v>8</v>
      </c>
      <c r="AE5" t="str">
        <v>U</v>
      </c>
      <c r="AF5" t="str">
        <v>U</v>
      </c>
      <c r="AG5">
        <v>10</v>
      </c>
      <c r="AH5" t="str">
        <v>U</v>
      </c>
      <c r="AI5" t="str">
        <v>U</v>
      </c>
      <c r="AJ5">
        <v>35</v>
      </c>
      <c r="AK5">
        <v>50</v>
      </c>
    </row>
    <row r="6" spans="1:37" x14ac:dyDescent="0.3">
      <c r="A6">
        <v>5</v>
      </c>
      <c r="B6">
        <v>2010992006</v>
      </c>
      <c r="C6" t="str">
        <v>AYUSH SHARMA</v>
      </c>
      <c r="D6">
        <v>0</v>
      </c>
      <c r="E6" t="str">
        <v>EC112</v>
      </c>
      <c r="F6" t="str">
        <v>Network Analysis and Synthesis</v>
      </c>
      <c r="G6" t="str">
        <v>Theory</v>
      </c>
      <c r="H6" t="str">
        <v>B.E</v>
      </c>
      <c r="I6" t="str">
        <v>ECE</v>
      </c>
      <c r="J6">
        <v>2020</v>
      </c>
      <c r="K6">
        <v>3</v>
      </c>
      <c r="L6" t="str">
        <v>ST1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>
        <v>1</v>
      </c>
      <c r="S6">
        <v>2</v>
      </c>
      <c r="T6">
        <v>2</v>
      </c>
      <c r="U6">
        <v>2</v>
      </c>
      <c r="V6">
        <v>1</v>
      </c>
      <c r="W6" t="str">
        <v>U</v>
      </c>
      <c r="X6">
        <v>3</v>
      </c>
      <c r="Y6">
        <v>4</v>
      </c>
      <c r="Z6">
        <v>3</v>
      </c>
      <c r="AA6">
        <v>3</v>
      </c>
      <c r="AB6" t="str">
        <v>U</v>
      </c>
      <c r="AC6" t="str">
        <v>U</v>
      </c>
      <c r="AD6">
        <v>7</v>
      </c>
      <c r="AE6" t="str">
        <v>U</v>
      </c>
      <c r="AF6" t="str">
        <v>U</v>
      </c>
      <c r="AG6">
        <v>7</v>
      </c>
      <c r="AH6" t="str">
        <v>U</v>
      </c>
      <c r="AI6" t="str">
        <v>U</v>
      </c>
      <c r="AJ6">
        <v>35</v>
      </c>
      <c r="AK6">
        <v>50</v>
      </c>
    </row>
    <row r="7" spans="1:37" x14ac:dyDescent="0.3">
      <c r="A7">
        <v>6</v>
      </c>
      <c r="B7">
        <v>2010992008</v>
      </c>
      <c r="C7" t="str">
        <v>NAVDEEP SINGH</v>
      </c>
      <c r="D7">
        <v>0</v>
      </c>
      <c r="E7" t="str">
        <v>EC112</v>
      </c>
      <c r="F7" t="str">
        <v>Network Analysis and Synthesis</v>
      </c>
      <c r="G7" t="str">
        <v>Theory</v>
      </c>
      <c r="H7" t="str">
        <v>B.E</v>
      </c>
      <c r="I7" t="str">
        <v>ECE</v>
      </c>
      <c r="J7">
        <v>2020</v>
      </c>
      <c r="K7">
        <v>3</v>
      </c>
      <c r="L7" t="str">
        <v>ST1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>
        <v>1</v>
      </c>
      <c r="S7">
        <v>1</v>
      </c>
      <c r="T7">
        <v>2</v>
      </c>
      <c r="U7">
        <v>2</v>
      </c>
      <c r="V7">
        <v>1</v>
      </c>
      <c r="W7" t="str">
        <v>U</v>
      </c>
      <c r="X7">
        <v>4</v>
      </c>
      <c r="Y7">
        <v>4</v>
      </c>
      <c r="Z7">
        <v>3</v>
      </c>
      <c r="AA7">
        <v>4</v>
      </c>
      <c r="AB7" t="str">
        <v>U</v>
      </c>
      <c r="AC7" t="str">
        <v>U</v>
      </c>
      <c r="AD7">
        <v>7</v>
      </c>
      <c r="AE7" t="str">
        <v>U</v>
      </c>
      <c r="AF7" t="str">
        <v>U</v>
      </c>
      <c r="AG7">
        <v>9</v>
      </c>
      <c r="AH7" t="str">
        <v>U</v>
      </c>
      <c r="AI7" t="str">
        <v>U</v>
      </c>
      <c r="AJ7">
        <v>38</v>
      </c>
      <c r="AK7">
        <v>50</v>
      </c>
    </row>
    <row r="8" spans="1:37" x14ac:dyDescent="0.3">
      <c r="A8">
        <v>7</v>
      </c>
      <c r="B8">
        <v>2010992009</v>
      </c>
      <c r="C8" t="str">
        <v>RIYA</v>
      </c>
      <c r="D8">
        <v>0</v>
      </c>
      <c r="E8" t="str">
        <v>EC112</v>
      </c>
      <c r="F8" t="str">
        <v>Network Analysis and Synthesis</v>
      </c>
      <c r="G8" t="str">
        <v>Theory</v>
      </c>
      <c r="H8" t="str">
        <v>B.E</v>
      </c>
      <c r="I8" t="str">
        <v>ECE</v>
      </c>
      <c r="J8">
        <v>2020</v>
      </c>
      <c r="K8">
        <v>3</v>
      </c>
      <c r="L8" t="str">
        <v>ST1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>
        <v>2</v>
      </c>
      <c r="S8">
        <v>1</v>
      </c>
      <c r="T8">
        <v>2</v>
      </c>
      <c r="U8">
        <v>1</v>
      </c>
      <c r="V8">
        <v>1</v>
      </c>
      <c r="W8" t="str">
        <v>U</v>
      </c>
      <c r="X8">
        <v>3</v>
      </c>
      <c r="Y8">
        <v>4</v>
      </c>
      <c r="Z8">
        <v>3</v>
      </c>
      <c r="AA8">
        <v>3</v>
      </c>
      <c r="AB8" t="str">
        <v>U</v>
      </c>
      <c r="AC8" t="str">
        <v>U</v>
      </c>
      <c r="AD8">
        <v>8</v>
      </c>
      <c r="AE8" t="str">
        <v>U</v>
      </c>
      <c r="AF8" t="str">
        <v>U</v>
      </c>
      <c r="AG8">
        <v>9</v>
      </c>
      <c r="AH8" t="str">
        <v>U</v>
      </c>
      <c r="AI8" t="str">
        <v>U</v>
      </c>
      <c r="AJ8">
        <v>37</v>
      </c>
      <c r="AK8">
        <v>50</v>
      </c>
    </row>
    <row r="9" spans="1:37" x14ac:dyDescent="0.3">
      <c r="A9">
        <v>8</v>
      </c>
      <c r="B9">
        <v>2010992010</v>
      </c>
      <c r="C9" t="str">
        <v>RISHABH TANDON</v>
      </c>
      <c r="D9">
        <v>0</v>
      </c>
      <c r="E9" t="str">
        <v>EC112</v>
      </c>
      <c r="F9" t="str">
        <v>Network Analysis and Synthesis</v>
      </c>
      <c r="G9" t="str">
        <v>Theory</v>
      </c>
      <c r="H9" t="str">
        <v>B.E</v>
      </c>
      <c r="I9" t="str">
        <v>ECE</v>
      </c>
      <c r="J9">
        <v>2020</v>
      </c>
      <c r="K9">
        <v>3</v>
      </c>
      <c r="L9" t="str">
        <v>ST1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>
        <v>1</v>
      </c>
      <c r="S9">
        <v>1</v>
      </c>
      <c r="T9">
        <v>2</v>
      </c>
      <c r="U9">
        <v>1</v>
      </c>
      <c r="V9">
        <v>1</v>
      </c>
      <c r="W9" t="str">
        <v>U</v>
      </c>
      <c r="X9">
        <v>4</v>
      </c>
      <c r="Y9">
        <v>4</v>
      </c>
      <c r="Z9">
        <v>3</v>
      </c>
      <c r="AA9">
        <v>4</v>
      </c>
      <c r="AB9" t="str">
        <v>U</v>
      </c>
      <c r="AC9" t="str">
        <v>U</v>
      </c>
      <c r="AD9">
        <v>8</v>
      </c>
      <c r="AE9" t="str">
        <v>U</v>
      </c>
      <c r="AF9" t="str">
        <v>U</v>
      </c>
      <c r="AG9">
        <v>9</v>
      </c>
      <c r="AH9" t="str">
        <v>U</v>
      </c>
      <c r="AI9" t="str">
        <v>U</v>
      </c>
      <c r="AJ9">
        <v>38</v>
      </c>
      <c r="AK9">
        <v>50</v>
      </c>
    </row>
    <row r="10" spans="1:37" x14ac:dyDescent="0.3">
      <c r="A10">
        <v>9</v>
      </c>
      <c r="B10">
        <v>2010992011</v>
      </c>
      <c r="C10" t="str">
        <v>HEERENDRA SINGH CHAUHAN</v>
      </c>
      <c r="D10">
        <v>0</v>
      </c>
      <c r="E10" t="str">
        <v>EC112</v>
      </c>
      <c r="F10" t="str">
        <v>Network Analysis and Synthesis</v>
      </c>
      <c r="G10" t="str">
        <v>Theory</v>
      </c>
      <c r="H10" t="str">
        <v>B.E</v>
      </c>
      <c r="I10" t="str">
        <v>ECE</v>
      </c>
      <c r="J10">
        <v>2020</v>
      </c>
      <c r="K10">
        <v>3</v>
      </c>
      <c r="L10" t="str">
        <v>ST1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>
        <v>1</v>
      </c>
      <c r="S10">
        <v>1</v>
      </c>
      <c r="T10">
        <v>2</v>
      </c>
      <c r="U10">
        <v>1</v>
      </c>
      <c r="V10">
        <v>1</v>
      </c>
      <c r="W10" t="str">
        <v>U</v>
      </c>
      <c r="X10">
        <v>4</v>
      </c>
      <c r="Y10">
        <v>3</v>
      </c>
      <c r="Z10">
        <v>3</v>
      </c>
      <c r="AA10">
        <v>4</v>
      </c>
      <c r="AB10" t="str">
        <v>U</v>
      </c>
      <c r="AC10" t="str">
        <v>U</v>
      </c>
      <c r="AD10">
        <v>8</v>
      </c>
      <c r="AE10" t="str">
        <v>U</v>
      </c>
      <c r="AF10" t="str">
        <v>U</v>
      </c>
      <c r="AG10">
        <v>10</v>
      </c>
      <c r="AH10" t="str">
        <v>U</v>
      </c>
      <c r="AI10" t="str">
        <v>U</v>
      </c>
      <c r="AJ10">
        <v>38</v>
      </c>
      <c r="AK10">
        <v>50</v>
      </c>
    </row>
    <row r="11" spans="1:37" x14ac:dyDescent="0.3">
      <c r="A11">
        <v>10</v>
      </c>
      <c r="B11">
        <v>2010992012</v>
      </c>
      <c r="C11" t="str">
        <v>AKSHAT</v>
      </c>
      <c r="D11">
        <v>0</v>
      </c>
      <c r="E11" t="str">
        <v>EC112</v>
      </c>
      <c r="F11" t="str">
        <v>Network Analysis and Synthesis</v>
      </c>
      <c r="G11" t="str">
        <v>Theory</v>
      </c>
      <c r="H11" t="str">
        <v>B.E</v>
      </c>
      <c r="I11" t="str">
        <v>ECE</v>
      </c>
      <c r="J11">
        <v>2020</v>
      </c>
      <c r="K11">
        <v>3</v>
      </c>
      <c r="L11" t="str">
        <v>ST1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>
        <v>1</v>
      </c>
      <c r="S11">
        <v>1</v>
      </c>
      <c r="T11">
        <v>2</v>
      </c>
      <c r="U11">
        <v>1</v>
      </c>
      <c r="V11">
        <v>1</v>
      </c>
      <c r="W11" t="str">
        <v>U</v>
      </c>
      <c r="X11">
        <v>4</v>
      </c>
      <c r="Y11">
        <v>3</v>
      </c>
      <c r="Z11">
        <v>3</v>
      </c>
      <c r="AA11">
        <v>4</v>
      </c>
      <c r="AB11" t="str">
        <v>U</v>
      </c>
      <c r="AC11" t="str">
        <v>U</v>
      </c>
      <c r="AD11">
        <v>6</v>
      </c>
      <c r="AE11" t="str">
        <v>U</v>
      </c>
      <c r="AF11" t="str">
        <v>U</v>
      </c>
      <c r="AG11">
        <v>10</v>
      </c>
      <c r="AH11" t="str">
        <v>U</v>
      </c>
      <c r="AI11" t="str">
        <v>U</v>
      </c>
      <c r="AJ11">
        <v>36</v>
      </c>
      <c r="AK11">
        <v>50</v>
      </c>
    </row>
    <row r="12" spans="1:37" x14ac:dyDescent="0.3">
      <c r="A12">
        <v>11</v>
      </c>
      <c r="B12">
        <v>2010992014</v>
      </c>
      <c r="C12" t="str">
        <v>HARSHIT CHAHAL</v>
      </c>
      <c r="D12">
        <v>0</v>
      </c>
      <c r="E12" t="str">
        <v>EC112</v>
      </c>
      <c r="F12" t="str">
        <v>Network Analysis and Synthesis</v>
      </c>
      <c r="G12" t="str">
        <v>Theory</v>
      </c>
      <c r="H12" t="str">
        <v>B.E</v>
      </c>
      <c r="I12" t="str">
        <v>ECE</v>
      </c>
      <c r="J12">
        <v>2020</v>
      </c>
      <c r="K12">
        <v>3</v>
      </c>
      <c r="L12" t="str">
        <v>ST1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>
        <v>1</v>
      </c>
      <c r="S12">
        <v>1</v>
      </c>
      <c r="T12">
        <v>2</v>
      </c>
      <c r="U12">
        <v>1</v>
      </c>
      <c r="V12">
        <v>1</v>
      </c>
      <c r="W12" t="str">
        <v>U</v>
      </c>
      <c r="X12">
        <v>4</v>
      </c>
      <c r="Y12">
        <v>4</v>
      </c>
      <c r="Z12">
        <v>3</v>
      </c>
      <c r="AA12">
        <v>4</v>
      </c>
      <c r="AB12" t="str">
        <v>U</v>
      </c>
      <c r="AC12" t="str">
        <v>U</v>
      </c>
      <c r="AD12">
        <v>8</v>
      </c>
      <c r="AE12" t="str">
        <v>U</v>
      </c>
      <c r="AF12" t="str">
        <v>U</v>
      </c>
      <c r="AG12">
        <v>7</v>
      </c>
      <c r="AH12" t="str">
        <v>U</v>
      </c>
      <c r="AI12" t="str">
        <v>U</v>
      </c>
      <c r="AJ12">
        <v>36</v>
      </c>
      <c r="AK12">
        <v>50</v>
      </c>
    </row>
    <row r="13" spans="1:37" x14ac:dyDescent="0.3">
      <c r="A13">
        <v>12</v>
      </c>
      <c r="B13">
        <v>2010992015</v>
      </c>
      <c r="C13" t="str">
        <v>URVANSH NAHATA</v>
      </c>
      <c r="D13">
        <v>0</v>
      </c>
      <c r="E13" t="str">
        <v>EC112</v>
      </c>
      <c r="F13" t="str">
        <v>Network Analysis and Synthesis</v>
      </c>
      <c r="G13" t="str">
        <v>Theory</v>
      </c>
      <c r="H13" t="str">
        <v>B.E</v>
      </c>
      <c r="I13" t="str">
        <v>ECE</v>
      </c>
      <c r="J13">
        <v>2020</v>
      </c>
      <c r="K13">
        <v>3</v>
      </c>
      <c r="L13" t="str">
        <v>ST1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>
        <v>1</v>
      </c>
      <c r="S13">
        <v>1</v>
      </c>
      <c r="T13">
        <v>2</v>
      </c>
      <c r="U13">
        <v>1</v>
      </c>
      <c r="V13">
        <v>1</v>
      </c>
      <c r="W13" t="str">
        <v>U</v>
      </c>
      <c r="X13" t="str">
        <v>U</v>
      </c>
      <c r="Y13">
        <v>4</v>
      </c>
      <c r="Z13">
        <v>3</v>
      </c>
      <c r="AA13">
        <v>3</v>
      </c>
      <c r="AB13" t="str">
        <v>U</v>
      </c>
      <c r="AC13" t="str">
        <v>U</v>
      </c>
      <c r="AD13">
        <v>7</v>
      </c>
      <c r="AE13" t="str">
        <v>U</v>
      </c>
      <c r="AF13" t="str">
        <v>U</v>
      </c>
      <c r="AG13">
        <v>9</v>
      </c>
      <c r="AH13" t="str">
        <v>U</v>
      </c>
      <c r="AI13" t="str">
        <v>U</v>
      </c>
      <c r="AJ13">
        <v>32</v>
      </c>
      <c r="AK13">
        <v>50</v>
      </c>
    </row>
    <row r="14" spans="1:37" x14ac:dyDescent="0.3">
      <c r="A14">
        <v>13</v>
      </c>
      <c r="B14">
        <v>2010992016</v>
      </c>
      <c r="C14" t="str">
        <v>VARUN</v>
      </c>
      <c r="D14">
        <v>0</v>
      </c>
      <c r="E14" t="str">
        <v>EC112</v>
      </c>
      <c r="F14" t="str">
        <v>Network Analysis and Synthesis</v>
      </c>
      <c r="G14" t="str">
        <v>Theory</v>
      </c>
      <c r="H14" t="str">
        <v>B.E</v>
      </c>
      <c r="I14" t="str">
        <v>ECE</v>
      </c>
      <c r="J14">
        <v>2020</v>
      </c>
      <c r="K14">
        <v>3</v>
      </c>
      <c r="L14" t="str">
        <v>ST1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>
        <v>1</v>
      </c>
      <c r="S14">
        <v>1</v>
      </c>
      <c r="T14">
        <v>1</v>
      </c>
      <c r="U14">
        <v>1</v>
      </c>
      <c r="V14">
        <v>1</v>
      </c>
      <c r="W14" t="str">
        <v>U</v>
      </c>
      <c r="X14">
        <v>4</v>
      </c>
      <c r="Y14">
        <v>2</v>
      </c>
      <c r="Z14">
        <v>3</v>
      </c>
      <c r="AA14">
        <v>2</v>
      </c>
      <c r="AB14" t="str">
        <v>U</v>
      </c>
      <c r="AC14" t="str">
        <v>U</v>
      </c>
      <c r="AD14">
        <v>5</v>
      </c>
      <c r="AE14" t="str">
        <v>U</v>
      </c>
      <c r="AF14" t="str">
        <v>U</v>
      </c>
      <c r="AG14">
        <v>9</v>
      </c>
      <c r="AH14" t="str">
        <v>U</v>
      </c>
      <c r="AI14" t="str">
        <v>U</v>
      </c>
      <c r="AJ14">
        <v>30</v>
      </c>
      <c r="AK14">
        <v>50</v>
      </c>
    </row>
    <row r="15" spans="1:37" x14ac:dyDescent="0.3">
      <c r="A15">
        <v>14</v>
      </c>
      <c r="B15">
        <v>2010992017</v>
      </c>
      <c r="C15" t="str">
        <v>MRIDUL AGGARWAL</v>
      </c>
      <c r="D15">
        <v>0</v>
      </c>
      <c r="E15" t="str">
        <v>EC112</v>
      </c>
      <c r="F15" t="str">
        <v>Network Analysis and Synthesis</v>
      </c>
      <c r="G15" t="str">
        <v>Theory</v>
      </c>
      <c r="H15" t="str">
        <v>B.E</v>
      </c>
      <c r="I15" t="str">
        <v>ECE</v>
      </c>
      <c r="J15">
        <v>2020</v>
      </c>
      <c r="K15">
        <v>3</v>
      </c>
      <c r="L15" t="str">
        <v>ST1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>
        <v>1</v>
      </c>
      <c r="S15">
        <v>2</v>
      </c>
      <c r="T15">
        <v>2</v>
      </c>
      <c r="U15">
        <v>2</v>
      </c>
      <c r="V15">
        <v>1</v>
      </c>
      <c r="W15" t="str">
        <v>U</v>
      </c>
      <c r="X15">
        <v>4</v>
      </c>
      <c r="Y15">
        <v>4</v>
      </c>
      <c r="Z15">
        <v>3</v>
      </c>
      <c r="AA15">
        <v>4</v>
      </c>
      <c r="AB15" t="str">
        <v>U</v>
      </c>
      <c r="AC15" t="str">
        <v>U</v>
      </c>
      <c r="AD15">
        <v>8</v>
      </c>
      <c r="AE15" t="str">
        <v>U</v>
      </c>
      <c r="AF15" t="str">
        <v>U</v>
      </c>
      <c r="AG15">
        <v>7</v>
      </c>
      <c r="AH15" t="str">
        <v>U</v>
      </c>
      <c r="AI15" t="str">
        <v>U</v>
      </c>
      <c r="AJ15">
        <v>38</v>
      </c>
      <c r="AK15">
        <v>50</v>
      </c>
    </row>
    <row r="16" spans="1:37" x14ac:dyDescent="0.3">
      <c r="A16">
        <v>15</v>
      </c>
      <c r="B16">
        <v>2010992018</v>
      </c>
      <c r="C16" t="str">
        <v>SHAKSHI SINGH</v>
      </c>
      <c r="D16">
        <v>0</v>
      </c>
      <c r="E16" t="str">
        <v>EC112</v>
      </c>
      <c r="F16" t="str">
        <v>Network Analysis and Synthesis</v>
      </c>
      <c r="G16" t="str">
        <v>Theory</v>
      </c>
      <c r="H16" t="str">
        <v>B.E</v>
      </c>
      <c r="I16" t="str">
        <v>ECE</v>
      </c>
      <c r="J16">
        <v>2020</v>
      </c>
      <c r="K16">
        <v>3</v>
      </c>
      <c r="L16" t="str">
        <v>ST1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>
        <v>1</v>
      </c>
      <c r="S16">
        <v>1</v>
      </c>
      <c r="T16">
        <v>1</v>
      </c>
      <c r="U16">
        <v>1</v>
      </c>
      <c r="V16">
        <v>1</v>
      </c>
      <c r="W16" t="str">
        <v>U</v>
      </c>
      <c r="X16">
        <v>2</v>
      </c>
      <c r="Y16">
        <v>4</v>
      </c>
      <c r="Z16">
        <v>4</v>
      </c>
      <c r="AA16">
        <v>3</v>
      </c>
      <c r="AB16" t="str">
        <v>U</v>
      </c>
      <c r="AC16" t="str">
        <v>U</v>
      </c>
      <c r="AD16">
        <v>8</v>
      </c>
      <c r="AE16" t="str">
        <v>U</v>
      </c>
      <c r="AF16" t="str">
        <v>U</v>
      </c>
      <c r="AG16">
        <v>7</v>
      </c>
      <c r="AH16" t="str">
        <v>U</v>
      </c>
      <c r="AI16" t="str">
        <v>U</v>
      </c>
      <c r="AJ16">
        <v>33</v>
      </c>
      <c r="AK16">
        <v>50</v>
      </c>
    </row>
    <row r="17" spans="1:37" x14ac:dyDescent="0.3">
      <c r="A17">
        <v>16</v>
      </c>
      <c r="B17">
        <v>2010992019</v>
      </c>
      <c r="C17" t="str">
        <v>KHAN MUBASHIR RASOOL</v>
      </c>
      <c r="D17">
        <v>0</v>
      </c>
      <c r="E17" t="str">
        <v>EC112</v>
      </c>
      <c r="F17" t="str">
        <v>Network Analysis and Synthesis</v>
      </c>
      <c r="G17" t="str">
        <v>Theory</v>
      </c>
      <c r="H17" t="str">
        <v>B.E</v>
      </c>
      <c r="I17" t="str">
        <v>ECE</v>
      </c>
      <c r="J17">
        <v>2020</v>
      </c>
      <c r="K17">
        <v>3</v>
      </c>
      <c r="L17" t="str">
        <v>ST1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>
        <v>1</v>
      </c>
      <c r="S17">
        <v>1</v>
      </c>
      <c r="T17">
        <v>2</v>
      </c>
      <c r="U17">
        <v>1</v>
      </c>
      <c r="V17">
        <v>1</v>
      </c>
      <c r="W17" t="str">
        <v>U</v>
      </c>
      <c r="X17">
        <v>2</v>
      </c>
      <c r="Y17">
        <v>3</v>
      </c>
      <c r="Z17">
        <v>2</v>
      </c>
      <c r="AA17">
        <v>4</v>
      </c>
      <c r="AB17" t="str">
        <v>U</v>
      </c>
      <c r="AC17" t="str">
        <v>U</v>
      </c>
      <c r="AD17">
        <v>5</v>
      </c>
      <c r="AE17" t="str">
        <v>U</v>
      </c>
      <c r="AF17" t="str">
        <v>U</v>
      </c>
      <c r="AG17">
        <v>9</v>
      </c>
      <c r="AH17" t="str">
        <v>U</v>
      </c>
      <c r="AI17" t="str">
        <v>U</v>
      </c>
      <c r="AJ17">
        <v>31</v>
      </c>
      <c r="AK17">
        <v>50</v>
      </c>
    </row>
    <row r="18" spans="1:37" x14ac:dyDescent="0.3">
      <c r="A18">
        <v>17</v>
      </c>
      <c r="B18">
        <v>2010992163</v>
      </c>
      <c r="C18" t="str">
        <v>TAMANA SIAG</v>
      </c>
      <c r="D18">
        <v>0</v>
      </c>
      <c r="E18" t="str">
        <v>EC112</v>
      </c>
      <c r="F18" t="str">
        <v>Network Analysis and Synthesis</v>
      </c>
      <c r="G18" t="str">
        <v>Theory</v>
      </c>
      <c r="H18" t="str">
        <v>B.E</v>
      </c>
      <c r="I18" t="str">
        <v>ECE</v>
      </c>
      <c r="J18">
        <v>2020</v>
      </c>
      <c r="K18">
        <v>3</v>
      </c>
      <c r="L18" t="str">
        <v>ST1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>
        <v>1</v>
      </c>
      <c r="S18">
        <v>1</v>
      </c>
      <c r="T18">
        <v>2</v>
      </c>
      <c r="U18">
        <v>2</v>
      </c>
      <c r="V18">
        <v>1</v>
      </c>
      <c r="W18" t="str">
        <v>U</v>
      </c>
      <c r="X18">
        <v>4</v>
      </c>
      <c r="Y18">
        <v>4</v>
      </c>
      <c r="Z18">
        <v>3</v>
      </c>
      <c r="AA18">
        <v>4</v>
      </c>
      <c r="AB18" t="str">
        <v>U</v>
      </c>
      <c r="AC18" t="str">
        <v>U</v>
      </c>
      <c r="AD18">
        <v>9</v>
      </c>
      <c r="AE18" t="str">
        <v>U</v>
      </c>
      <c r="AF18" t="str">
        <v>U</v>
      </c>
      <c r="AG18">
        <v>10</v>
      </c>
      <c r="AH18" t="str">
        <v>U</v>
      </c>
      <c r="AI18" t="str">
        <v>U</v>
      </c>
      <c r="AJ18">
        <v>41</v>
      </c>
      <c r="AK18">
        <v>50</v>
      </c>
    </row>
    <row r="19" spans="1:37" x14ac:dyDescent="0.3">
      <c r="A19">
        <v>18</v>
      </c>
      <c r="B19">
        <v>2010992202</v>
      </c>
      <c r="C19" t="str">
        <v>EKAMJOT SINGH MAINGI</v>
      </c>
      <c r="D19">
        <v>0</v>
      </c>
      <c r="E19" t="str">
        <v>EC112</v>
      </c>
      <c r="F19" t="str">
        <v>Network Analysis and Synthesis</v>
      </c>
      <c r="G19" t="str">
        <v>Theory</v>
      </c>
      <c r="H19" t="str">
        <v>B.E</v>
      </c>
      <c r="I19" t="str">
        <v>ECE</v>
      </c>
      <c r="J19">
        <v>2020</v>
      </c>
      <c r="K19">
        <v>3</v>
      </c>
      <c r="L19" t="str">
        <v>ST1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>
        <v>1</v>
      </c>
      <c r="S19">
        <v>1</v>
      </c>
      <c r="T19">
        <v>2</v>
      </c>
      <c r="U19">
        <v>2</v>
      </c>
      <c r="V19">
        <v>1</v>
      </c>
      <c r="W19" t="str">
        <v>U</v>
      </c>
      <c r="X19">
        <v>4</v>
      </c>
      <c r="Y19">
        <v>4</v>
      </c>
      <c r="Z19">
        <v>3</v>
      </c>
      <c r="AA19">
        <v>4</v>
      </c>
      <c r="AB19" t="str">
        <v>U</v>
      </c>
      <c r="AC19" t="str">
        <v>U</v>
      </c>
      <c r="AD19">
        <v>8</v>
      </c>
      <c r="AE19" t="str">
        <v>U</v>
      </c>
      <c r="AF19" t="str">
        <v>U</v>
      </c>
      <c r="AG19">
        <v>7</v>
      </c>
      <c r="AH19" t="str">
        <v>U</v>
      </c>
      <c r="AI19" t="str">
        <v>U</v>
      </c>
      <c r="AJ19">
        <v>37</v>
      </c>
      <c r="AK19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EC72-7352-4E0C-89AA-0D7E8E896BD0}">
  <sheetPr codeName="Sheet3"/>
  <dimension ref="A1:U19"/>
  <sheetViews>
    <sheetView topLeftCell="E1" workbookViewId="0">
      <selection activeCell="U1" sqref="U1"/>
    </sheetView>
  </sheetViews>
  <sheetFormatPr defaultRowHeight="14.4" x14ac:dyDescent="0.3"/>
  <cols>
    <col min="1" max="1" width="11" bestFit="1" customWidth="1"/>
    <col min="17" max="17" width="10.33203125" bestFit="1" customWidth="1"/>
  </cols>
  <sheetData>
    <row r="1" spans="1:21" x14ac:dyDescent="0.3">
      <c r="A1" t="str" cm="1">
        <f t="array" ref="A1:A19">INDEX('ST1 Result'!B:B, 1):INDEX('ST1 Result'!B:B, COUNTA('ST1 Result'!B:B))</f>
        <v>Admission No. (Roll No.)</v>
      </c>
      <c r="B1" t="str" cm="1">
        <f t="array" ref="B1:B19">INDEX('ST1 Result'!M:M, 1):INDEX('ST1 Result'!M:M, COUNTA('ST1 Result'!M:M) )</f>
        <v>1a</v>
      </c>
      <c r="C1" t="str" cm="1">
        <f t="array" ref="C1:C19">INDEX('ST1 Result'!N:N, 1):INDEX('ST1 Result'!N:N, COUNTA('ST1 Result'!N:N) )</f>
        <v>1b</v>
      </c>
      <c r="D1" t="str" cm="1">
        <f t="array" ref="D1:D19">INDEX('ST1 Result'!O:O, 1):INDEX('ST1 Result'!O:O, COUNTA('ST1 Result'!O:O) )</f>
        <v>1c</v>
      </c>
      <c r="E1" t="str" cm="1">
        <f t="array" ref="E1:E19">INDEX('ST1 Result'!P:P, 1):INDEX('ST1 Result'!P:P, COUNTA('ST1 Result'!P:P) )</f>
        <v>1d</v>
      </c>
      <c r="F1" t="str" cm="1">
        <f t="array" ref="F1:F19">INDEX('ST1 Result'!Q:Q, 1):INDEX('ST1 Result'!Q:Q, COUNTA('ST1 Result'!Q:Q) )</f>
        <v>1e</v>
      </c>
      <c r="G1" t="str" cm="1">
        <f t="array" ref="G1:G19">INDEX('ST1 Result'!R:R, 1):INDEX('ST1 Result'!R:R, COUNTA('ST1 Result'!R:R) )</f>
        <v>Q2</v>
      </c>
      <c r="H1" t="str" cm="1">
        <f t="array" ref="H1:H19">INDEX('ST1 Result'!S:S, 1):INDEX('ST1 Result'!S:S, COUNTA('ST1 Result'!S:S) )</f>
        <v>Q3</v>
      </c>
      <c r="I1" t="str" cm="1">
        <f t="array" ref="I1:I19">INDEX('ST1 Result'!T:T, 1):INDEX('ST1 Result'!T:T, COUNTA('ST1 Result'!T:T) )</f>
        <v>Q4</v>
      </c>
      <c r="J1" t="str" cm="1">
        <f t="array" ref="J1:J19">INDEX('ST1 Result'!U:U, 1):INDEX('ST1 Result'!U:U, COUNTA('ST1 Result'!U:U) )</f>
        <v>Q5</v>
      </c>
      <c r="K1" t="str" cm="1">
        <f t="array" ref="K1:K19">INDEX('ST1 Result'!V:V, 1):INDEX('ST1 Result'!V:V, COUNTA('ST1 Result'!V:V) )</f>
        <v>Q6</v>
      </c>
      <c r="L1" t="str" cm="1">
        <f t="array" ref="L1:L19">INDEX('ST1 Result'!W:W, 1):INDEX('ST1 Result'!W:W, COUNTA('ST1 Result'!W:W) )</f>
        <v>Q7</v>
      </c>
      <c r="M1" t="str" cm="1">
        <f t="array" ref="M1:M19">INDEX('ST1 Result'!X:X, 1):INDEX('ST1 Result'!X:X, COUNTA('ST1 Result'!X:X) )</f>
        <v>Q8</v>
      </c>
      <c r="N1" t="str" cm="1">
        <f t="array" ref="N1:N19">INDEX('ST1 Result'!Y:Y, 1):INDEX('ST1 Result'!Y:Y, COUNTA('ST1 Result'!Y:Y) )</f>
        <v>Q9</v>
      </c>
      <c r="O1" t="str" cm="1">
        <f t="array" ref="O1:O19">INDEX('ST1 Result'!Z:Z, 1):INDEX('ST1 Result'!Z:Z, COUNTA('ST1 Result'!Z:Z) )</f>
        <v>Q10</v>
      </c>
      <c r="P1" t="str" cm="1">
        <f t="array" ref="P1:P19">INDEX('ST1 Result'!AA:AA, 1):INDEX('ST1 Result'!AA:AA, COUNTA('ST1 Result'!AA:AA) )</f>
        <v>Q11</v>
      </c>
      <c r="Q1" t="str" cm="1">
        <f t="array" ref="Q1:Q19">INDEX('ST1 Result'!AB:AB, 1):INDEX('ST1 Result'!AB:AB, COUNTA('ST1 Result'!AB:AB) )</f>
        <v>Q12</v>
      </c>
      <c r="R1" t="str" cm="1">
        <f t="array" ref="R1:R19">INDEX('ST1 Result'!AC:AC, 1):INDEX('ST1 Result'!AC:AC, COUNTA('ST1 Result'!AC:AC) )</f>
        <v>Q13</v>
      </c>
      <c r="S1" t="str" cm="1">
        <f t="array" ref="S1:S19">INDEX('ST1 Result'!AD:AD, 1):INDEX('ST1 Result'!AD:AD, COUNTA('ST1 Result'!AD:AD) )</f>
        <v>Q14</v>
      </c>
      <c r="T1" t="str" cm="1">
        <f t="array" ref="T1:T19">INDEX('ST1 Result'!AE:AE, 1):INDEX('ST1 Result'!AE:AE, COUNTA('ST1 Result'!AE:AE) )</f>
        <v>Q15</v>
      </c>
      <c r="U1" t="str" cm="1">
        <f t="array" ref="U1:U19">INDEX('ST1 Result'!AF:AF, 1):INDEX('ST1 Result'!AF:AF, COUNTA('ST1 Result'!AF:AF) )</f>
        <v>Q16</v>
      </c>
    </row>
    <row r="2" spans="1:21" x14ac:dyDescent="0.3">
      <c r="A2">
        <v>2010990089</v>
      </c>
      <c r="B2" t="str">
        <v>U</v>
      </c>
      <c r="C2" t="str">
        <v>U</v>
      </c>
      <c r="D2" t="str">
        <v>U</v>
      </c>
      <c r="E2" t="str">
        <v>U</v>
      </c>
      <c r="F2" t="str">
        <v>U</v>
      </c>
      <c r="G2">
        <v>0</v>
      </c>
      <c r="H2">
        <v>0</v>
      </c>
      <c r="I2">
        <v>1</v>
      </c>
      <c r="J2" t="str">
        <v>U</v>
      </c>
      <c r="K2" t="str">
        <v>U</v>
      </c>
      <c r="L2" t="str">
        <v>U</v>
      </c>
      <c r="M2">
        <v>2</v>
      </c>
      <c r="N2">
        <v>2</v>
      </c>
      <c r="O2">
        <v>1</v>
      </c>
      <c r="P2">
        <v>4</v>
      </c>
      <c r="Q2" t="str">
        <v>U</v>
      </c>
      <c r="R2" t="str">
        <v>U</v>
      </c>
      <c r="S2">
        <v>4</v>
      </c>
      <c r="T2" t="str">
        <v>U</v>
      </c>
      <c r="U2" t="str">
        <v>U</v>
      </c>
    </row>
    <row r="3" spans="1:21" x14ac:dyDescent="0.3">
      <c r="A3">
        <v>2010992002</v>
      </c>
      <c r="B3" t="str">
        <v>U</v>
      </c>
      <c r="C3" t="str">
        <v>U</v>
      </c>
      <c r="D3" t="str">
        <v>U</v>
      </c>
      <c r="E3" t="str">
        <v>U</v>
      </c>
      <c r="F3" t="str">
        <v>U</v>
      </c>
      <c r="G3">
        <v>2</v>
      </c>
      <c r="H3">
        <v>2</v>
      </c>
      <c r="I3">
        <v>2</v>
      </c>
      <c r="J3" t="str">
        <v>U</v>
      </c>
      <c r="K3" t="str">
        <v>U</v>
      </c>
      <c r="L3" t="str">
        <v>U</v>
      </c>
      <c r="M3">
        <v>5</v>
      </c>
      <c r="N3">
        <v>5</v>
      </c>
      <c r="O3">
        <v>4</v>
      </c>
      <c r="P3">
        <v>4</v>
      </c>
      <c r="Q3" t="str">
        <v>U</v>
      </c>
      <c r="R3" t="str">
        <v>U</v>
      </c>
      <c r="S3">
        <v>10</v>
      </c>
      <c r="T3" t="str">
        <v>U</v>
      </c>
      <c r="U3" t="str">
        <v>U</v>
      </c>
    </row>
    <row r="4" spans="1:21" x14ac:dyDescent="0.3">
      <c r="A4">
        <v>2010992004</v>
      </c>
      <c r="B4" t="str">
        <v>U</v>
      </c>
      <c r="C4" t="str">
        <v>U</v>
      </c>
      <c r="D4" t="str">
        <v>U</v>
      </c>
      <c r="E4" t="str">
        <v>U</v>
      </c>
      <c r="F4" t="str">
        <v>U</v>
      </c>
      <c r="G4">
        <v>2</v>
      </c>
      <c r="H4">
        <v>2</v>
      </c>
      <c r="I4">
        <v>1</v>
      </c>
      <c r="J4">
        <v>2</v>
      </c>
      <c r="K4">
        <v>1</v>
      </c>
      <c r="L4" t="str">
        <v>U</v>
      </c>
      <c r="M4">
        <v>3</v>
      </c>
      <c r="N4">
        <v>3</v>
      </c>
      <c r="O4">
        <v>4</v>
      </c>
      <c r="P4">
        <v>3</v>
      </c>
      <c r="Q4" t="str">
        <v>U</v>
      </c>
      <c r="R4" t="str">
        <v>U</v>
      </c>
      <c r="S4">
        <v>7</v>
      </c>
      <c r="T4" t="str">
        <v>U</v>
      </c>
      <c r="U4" t="str">
        <v>U</v>
      </c>
    </row>
    <row r="5" spans="1:21" x14ac:dyDescent="0.3">
      <c r="A5">
        <v>2010992005</v>
      </c>
      <c r="B5" t="str">
        <v>U</v>
      </c>
      <c r="C5" t="str">
        <v>U</v>
      </c>
      <c r="D5" t="str">
        <v>U</v>
      </c>
      <c r="E5" t="str">
        <v>U</v>
      </c>
      <c r="F5" t="str">
        <v>U</v>
      </c>
      <c r="G5">
        <v>2</v>
      </c>
      <c r="H5">
        <v>1</v>
      </c>
      <c r="I5">
        <v>1</v>
      </c>
      <c r="J5" t="str">
        <v>U</v>
      </c>
      <c r="K5" t="str">
        <v>U</v>
      </c>
      <c r="L5" t="str">
        <v>U</v>
      </c>
      <c r="M5">
        <v>3</v>
      </c>
      <c r="N5">
        <v>3</v>
      </c>
      <c r="O5">
        <v>4</v>
      </c>
      <c r="P5">
        <v>3</v>
      </c>
      <c r="Q5" t="str">
        <v>U</v>
      </c>
      <c r="R5" t="str">
        <v>U</v>
      </c>
      <c r="S5">
        <v>8</v>
      </c>
      <c r="T5" t="str">
        <v>U</v>
      </c>
      <c r="U5" t="str">
        <v>U</v>
      </c>
    </row>
    <row r="6" spans="1:21" x14ac:dyDescent="0.3">
      <c r="A6">
        <v>2010992006</v>
      </c>
      <c r="B6" t="str">
        <v>U</v>
      </c>
      <c r="C6" t="str">
        <v>U</v>
      </c>
      <c r="D6" t="str">
        <v>U</v>
      </c>
      <c r="E6" t="str">
        <v>U</v>
      </c>
      <c r="F6" t="str">
        <v>U</v>
      </c>
      <c r="G6">
        <v>1</v>
      </c>
      <c r="H6">
        <v>2</v>
      </c>
      <c r="I6">
        <v>2</v>
      </c>
      <c r="J6">
        <v>2</v>
      </c>
      <c r="K6">
        <v>1</v>
      </c>
      <c r="L6" t="str">
        <v>U</v>
      </c>
      <c r="M6">
        <v>3</v>
      </c>
      <c r="N6">
        <v>4</v>
      </c>
      <c r="O6">
        <v>3</v>
      </c>
      <c r="P6">
        <v>3</v>
      </c>
      <c r="Q6" t="str">
        <v>U</v>
      </c>
      <c r="R6" t="str">
        <v>U</v>
      </c>
      <c r="S6">
        <v>7</v>
      </c>
      <c r="T6" t="str">
        <v>U</v>
      </c>
      <c r="U6" t="str">
        <v>U</v>
      </c>
    </row>
    <row r="7" spans="1:21" x14ac:dyDescent="0.3">
      <c r="A7">
        <v>2010992008</v>
      </c>
      <c r="B7" t="str">
        <v>U</v>
      </c>
      <c r="C7" t="str">
        <v>U</v>
      </c>
      <c r="D7" t="str">
        <v>U</v>
      </c>
      <c r="E7" t="str">
        <v>U</v>
      </c>
      <c r="F7" t="str">
        <v>U</v>
      </c>
      <c r="G7">
        <v>1</v>
      </c>
      <c r="H7">
        <v>1</v>
      </c>
      <c r="I7">
        <v>2</v>
      </c>
      <c r="J7">
        <v>2</v>
      </c>
      <c r="K7">
        <v>1</v>
      </c>
      <c r="L7" t="str">
        <v>U</v>
      </c>
      <c r="M7">
        <v>4</v>
      </c>
      <c r="N7">
        <v>4</v>
      </c>
      <c r="O7">
        <v>3</v>
      </c>
      <c r="P7">
        <v>4</v>
      </c>
      <c r="Q7" t="str">
        <v>U</v>
      </c>
      <c r="R7" t="str">
        <v>U</v>
      </c>
      <c r="S7">
        <v>7</v>
      </c>
      <c r="T7" t="str">
        <v>U</v>
      </c>
      <c r="U7" t="str">
        <v>U</v>
      </c>
    </row>
    <row r="8" spans="1:21" x14ac:dyDescent="0.3">
      <c r="A8">
        <v>2010992009</v>
      </c>
      <c r="B8" t="str">
        <v>U</v>
      </c>
      <c r="C8" t="str">
        <v>U</v>
      </c>
      <c r="D8" t="str">
        <v>U</v>
      </c>
      <c r="E8" t="str">
        <v>U</v>
      </c>
      <c r="F8" t="str">
        <v>U</v>
      </c>
      <c r="G8">
        <v>2</v>
      </c>
      <c r="H8">
        <v>1</v>
      </c>
      <c r="I8">
        <v>2</v>
      </c>
      <c r="J8">
        <v>1</v>
      </c>
      <c r="K8">
        <v>1</v>
      </c>
      <c r="L8" t="str">
        <v>U</v>
      </c>
      <c r="M8">
        <v>3</v>
      </c>
      <c r="N8">
        <v>4</v>
      </c>
      <c r="O8">
        <v>3</v>
      </c>
      <c r="P8">
        <v>3</v>
      </c>
      <c r="Q8" t="str">
        <v>U</v>
      </c>
      <c r="R8" t="str">
        <v>U</v>
      </c>
      <c r="S8">
        <v>8</v>
      </c>
      <c r="T8" t="str">
        <v>U</v>
      </c>
      <c r="U8" t="str">
        <v>U</v>
      </c>
    </row>
    <row r="9" spans="1:21" x14ac:dyDescent="0.3">
      <c r="A9">
        <v>2010992010</v>
      </c>
      <c r="B9" t="str">
        <v>U</v>
      </c>
      <c r="C9" t="str">
        <v>U</v>
      </c>
      <c r="D9" t="str">
        <v>U</v>
      </c>
      <c r="E9" t="str">
        <v>U</v>
      </c>
      <c r="F9" t="str">
        <v>U</v>
      </c>
      <c r="G9">
        <v>1</v>
      </c>
      <c r="H9">
        <v>1</v>
      </c>
      <c r="I9">
        <v>2</v>
      </c>
      <c r="J9">
        <v>1</v>
      </c>
      <c r="K9">
        <v>1</v>
      </c>
      <c r="L9" t="str">
        <v>U</v>
      </c>
      <c r="M9">
        <v>4</v>
      </c>
      <c r="N9">
        <v>4</v>
      </c>
      <c r="O9">
        <v>3</v>
      </c>
      <c r="P9">
        <v>4</v>
      </c>
      <c r="Q9" t="str">
        <v>U</v>
      </c>
      <c r="R9" t="str">
        <v>U</v>
      </c>
      <c r="S9">
        <v>8</v>
      </c>
      <c r="T9" t="str">
        <v>U</v>
      </c>
      <c r="U9" t="str">
        <v>U</v>
      </c>
    </row>
    <row r="10" spans="1:21" x14ac:dyDescent="0.3">
      <c r="A10">
        <v>2010992011</v>
      </c>
      <c r="B10" t="str">
        <v>U</v>
      </c>
      <c r="C10" t="str">
        <v>U</v>
      </c>
      <c r="D10" t="str">
        <v>U</v>
      </c>
      <c r="E10" t="str">
        <v>U</v>
      </c>
      <c r="F10" t="str">
        <v>U</v>
      </c>
      <c r="G10">
        <v>1</v>
      </c>
      <c r="H10">
        <v>1</v>
      </c>
      <c r="I10">
        <v>2</v>
      </c>
      <c r="J10">
        <v>1</v>
      </c>
      <c r="K10">
        <v>1</v>
      </c>
      <c r="L10" t="str">
        <v>U</v>
      </c>
      <c r="M10">
        <v>4</v>
      </c>
      <c r="N10">
        <v>3</v>
      </c>
      <c r="O10">
        <v>3</v>
      </c>
      <c r="P10">
        <v>4</v>
      </c>
      <c r="Q10" t="str">
        <v>U</v>
      </c>
      <c r="R10" t="str">
        <v>U</v>
      </c>
      <c r="S10">
        <v>8</v>
      </c>
      <c r="T10" t="str">
        <v>U</v>
      </c>
      <c r="U10" t="str">
        <v>U</v>
      </c>
    </row>
    <row r="11" spans="1:21" x14ac:dyDescent="0.3">
      <c r="A11">
        <v>2010992012</v>
      </c>
      <c r="B11" t="str">
        <v>U</v>
      </c>
      <c r="C11" t="str">
        <v>U</v>
      </c>
      <c r="D11" t="str">
        <v>U</v>
      </c>
      <c r="E11" t="str">
        <v>U</v>
      </c>
      <c r="F11" t="str">
        <v>U</v>
      </c>
      <c r="G11">
        <v>1</v>
      </c>
      <c r="H11">
        <v>1</v>
      </c>
      <c r="I11">
        <v>2</v>
      </c>
      <c r="J11">
        <v>1</v>
      </c>
      <c r="K11">
        <v>1</v>
      </c>
      <c r="L11" t="str">
        <v>U</v>
      </c>
      <c r="M11">
        <v>4</v>
      </c>
      <c r="N11">
        <v>3</v>
      </c>
      <c r="O11">
        <v>3</v>
      </c>
      <c r="P11">
        <v>4</v>
      </c>
      <c r="Q11" t="str">
        <v>U</v>
      </c>
      <c r="R11" t="str">
        <v>U</v>
      </c>
      <c r="S11">
        <v>6</v>
      </c>
      <c r="T11" t="str">
        <v>U</v>
      </c>
      <c r="U11" t="str">
        <v>U</v>
      </c>
    </row>
    <row r="12" spans="1:21" x14ac:dyDescent="0.3">
      <c r="A12">
        <v>2010992014</v>
      </c>
      <c r="B12" t="str">
        <v>U</v>
      </c>
      <c r="C12" t="str">
        <v>U</v>
      </c>
      <c r="D12" t="str">
        <v>U</v>
      </c>
      <c r="E12" t="str">
        <v>U</v>
      </c>
      <c r="F12" t="str">
        <v>U</v>
      </c>
      <c r="G12">
        <v>1</v>
      </c>
      <c r="H12">
        <v>1</v>
      </c>
      <c r="I12">
        <v>2</v>
      </c>
      <c r="J12">
        <v>1</v>
      </c>
      <c r="K12">
        <v>1</v>
      </c>
      <c r="L12" t="str">
        <v>U</v>
      </c>
      <c r="M12">
        <v>4</v>
      </c>
      <c r="N12">
        <v>4</v>
      </c>
      <c r="O12">
        <v>3</v>
      </c>
      <c r="P12">
        <v>4</v>
      </c>
      <c r="Q12" t="str">
        <v>U</v>
      </c>
      <c r="R12" t="str">
        <v>U</v>
      </c>
      <c r="S12">
        <v>8</v>
      </c>
      <c r="T12" t="str">
        <v>U</v>
      </c>
      <c r="U12" t="str">
        <v>U</v>
      </c>
    </row>
    <row r="13" spans="1:21" x14ac:dyDescent="0.3">
      <c r="A13">
        <v>2010992015</v>
      </c>
      <c r="B13" t="str">
        <v>U</v>
      </c>
      <c r="C13" t="str">
        <v>U</v>
      </c>
      <c r="D13" t="str">
        <v>U</v>
      </c>
      <c r="E13" t="str">
        <v>U</v>
      </c>
      <c r="F13" t="str">
        <v>U</v>
      </c>
      <c r="G13">
        <v>1</v>
      </c>
      <c r="H13">
        <v>1</v>
      </c>
      <c r="I13">
        <v>2</v>
      </c>
      <c r="J13">
        <v>1</v>
      </c>
      <c r="K13">
        <v>1</v>
      </c>
      <c r="L13" t="str">
        <v>U</v>
      </c>
      <c r="M13" t="str">
        <v>U</v>
      </c>
      <c r="N13">
        <v>4</v>
      </c>
      <c r="O13">
        <v>3</v>
      </c>
      <c r="P13">
        <v>3</v>
      </c>
      <c r="Q13" t="str">
        <v>U</v>
      </c>
      <c r="R13" t="str">
        <v>U</v>
      </c>
      <c r="S13">
        <v>7</v>
      </c>
      <c r="T13" t="str">
        <v>U</v>
      </c>
      <c r="U13" t="str">
        <v>U</v>
      </c>
    </row>
    <row r="14" spans="1:21" x14ac:dyDescent="0.3">
      <c r="A14">
        <v>2010992016</v>
      </c>
      <c r="B14" t="str">
        <v>U</v>
      </c>
      <c r="C14" t="str">
        <v>U</v>
      </c>
      <c r="D14" t="str">
        <v>U</v>
      </c>
      <c r="E14" t="str">
        <v>U</v>
      </c>
      <c r="F14" t="str">
        <v>U</v>
      </c>
      <c r="G14">
        <v>1</v>
      </c>
      <c r="H14">
        <v>1</v>
      </c>
      <c r="I14">
        <v>1</v>
      </c>
      <c r="J14">
        <v>1</v>
      </c>
      <c r="K14">
        <v>1</v>
      </c>
      <c r="L14" t="str">
        <v>U</v>
      </c>
      <c r="M14">
        <v>4</v>
      </c>
      <c r="N14">
        <v>2</v>
      </c>
      <c r="O14">
        <v>3</v>
      </c>
      <c r="P14">
        <v>2</v>
      </c>
      <c r="Q14" t="str">
        <v>U</v>
      </c>
      <c r="R14" t="str">
        <v>U</v>
      </c>
      <c r="S14">
        <v>5</v>
      </c>
      <c r="T14" t="str">
        <v>U</v>
      </c>
      <c r="U14" t="str">
        <v>U</v>
      </c>
    </row>
    <row r="15" spans="1:21" x14ac:dyDescent="0.3">
      <c r="A15">
        <v>2010992017</v>
      </c>
      <c r="B15" t="str">
        <v>U</v>
      </c>
      <c r="C15" t="str">
        <v>U</v>
      </c>
      <c r="D15" t="str">
        <v>U</v>
      </c>
      <c r="E15" t="str">
        <v>U</v>
      </c>
      <c r="F15" t="str">
        <v>U</v>
      </c>
      <c r="G15">
        <v>1</v>
      </c>
      <c r="H15">
        <v>2</v>
      </c>
      <c r="I15">
        <v>2</v>
      </c>
      <c r="J15">
        <v>2</v>
      </c>
      <c r="K15">
        <v>1</v>
      </c>
      <c r="L15" t="str">
        <v>U</v>
      </c>
      <c r="M15">
        <v>4</v>
      </c>
      <c r="N15">
        <v>4</v>
      </c>
      <c r="O15">
        <v>3</v>
      </c>
      <c r="P15">
        <v>4</v>
      </c>
      <c r="Q15" t="str">
        <v>U</v>
      </c>
      <c r="R15" t="str">
        <v>U</v>
      </c>
      <c r="S15">
        <v>8</v>
      </c>
      <c r="T15" t="str">
        <v>U</v>
      </c>
      <c r="U15" t="str">
        <v>U</v>
      </c>
    </row>
    <row r="16" spans="1:21" x14ac:dyDescent="0.3">
      <c r="A16">
        <v>2010992018</v>
      </c>
      <c r="B16" t="str">
        <v>U</v>
      </c>
      <c r="C16" t="str">
        <v>U</v>
      </c>
      <c r="D16" t="str">
        <v>U</v>
      </c>
      <c r="E16" t="str">
        <v>U</v>
      </c>
      <c r="F16" t="str">
        <v>U</v>
      </c>
      <c r="G16">
        <v>1</v>
      </c>
      <c r="H16">
        <v>1</v>
      </c>
      <c r="I16">
        <v>1</v>
      </c>
      <c r="J16">
        <v>1</v>
      </c>
      <c r="K16">
        <v>1</v>
      </c>
      <c r="L16" t="str">
        <v>U</v>
      </c>
      <c r="M16">
        <v>2</v>
      </c>
      <c r="N16">
        <v>4</v>
      </c>
      <c r="O16">
        <v>4</v>
      </c>
      <c r="P16">
        <v>3</v>
      </c>
      <c r="Q16" t="str">
        <v>U</v>
      </c>
      <c r="R16" t="str">
        <v>U</v>
      </c>
      <c r="S16">
        <v>8</v>
      </c>
      <c r="T16" t="str">
        <v>U</v>
      </c>
      <c r="U16" t="str">
        <v>U</v>
      </c>
    </row>
    <row r="17" spans="1:21" x14ac:dyDescent="0.3">
      <c r="A17">
        <v>2010992019</v>
      </c>
      <c r="B17" t="str">
        <v>U</v>
      </c>
      <c r="C17" t="str">
        <v>U</v>
      </c>
      <c r="D17" t="str">
        <v>U</v>
      </c>
      <c r="E17" t="str">
        <v>U</v>
      </c>
      <c r="F17" t="str">
        <v>U</v>
      </c>
      <c r="G17">
        <v>1</v>
      </c>
      <c r="H17">
        <v>1</v>
      </c>
      <c r="I17">
        <v>2</v>
      </c>
      <c r="J17">
        <v>1</v>
      </c>
      <c r="K17">
        <v>1</v>
      </c>
      <c r="L17" t="str">
        <v>U</v>
      </c>
      <c r="M17">
        <v>2</v>
      </c>
      <c r="N17">
        <v>3</v>
      </c>
      <c r="O17">
        <v>2</v>
      </c>
      <c r="P17">
        <v>4</v>
      </c>
      <c r="Q17" t="str">
        <v>U</v>
      </c>
      <c r="R17" t="str">
        <v>U</v>
      </c>
      <c r="S17">
        <v>5</v>
      </c>
      <c r="T17" t="str">
        <v>U</v>
      </c>
      <c r="U17" t="str">
        <v>U</v>
      </c>
    </row>
    <row r="18" spans="1:21" x14ac:dyDescent="0.3">
      <c r="A18">
        <v>2010992163</v>
      </c>
      <c r="B18" t="str">
        <v>U</v>
      </c>
      <c r="C18" t="str">
        <v>U</v>
      </c>
      <c r="D18" t="str">
        <v>U</v>
      </c>
      <c r="E18" t="str">
        <v>U</v>
      </c>
      <c r="F18" t="str">
        <v>U</v>
      </c>
      <c r="G18">
        <v>1</v>
      </c>
      <c r="H18">
        <v>1</v>
      </c>
      <c r="I18">
        <v>2</v>
      </c>
      <c r="J18">
        <v>2</v>
      </c>
      <c r="K18">
        <v>1</v>
      </c>
      <c r="L18" t="str">
        <v>U</v>
      </c>
      <c r="M18">
        <v>4</v>
      </c>
      <c r="N18">
        <v>4</v>
      </c>
      <c r="O18">
        <v>3</v>
      </c>
      <c r="P18">
        <v>4</v>
      </c>
      <c r="Q18" t="str">
        <v>U</v>
      </c>
      <c r="R18" t="str">
        <v>U</v>
      </c>
      <c r="S18">
        <v>9</v>
      </c>
      <c r="T18" t="str">
        <v>U</v>
      </c>
      <c r="U18" t="str">
        <v>U</v>
      </c>
    </row>
    <row r="19" spans="1:21" x14ac:dyDescent="0.3">
      <c r="A19">
        <v>2010992202</v>
      </c>
      <c r="B19" t="str">
        <v>U</v>
      </c>
      <c r="C19" t="str">
        <v>U</v>
      </c>
      <c r="D19" t="str">
        <v>U</v>
      </c>
      <c r="E19" t="str">
        <v>U</v>
      </c>
      <c r="F19" t="str">
        <v>U</v>
      </c>
      <c r="G19">
        <v>1</v>
      </c>
      <c r="H19">
        <v>1</v>
      </c>
      <c r="I19">
        <v>2</v>
      </c>
      <c r="J19">
        <v>2</v>
      </c>
      <c r="K19">
        <v>1</v>
      </c>
      <c r="L19" t="str">
        <v>U</v>
      </c>
      <c r="M19">
        <v>4</v>
      </c>
      <c r="N19">
        <v>4</v>
      </c>
      <c r="O19">
        <v>3</v>
      </c>
      <c r="P19">
        <v>4</v>
      </c>
      <c r="Q19" t="str">
        <v>U</v>
      </c>
      <c r="R19" t="str">
        <v>U</v>
      </c>
      <c r="S19">
        <v>8</v>
      </c>
      <c r="T19" t="str">
        <v>U</v>
      </c>
      <c r="U19" t="str">
        <v>U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34AE-B930-4F96-8AF1-A6C13793CC31}">
  <sheetPr codeName="Sheet4"/>
  <dimension ref="A1:U19"/>
  <sheetViews>
    <sheetView zoomScale="85" zoomScaleNormal="85" workbookViewId="0">
      <selection activeCell="T2" sqref="T2"/>
    </sheetView>
  </sheetViews>
  <sheetFormatPr defaultRowHeight="14.4" x14ac:dyDescent="0.3"/>
  <cols>
    <col min="1" max="1" width="21" bestFit="1" customWidth="1"/>
    <col min="2" max="2" width="11.6640625" bestFit="1" customWidth="1"/>
  </cols>
  <sheetData>
    <row r="1" spans="1:21" x14ac:dyDescent="0.3">
      <c r="A1" t="str" cm="1">
        <f t="array" ref="A1:A19">INDEX('ST1 Result'!B:B, 1):INDEX('ST1 Result'!B:B, COUNTA('ST1 Result'!B:B))</f>
        <v>Admission No. (Roll No.)</v>
      </c>
      <c r="B1" t="str" cm="1">
        <f t="array" ref="B1:U1">TRANSPOSE('ST1 Questions'!A2:A21)</f>
        <v>1a</v>
      </c>
      <c r="C1" t="str">
        <v>1b</v>
      </c>
      <c r="D1" t="str">
        <v>1c</v>
      </c>
      <c r="E1" t="str">
        <v>1d</v>
      </c>
      <c r="F1" t="str">
        <v>1e</v>
      </c>
      <c r="G1" t="str">
        <v>Q2</v>
      </c>
      <c r="H1" t="str">
        <v>Q3</v>
      </c>
      <c r="I1" t="str">
        <v>Q4</v>
      </c>
      <c r="J1" t="str">
        <v>Q5</v>
      </c>
      <c r="K1" t="str">
        <v>Q6</v>
      </c>
      <c r="L1" t="str">
        <v>Q7</v>
      </c>
      <c r="M1" t="str">
        <v>Q8</v>
      </c>
      <c r="N1" t="str">
        <v>Q9</v>
      </c>
      <c r="O1" t="str">
        <v>Q10</v>
      </c>
      <c r="P1" t="str">
        <v>Q11</v>
      </c>
      <c r="Q1" t="str">
        <v>Q12</v>
      </c>
      <c r="R1" t="str">
        <v>Q13</v>
      </c>
      <c r="S1" t="str">
        <v>Q14</v>
      </c>
      <c r="T1" t="str">
        <v>Q15</v>
      </c>
      <c r="U1" t="str">
        <v>Q16</v>
      </c>
    </row>
    <row r="2" spans="1:21" x14ac:dyDescent="0.3">
      <c r="A2">
        <v>2010990089</v>
      </c>
      <c r="B2" t="str" cm="1">
        <f t="array" ref="B2:B19">IF(_xlfn.XLOOKUP($A2:INDEX($A:$A,COUNTA($A:$A)),'ST1 Student Marks'!$A$1:INDEX('ST1 Student Marks'!$A:$A,COUNTA('ST1 Student Marks'!$A:$A)),'ST1 Student Marks'!B$1:INDEX('ST1 Student Marks'!B:B,COUNTA('ST1 Student Marks'!B:B)))="U","Unattempted",'ST1 Student Marks'!B1)</f>
        <v>Unattempted</v>
      </c>
      <c r="C2" t="str" cm="1">
        <f t="array" ref="C2:C19">IF(_xlfn.XLOOKUP($A2:INDEX($A:$A,COUNTA($A:$A)),'ST1 Student Marks'!$A$1:INDEX('ST1 Student Marks'!$A:$A,COUNTA('ST1 Student Marks'!$A:$A)),'ST1 Student Marks'!C$1:INDEX('ST1 Student Marks'!C:C,COUNTA('ST1 Student Marks'!C:C)))="U","Unattempted",'ST1 Student Marks'!C1)</f>
        <v>Unattempted</v>
      </c>
      <c r="D2" t="str" cm="1">
        <f t="array" ref="D2:D19">IF(_xlfn.XLOOKUP($A2:INDEX($A:$A,COUNTA($A:$A)),'ST1 Student Marks'!$A$1:INDEX('ST1 Student Marks'!$A:$A,COUNTA('ST1 Student Marks'!$A:$A)),'ST1 Student Marks'!D$1:INDEX('ST1 Student Marks'!D:D,COUNTA('ST1 Student Marks'!D:D)))="U","Unattempted",'ST1 Student Marks'!D1)</f>
        <v>Unattempted</v>
      </c>
      <c r="E2" t="str" cm="1">
        <f t="array" ref="E2:E19">IF(_xlfn.XLOOKUP($A2:INDEX($A:$A,COUNTA($A:$A)),'ST1 Student Marks'!$A$1:INDEX('ST1 Student Marks'!$A:$A,COUNTA('ST1 Student Marks'!$A:$A)),'ST1 Student Marks'!E$1:INDEX('ST1 Student Marks'!E:E,COUNTA('ST1 Student Marks'!E:E)))="U","Unattempted",'ST1 Student Marks'!E1)</f>
        <v>Unattempted</v>
      </c>
      <c r="F2" t="str" cm="1">
        <f t="array" ref="F2:F19">IF(_xlfn.XLOOKUP($A2:INDEX($A:$A,COUNTA($A:$A)),'ST1 Student Marks'!$A$1:INDEX('ST1 Student Marks'!$A:$A,COUNTA('ST1 Student Marks'!$A:$A)),'ST1 Student Marks'!F$1:INDEX('ST1 Student Marks'!F:F,COUNTA('ST1 Student Marks'!F:F)))="U","Unattempted",'ST1 Student Marks'!F1)</f>
        <v>Unattempted</v>
      </c>
      <c r="G2" t="str" cm="1">
        <f t="array" ref="G2:G19">IF(_xlfn.XLOOKUP($A2:INDEX($A:$A,COUNTA($A:$A)),'ST1 Student Marks'!$A$1:INDEX('ST1 Student Marks'!$A:$A,COUNTA('ST1 Student Marks'!$A:$A)),'ST1 Student Marks'!G$1:INDEX('ST1 Student Marks'!G:G,COUNTA('ST1 Student Marks'!G:G)))="U","Unattempted",'ST1 Student Marks'!G1)</f>
        <v>Q2</v>
      </c>
      <c r="H2" t="str" cm="1">
        <f t="array" ref="H2:H19">IF(_xlfn.XLOOKUP($A2:INDEX($A:$A,COUNTA($A:$A)),'ST1 Student Marks'!$A$1:INDEX('ST1 Student Marks'!$A:$A,COUNTA('ST1 Student Marks'!$A:$A)),'ST1 Student Marks'!H$1:INDEX('ST1 Student Marks'!H:H,COUNTA('ST1 Student Marks'!H:H)))="U","Unattempted",'ST1 Student Marks'!H1)</f>
        <v>Q3</v>
      </c>
      <c r="I2" t="str" cm="1">
        <f t="array" ref="I2:I19">IF(_xlfn.XLOOKUP($A2:INDEX($A:$A,COUNTA($A:$A)),'ST1 Student Marks'!$A$1:INDEX('ST1 Student Marks'!$A:$A,COUNTA('ST1 Student Marks'!$A:$A)),'ST1 Student Marks'!I$1:INDEX('ST1 Student Marks'!I:I,COUNTA('ST1 Student Marks'!I:I)))="U","Unattempted",'ST1 Student Marks'!I1)</f>
        <v>Q4</v>
      </c>
      <c r="J2" t="str" cm="1">
        <f t="array" ref="J2:J19">IF(_xlfn.XLOOKUP($A2:INDEX($A:$A,COUNTA($A:$A)),'ST1 Student Marks'!$A$1:INDEX('ST1 Student Marks'!$A:$A,COUNTA('ST1 Student Marks'!$A:$A)),'ST1 Student Marks'!J$1:INDEX('ST1 Student Marks'!J:J,COUNTA('ST1 Student Marks'!J:J)))="U","Unattempted",'ST1 Student Marks'!J1)</f>
        <v>Unattempted</v>
      </c>
      <c r="K2" t="str" cm="1">
        <f t="array" ref="K2:K19">IF(_xlfn.XLOOKUP($A2:INDEX($A:$A,COUNTA($A:$A)),'ST1 Student Marks'!$A$1:INDEX('ST1 Student Marks'!$A:$A,COUNTA('ST1 Student Marks'!$A:$A)),'ST1 Student Marks'!K$1:INDEX('ST1 Student Marks'!K:K,COUNTA('ST1 Student Marks'!K:K)))="U","Unattempted",'ST1 Student Marks'!K1)</f>
        <v>Unattempted</v>
      </c>
      <c r="L2" t="str" cm="1">
        <f t="array" ref="L2:L19">IF(_xlfn.XLOOKUP($A2:INDEX($A:$A,COUNTA($A:$A)),'ST1 Student Marks'!$A$1:INDEX('ST1 Student Marks'!$A:$A,COUNTA('ST1 Student Marks'!$A:$A)),'ST1 Student Marks'!L$1:INDEX('ST1 Student Marks'!L:L,COUNTA('ST1 Student Marks'!L:L)))="U","Unattempted",'ST1 Student Marks'!L1)</f>
        <v>Unattempted</v>
      </c>
      <c r="M2" t="str" cm="1">
        <f t="array" ref="M2:M19">IF(_xlfn.XLOOKUP($A2:INDEX($A:$A,COUNTA($A:$A)),'ST1 Student Marks'!$A$1:INDEX('ST1 Student Marks'!$A:$A,COUNTA('ST1 Student Marks'!$A:$A)),'ST1 Student Marks'!M$1:INDEX('ST1 Student Marks'!M:M,COUNTA('ST1 Student Marks'!M:M)))="U","Unattempted",'ST1 Student Marks'!M1)</f>
        <v>Q8</v>
      </c>
      <c r="N2" t="str" cm="1">
        <f t="array" ref="N2:N19">IF(_xlfn.XLOOKUP($A2:INDEX($A:$A,COUNTA($A:$A)),'ST1 Student Marks'!$A$1:INDEX('ST1 Student Marks'!$A:$A,COUNTA('ST1 Student Marks'!$A:$A)),'ST1 Student Marks'!N$1:INDEX('ST1 Student Marks'!N:N,COUNTA('ST1 Student Marks'!N:N)))="U","Unattempted",'ST1 Student Marks'!N1)</f>
        <v>Q9</v>
      </c>
      <c r="O2" t="str" cm="1">
        <f t="array" ref="O2:O19">IF(_xlfn.XLOOKUP($A2:INDEX($A:$A,COUNTA($A:$A)),'ST1 Student Marks'!$A$1:INDEX('ST1 Student Marks'!$A:$A,COUNTA('ST1 Student Marks'!$A:$A)),'ST1 Student Marks'!O$1:INDEX('ST1 Student Marks'!O:O,COUNTA('ST1 Student Marks'!O:O)))="U","Unattempted",'ST1 Student Marks'!O1)</f>
        <v>Q10</v>
      </c>
      <c r="P2" t="str" cm="1">
        <f t="array" ref="P2:P19">IF(_xlfn.XLOOKUP($A2:INDEX($A:$A,COUNTA($A:$A)),'ST1 Student Marks'!$A$1:INDEX('ST1 Student Marks'!$A:$A,COUNTA('ST1 Student Marks'!$A:$A)),'ST1 Student Marks'!P$1:INDEX('ST1 Student Marks'!P:P,COUNTA('ST1 Student Marks'!P:P)))="U","Unattempted",'ST1 Student Marks'!P1)</f>
        <v>Q11</v>
      </c>
      <c r="Q2" t="str" cm="1">
        <f t="array" ref="Q2:Q19">IF(_xlfn.XLOOKUP($A2:INDEX($A:$A,COUNTA($A:$A)),'ST1 Student Marks'!$A$1:INDEX('ST1 Student Marks'!$A:$A,COUNTA('ST1 Student Marks'!$A:$A)),'ST1 Student Marks'!Q$1:INDEX('ST1 Student Marks'!Q:Q,COUNTA('ST1 Student Marks'!Q:Q)))="U","Unattempted",'ST1 Student Marks'!Q1)</f>
        <v>Unattempted</v>
      </c>
      <c r="R2" t="str" cm="1">
        <f t="array" ref="R2:R19">IF(_xlfn.XLOOKUP($A2:INDEX($A:$A,COUNTA($A:$A)),'ST1 Student Marks'!$A$1:INDEX('ST1 Student Marks'!$A:$A,COUNTA('ST1 Student Marks'!$A:$A)),'ST1 Student Marks'!R$1:INDEX('ST1 Student Marks'!R:R,COUNTA('ST1 Student Marks'!R:R)))="U","Unattempted",'ST1 Student Marks'!R1)</f>
        <v>Unattempted</v>
      </c>
      <c r="S2" t="str" cm="1">
        <f t="array" ref="S2:S19">IF(_xlfn.XLOOKUP($A2:INDEX($A:$A,COUNTA($A:$A)),'ST1 Student Marks'!$A$1:INDEX('ST1 Student Marks'!$A:$A,COUNTA('ST1 Student Marks'!$A:$A)),'ST1 Student Marks'!S$1:INDEX('ST1 Student Marks'!S:S,COUNTA('ST1 Student Marks'!S:S)))="U","Unattempted",'ST1 Student Marks'!S1)</f>
        <v>Q14</v>
      </c>
      <c r="T2" t="str" cm="1">
        <f t="array" ref="T2:T19">IF(_xlfn.XLOOKUP($A2:INDEX($A:$A,COUNTA($A:$A)),'ST1 Student Marks'!$A$1:INDEX('ST1 Student Marks'!$A:$A,COUNTA('ST1 Student Marks'!$A:$A)),'ST1 Student Marks'!T$1:INDEX('ST1 Student Marks'!T:T,COUNTA('ST1 Student Marks'!T:T)))="U","Unattempted",'ST1 Student Marks'!T1)</f>
        <v>Unattempted</v>
      </c>
      <c r="U2" t="str" cm="1">
        <f t="array" ref="U2:U19">IF(_xlfn.XLOOKUP($A2:INDEX($A:$A,COUNTA($A:$A)),'ST1 Student Marks'!$A$1:INDEX('ST1 Student Marks'!$A:$A,COUNTA('ST1 Student Marks'!$A:$A)),'ST1 Student Marks'!U$1:INDEX('ST1 Student Marks'!U:U,COUNTA('ST1 Student Marks'!U:U)))="U","Unattempted",'ST1 Student Marks'!U1)</f>
        <v>Unattempted</v>
      </c>
    </row>
    <row r="3" spans="1:21" ht="18" customHeight="1" x14ac:dyDescent="0.3">
      <c r="A3">
        <v>2010992002</v>
      </c>
      <c r="B3" t="str">
        <v>Unattempted</v>
      </c>
      <c r="C3" t="str">
        <v>Unattempted</v>
      </c>
      <c r="D3" t="str">
        <v>Unattempted</v>
      </c>
      <c r="E3" t="str">
        <v>Unattempted</v>
      </c>
      <c r="F3" t="str">
        <v>Unattempted</v>
      </c>
      <c r="G3" t="str">
        <v>Q2</v>
      </c>
      <c r="H3" t="str">
        <v>Q3</v>
      </c>
      <c r="I3" t="str">
        <v>Q4</v>
      </c>
      <c r="J3" t="str">
        <v>Unattempted</v>
      </c>
      <c r="K3" t="str">
        <v>Unattempted</v>
      </c>
      <c r="L3" t="str">
        <v>Unattempted</v>
      </c>
      <c r="M3" t="str">
        <v>Q8</v>
      </c>
      <c r="N3" t="str">
        <v>Q9</v>
      </c>
      <c r="O3" t="str">
        <v>Q10</v>
      </c>
      <c r="P3" t="str">
        <v>Q11</v>
      </c>
      <c r="Q3" t="str">
        <v>Unattempted</v>
      </c>
      <c r="R3" t="str">
        <v>Unattempted</v>
      </c>
      <c r="S3" s="1" t="str">
        <v>Q14</v>
      </c>
      <c r="T3" t="str">
        <v>Unattempted</v>
      </c>
      <c r="U3" t="str">
        <v>Unattempted</v>
      </c>
    </row>
    <row r="4" spans="1:21" x14ac:dyDescent="0.3">
      <c r="A4">
        <v>2010992004</v>
      </c>
      <c r="B4" t="str">
        <v>Unattempted</v>
      </c>
      <c r="C4" t="str">
        <v>Unattempted</v>
      </c>
      <c r="D4" t="str">
        <v>Unattempted</v>
      </c>
      <c r="E4" t="str">
        <v>Unattempted</v>
      </c>
      <c r="F4" t="str">
        <v>Unattempted</v>
      </c>
      <c r="G4" t="str">
        <v>Q2</v>
      </c>
      <c r="H4" t="str">
        <v>Q3</v>
      </c>
      <c r="I4" t="str">
        <v>Q4</v>
      </c>
      <c r="J4" t="str">
        <v>Q5</v>
      </c>
      <c r="K4" t="str">
        <v>Q6</v>
      </c>
      <c r="L4" t="str">
        <v>Unattempted</v>
      </c>
      <c r="M4" t="str">
        <v>Q8</v>
      </c>
      <c r="N4" t="str">
        <v>Q9</v>
      </c>
      <c r="O4" t="str">
        <v>Q10</v>
      </c>
      <c r="P4" t="str">
        <v>Q11</v>
      </c>
      <c r="Q4" t="str">
        <v>Unattempted</v>
      </c>
      <c r="R4" t="str">
        <v>Unattempted</v>
      </c>
      <c r="S4" t="str">
        <v>Q14</v>
      </c>
      <c r="T4" t="str">
        <v>Unattempted</v>
      </c>
      <c r="U4" t="str">
        <v>Unattempted</v>
      </c>
    </row>
    <row r="5" spans="1:21" x14ac:dyDescent="0.3">
      <c r="A5">
        <v>2010992005</v>
      </c>
      <c r="B5" t="str">
        <v>Unattempted</v>
      </c>
      <c r="C5" t="str">
        <v>Unattempted</v>
      </c>
      <c r="D5" t="str">
        <v>Unattempted</v>
      </c>
      <c r="E5" t="str">
        <v>Unattempted</v>
      </c>
      <c r="F5" t="str">
        <v>Unattempted</v>
      </c>
      <c r="G5" t="str">
        <v>Q2</v>
      </c>
      <c r="H5" t="str">
        <v>Q3</v>
      </c>
      <c r="I5" t="str">
        <v>Q4</v>
      </c>
      <c r="J5" t="str">
        <v>Unattempted</v>
      </c>
      <c r="K5" t="str">
        <v>Unattempted</v>
      </c>
      <c r="L5" t="str">
        <v>Unattempted</v>
      </c>
      <c r="M5" t="str">
        <v>Q8</v>
      </c>
      <c r="N5" t="str">
        <v>Q9</v>
      </c>
      <c r="O5" t="str">
        <v>Q10</v>
      </c>
      <c r="P5" t="str">
        <v>Q11</v>
      </c>
      <c r="Q5" t="str">
        <v>Unattempted</v>
      </c>
      <c r="R5" t="str">
        <v>Unattempted</v>
      </c>
      <c r="S5" t="str">
        <v>Q14</v>
      </c>
      <c r="T5" t="str">
        <v>Unattempted</v>
      </c>
      <c r="U5" t="str">
        <v>Unattempted</v>
      </c>
    </row>
    <row r="6" spans="1:21" x14ac:dyDescent="0.3">
      <c r="A6">
        <v>2010992006</v>
      </c>
      <c r="B6" t="str">
        <v>Unattempted</v>
      </c>
      <c r="C6" t="str">
        <v>Unattempted</v>
      </c>
      <c r="D6" t="str">
        <v>Unattempted</v>
      </c>
      <c r="E6" t="str">
        <v>Unattempted</v>
      </c>
      <c r="F6" t="str">
        <v>Unattempted</v>
      </c>
      <c r="G6" t="str">
        <v>Q2</v>
      </c>
      <c r="H6" t="str">
        <v>Q3</v>
      </c>
      <c r="I6" t="str">
        <v>Q4</v>
      </c>
      <c r="J6" t="str">
        <v>Q5</v>
      </c>
      <c r="K6" t="str">
        <v>Q6</v>
      </c>
      <c r="L6" t="str">
        <v>Unattempted</v>
      </c>
      <c r="M6" t="str">
        <v>Q8</v>
      </c>
      <c r="N6" t="str">
        <v>Q9</v>
      </c>
      <c r="O6" t="str">
        <v>Q10</v>
      </c>
      <c r="P6" t="str">
        <v>Q11</v>
      </c>
      <c r="Q6" t="str">
        <v>Unattempted</v>
      </c>
      <c r="R6" t="str">
        <v>Unattempted</v>
      </c>
      <c r="S6" t="str">
        <v>Q14</v>
      </c>
      <c r="T6" t="str">
        <v>Unattempted</v>
      </c>
      <c r="U6" t="str">
        <v>Unattempted</v>
      </c>
    </row>
    <row r="7" spans="1:21" x14ac:dyDescent="0.3">
      <c r="A7">
        <v>2010992008</v>
      </c>
      <c r="B7" t="str">
        <v>Unattempted</v>
      </c>
      <c r="C7" t="str">
        <v>Unattempted</v>
      </c>
      <c r="D7" t="str">
        <v>Unattempted</v>
      </c>
      <c r="E7" t="str">
        <v>Unattempted</v>
      </c>
      <c r="F7" t="str">
        <v>Unattempted</v>
      </c>
      <c r="G7" t="str">
        <v>Q2</v>
      </c>
      <c r="H7" t="str">
        <v>Q3</v>
      </c>
      <c r="I7" t="str">
        <v>Q4</v>
      </c>
      <c r="J7" t="str">
        <v>Q5</v>
      </c>
      <c r="K7" t="str">
        <v>Q6</v>
      </c>
      <c r="L7" t="str">
        <v>Unattempted</v>
      </c>
      <c r="M7" t="str">
        <v>Q8</v>
      </c>
      <c r="N7" t="str">
        <v>Q9</v>
      </c>
      <c r="O7" t="str">
        <v>Q10</v>
      </c>
      <c r="P7" t="str">
        <v>Q11</v>
      </c>
      <c r="Q7" t="str">
        <v>Unattempted</v>
      </c>
      <c r="R7" t="str">
        <v>Unattempted</v>
      </c>
      <c r="S7" t="str">
        <v>Q14</v>
      </c>
      <c r="T7" t="str">
        <v>Unattempted</v>
      </c>
      <c r="U7" t="str">
        <v>Unattempted</v>
      </c>
    </row>
    <row r="8" spans="1:21" x14ac:dyDescent="0.3">
      <c r="A8">
        <v>2010992009</v>
      </c>
      <c r="B8" t="str">
        <v>Unattempted</v>
      </c>
      <c r="C8" t="str">
        <v>Unattempted</v>
      </c>
      <c r="D8" t="str">
        <v>Unattempted</v>
      </c>
      <c r="E8" t="str">
        <v>Unattempted</v>
      </c>
      <c r="F8" t="str">
        <v>Unattempted</v>
      </c>
      <c r="G8" t="str">
        <v>Q2</v>
      </c>
      <c r="H8" t="str">
        <v>Q3</v>
      </c>
      <c r="I8" t="str">
        <v>Q4</v>
      </c>
      <c r="J8" t="str">
        <v>Q5</v>
      </c>
      <c r="K8" t="str">
        <v>Q6</v>
      </c>
      <c r="L8" t="str">
        <v>Unattempted</v>
      </c>
      <c r="M8" t="str">
        <v>Q8</v>
      </c>
      <c r="N8" t="str">
        <v>Q9</v>
      </c>
      <c r="O8" t="str">
        <v>Q10</v>
      </c>
      <c r="P8" t="str">
        <v>Q11</v>
      </c>
      <c r="Q8" t="str">
        <v>Unattempted</v>
      </c>
      <c r="R8" t="str">
        <v>Unattempted</v>
      </c>
      <c r="S8" t="str">
        <v>Q14</v>
      </c>
      <c r="T8" t="str">
        <v>Unattempted</v>
      </c>
      <c r="U8" t="str">
        <v>Unattempted</v>
      </c>
    </row>
    <row r="9" spans="1:21" x14ac:dyDescent="0.3">
      <c r="A9">
        <v>2010992010</v>
      </c>
      <c r="B9" t="str">
        <v>Unattempted</v>
      </c>
      <c r="C9" t="str">
        <v>Unattempted</v>
      </c>
      <c r="D9" t="str">
        <v>Unattempted</v>
      </c>
      <c r="E9" t="str">
        <v>Unattempted</v>
      </c>
      <c r="F9" t="str">
        <v>Unattempted</v>
      </c>
      <c r="G9" t="str">
        <v>Q2</v>
      </c>
      <c r="H9" t="str">
        <v>Q3</v>
      </c>
      <c r="I9" t="str">
        <v>Q4</v>
      </c>
      <c r="J9" t="str">
        <v>Q5</v>
      </c>
      <c r="K9" t="str">
        <v>Q6</v>
      </c>
      <c r="L9" t="str">
        <v>Unattempted</v>
      </c>
      <c r="M9" t="str">
        <v>Q8</v>
      </c>
      <c r="N9" t="str">
        <v>Q9</v>
      </c>
      <c r="O9" t="str">
        <v>Q10</v>
      </c>
      <c r="P9" t="str">
        <v>Q11</v>
      </c>
      <c r="Q9" t="str">
        <v>Unattempted</v>
      </c>
      <c r="R9" t="str">
        <v>Unattempted</v>
      </c>
      <c r="S9" t="str">
        <v>Q14</v>
      </c>
      <c r="T9" t="str">
        <v>Unattempted</v>
      </c>
      <c r="U9" t="str">
        <v>Unattempted</v>
      </c>
    </row>
    <row r="10" spans="1:21" x14ac:dyDescent="0.3">
      <c r="A10">
        <v>2010992011</v>
      </c>
      <c r="B10" t="str">
        <v>Unattempted</v>
      </c>
      <c r="C10" t="str">
        <v>Unattempted</v>
      </c>
      <c r="D10" t="str">
        <v>Unattempted</v>
      </c>
      <c r="E10" t="str">
        <v>Unattempted</v>
      </c>
      <c r="F10" t="str">
        <v>Unattempted</v>
      </c>
      <c r="G10" t="str">
        <v>Q2</v>
      </c>
      <c r="H10" t="str">
        <v>Q3</v>
      </c>
      <c r="I10" t="str">
        <v>Q4</v>
      </c>
      <c r="J10" t="str">
        <v>Q5</v>
      </c>
      <c r="K10" t="str">
        <v>Q6</v>
      </c>
      <c r="L10" t="str">
        <v>Unattempted</v>
      </c>
      <c r="M10" t="str">
        <v>Q8</v>
      </c>
      <c r="N10" t="str">
        <v>Q9</v>
      </c>
      <c r="O10" t="str">
        <v>Q10</v>
      </c>
      <c r="P10" t="str">
        <v>Q11</v>
      </c>
      <c r="Q10" t="str">
        <v>Unattempted</v>
      </c>
      <c r="R10" t="str">
        <v>Unattempted</v>
      </c>
      <c r="S10" t="str">
        <v>Q14</v>
      </c>
      <c r="T10" t="str">
        <v>Unattempted</v>
      </c>
      <c r="U10" t="str">
        <v>Unattempted</v>
      </c>
    </row>
    <row r="11" spans="1:21" x14ac:dyDescent="0.3">
      <c r="A11">
        <v>2010992012</v>
      </c>
      <c r="B11" t="str">
        <v>Unattempted</v>
      </c>
      <c r="C11" t="str">
        <v>Unattempted</v>
      </c>
      <c r="D11" t="str">
        <v>Unattempted</v>
      </c>
      <c r="E11" t="str">
        <v>Unattempted</v>
      </c>
      <c r="F11" t="str">
        <v>Unattempted</v>
      </c>
      <c r="G11" t="str">
        <v>Q2</v>
      </c>
      <c r="H11" t="str">
        <v>Q3</v>
      </c>
      <c r="I11" t="str">
        <v>Q4</v>
      </c>
      <c r="J11" t="str">
        <v>Q5</v>
      </c>
      <c r="K11" t="str">
        <v>Q6</v>
      </c>
      <c r="L11" t="str">
        <v>Unattempted</v>
      </c>
      <c r="M11" t="str">
        <v>Q8</v>
      </c>
      <c r="N11" t="str">
        <v>Q9</v>
      </c>
      <c r="O11" t="str">
        <v>Q10</v>
      </c>
      <c r="P11" t="str">
        <v>Q11</v>
      </c>
      <c r="Q11" t="str">
        <v>Unattempted</v>
      </c>
      <c r="R11" t="str">
        <v>Unattempted</v>
      </c>
      <c r="S11" t="str">
        <v>Q14</v>
      </c>
      <c r="T11" t="str">
        <v>Unattempted</v>
      </c>
      <c r="U11" t="str">
        <v>Unattempted</v>
      </c>
    </row>
    <row r="12" spans="1:21" x14ac:dyDescent="0.3">
      <c r="A12">
        <v>2010992014</v>
      </c>
      <c r="B12" t="str">
        <v>Unattempted</v>
      </c>
      <c r="C12" t="str">
        <v>Unattempted</v>
      </c>
      <c r="D12" t="str">
        <v>Unattempted</v>
      </c>
      <c r="E12" t="str">
        <v>Unattempted</v>
      </c>
      <c r="F12" t="str">
        <v>Unattempted</v>
      </c>
      <c r="G12" t="str">
        <v>Q2</v>
      </c>
      <c r="H12" t="str">
        <v>Q3</v>
      </c>
      <c r="I12" t="str">
        <v>Q4</v>
      </c>
      <c r="J12" t="str">
        <v>Q5</v>
      </c>
      <c r="K12" t="str">
        <v>Q6</v>
      </c>
      <c r="L12" t="str">
        <v>Unattempted</v>
      </c>
      <c r="M12" t="str">
        <v>Q8</v>
      </c>
      <c r="N12" t="str">
        <v>Q9</v>
      </c>
      <c r="O12" t="str">
        <v>Q10</v>
      </c>
      <c r="P12" t="str">
        <v>Q11</v>
      </c>
      <c r="Q12" t="str">
        <v>Unattempted</v>
      </c>
      <c r="R12" t="str">
        <v>Unattempted</v>
      </c>
      <c r="S12" t="str">
        <v>Q14</v>
      </c>
      <c r="T12" t="str">
        <v>Unattempted</v>
      </c>
      <c r="U12" t="str">
        <v>Unattempted</v>
      </c>
    </row>
    <row r="13" spans="1:21" x14ac:dyDescent="0.3">
      <c r="A13">
        <v>2010992015</v>
      </c>
      <c r="B13" t="str">
        <v>Unattempted</v>
      </c>
      <c r="C13" t="str">
        <v>Unattempted</v>
      </c>
      <c r="D13" t="str">
        <v>Unattempted</v>
      </c>
      <c r="E13" t="str">
        <v>Unattempted</v>
      </c>
      <c r="F13" t="str">
        <v>Unattempted</v>
      </c>
      <c r="G13" t="str">
        <v>Q2</v>
      </c>
      <c r="H13" t="str">
        <v>Q3</v>
      </c>
      <c r="I13" t="str">
        <v>Q4</v>
      </c>
      <c r="J13" t="str">
        <v>Q5</v>
      </c>
      <c r="K13" t="str">
        <v>Q6</v>
      </c>
      <c r="L13" t="str">
        <v>Unattempted</v>
      </c>
      <c r="M13" t="str">
        <v>Unattempted</v>
      </c>
      <c r="N13" t="str">
        <v>Q9</v>
      </c>
      <c r="O13" t="str">
        <v>Q10</v>
      </c>
      <c r="P13" t="str">
        <v>Q11</v>
      </c>
      <c r="Q13" t="str">
        <v>Unattempted</v>
      </c>
      <c r="R13" t="str">
        <v>Unattempted</v>
      </c>
      <c r="S13" t="str">
        <v>Q14</v>
      </c>
      <c r="T13" t="str">
        <v>Unattempted</v>
      </c>
      <c r="U13" t="str">
        <v>Unattempted</v>
      </c>
    </row>
    <row r="14" spans="1:21" x14ac:dyDescent="0.3">
      <c r="A14">
        <v>2010992016</v>
      </c>
      <c r="B14" t="str">
        <v>Unattempted</v>
      </c>
      <c r="C14" t="str">
        <v>Unattempted</v>
      </c>
      <c r="D14" t="str">
        <v>Unattempted</v>
      </c>
      <c r="E14" t="str">
        <v>Unattempted</v>
      </c>
      <c r="F14" t="str">
        <v>Unattempted</v>
      </c>
      <c r="G14" t="str">
        <v>Q2</v>
      </c>
      <c r="H14" t="str">
        <v>Q3</v>
      </c>
      <c r="I14" t="str">
        <v>Q4</v>
      </c>
      <c r="J14" t="str">
        <v>Q5</v>
      </c>
      <c r="K14" t="str">
        <v>Q6</v>
      </c>
      <c r="L14" t="str">
        <v>Unattempted</v>
      </c>
      <c r="M14" t="str">
        <v>Q8</v>
      </c>
      <c r="N14" t="str">
        <v>Q9</v>
      </c>
      <c r="O14" t="str">
        <v>Q10</v>
      </c>
      <c r="P14" t="str">
        <v>Q11</v>
      </c>
      <c r="Q14" t="str">
        <v>Unattempted</v>
      </c>
      <c r="R14" t="str">
        <v>Unattempted</v>
      </c>
      <c r="S14" t="str">
        <v>Q14</v>
      </c>
      <c r="T14" t="str">
        <v>Unattempted</v>
      </c>
      <c r="U14" t="str">
        <v>Unattempted</v>
      </c>
    </row>
    <row r="15" spans="1:21" x14ac:dyDescent="0.3">
      <c r="A15">
        <v>2010992017</v>
      </c>
      <c r="B15" t="str">
        <v>Unattempted</v>
      </c>
      <c r="C15" t="str">
        <v>Unattempted</v>
      </c>
      <c r="D15" t="str">
        <v>Unattempted</v>
      </c>
      <c r="E15" t="str">
        <v>Unattempted</v>
      </c>
      <c r="F15" t="str">
        <v>Unattempted</v>
      </c>
      <c r="G15" t="str">
        <v>Q2</v>
      </c>
      <c r="H15" t="str">
        <v>Q3</v>
      </c>
      <c r="I15" t="str">
        <v>Q4</v>
      </c>
      <c r="J15" t="str">
        <v>Q5</v>
      </c>
      <c r="K15" t="str">
        <v>Q6</v>
      </c>
      <c r="L15" t="str">
        <v>Unattempted</v>
      </c>
      <c r="M15" t="str">
        <v>Q8</v>
      </c>
      <c r="N15" t="str">
        <v>Q9</v>
      </c>
      <c r="O15" t="str">
        <v>Q10</v>
      </c>
      <c r="P15" t="str">
        <v>Q11</v>
      </c>
      <c r="Q15" t="str">
        <v>Unattempted</v>
      </c>
      <c r="R15" t="str">
        <v>Unattempted</v>
      </c>
      <c r="S15" t="str">
        <v>Q14</v>
      </c>
      <c r="T15" t="str">
        <v>Unattempted</v>
      </c>
      <c r="U15" t="str">
        <v>Unattempted</v>
      </c>
    </row>
    <row r="16" spans="1:21" x14ac:dyDescent="0.3">
      <c r="A16">
        <v>2010992018</v>
      </c>
      <c r="B16" t="str">
        <v>Unattempted</v>
      </c>
      <c r="C16" t="str">
        <v>Unattempted</v>
      </c>
      <c r="D16" t="str">
        <v>Unattempted</v>
      </c>
      <c r="E16" t="str">
        <v>Unattempted</v>
      </c>
      <c r="F16" t="str">
        <v>Unattempted</v>
      </c>
      <c r="G16" t="str">
        <v>Q2</v>
      </c>
      <c r="H16" t="str">
        <v>Q3</v>
      </c>
      <c r="I16" t="str">
        <v>Q4</v>
      </c>
      <c r="J16" t="str">
        <v>Q5</v>
      </c>
      <c r="K16" t="str">
        <v>Q6</v>
      </c>
      <c r="L16" t="str">
        <v>Unattempted</v>
      </c>
      <c r="M16" t="str">
        <v>Q8</v>
      </c>
      <c r="N16" t="str">
        <v>Q9</v>
      </c>
      <c r="O16" t="str">
        <v>Q10</v>
      </c>
      <c r="P16" t="str">
        <v>Q11</v>
      </c>
      <c r="Q16" t="str">
        <v>Unattempted</v>
      </c>
      <c r="R16" t="str">
        <v>Unattempted</v>
      </c>
      <c r="S16" t="str">
        <v>Q14</v>
      </c>
      <c r="T16" t="str">
        <v>Unattempted</v>
      </c>
      <c r="U16" t="str">
        <v>Unattempted</v>
      </c>
    </row>
    <row r="17" spans="1:21" x14ac:dyDescent="0.3">
      <c r="A17">
        <v>2010992019</v>
      </c>
      <c r="B17" t="str">
        <v>Unattempted</v>
      </c>
      <c r="C17" t="str">
        <v>Unattempted</v>
      </c>
      <c r="D17" t="str">
        <v>Unattempted</v>
      </c>
      <c r="E17" t="str">
        <v>Unattempted</v>
      </c>
      <c r="F17" t="str">
        <v>Unattempted</v>
      </c>
      <c r="G17" t="str">
        <v>Q2</v>
      </c>
      <c r="H17" t="str">
        <v>Q3</v>
      </c>
      <c r="I17" t="str">
        <v>Q4</v>
      </c>
      <c r="J17" t="str">
        <v>Q5</v>
      </c>
      <c r="K17" t="str">
        <v>Q6</v>
      </c>
      <c r="L17" t="str">
        <v>Unattempted</v>
      </c>
      <c r="M17" t="str">
        <v>Q8</v>
      </c>
      <c r="N17" t="str">
        <v>Q9</v>
      </c>
      <c r="O17" t="str">
        <v>Q10</v>
      </c>
      <c r="P17" t="str">
        <v>Q11</v>
      </c>
      <c r="Q17" t="str">
        <v>Unattempted</v>
      </c>
      <c r="R17" t="str">
        <v>Unattempted</v>
      </c>
      <c r="S17" t="str">
        <v>Q14</v>
      </c>
      <c r="T17" t="str">
        <v>Unattempted</v>
      </c>
      <c r="U17" t="str">
        <v>Unattempted</v>
      </c>
    </row>
    <row r="18" spans="1:21" x14ac:dyDescent="0.3">
      <c r="A18">
        <v>2010992163</v>
      </c>
      <c r="B18" t="str">
        <v>Unattempted</v>
      </c>
      <c r="C18" t="str">
        <v>Unattempted</v>
      </c>
      <c r="D18" t="str">
        <v>Unattempted</v>
      </c>
      <c r="E18" t="str">
        <v>Unattempted</v>
      </c>
      <c r="F18" t="str">
        <v>Unattempted</v>
      </c>
      <c r="G18" t="str">
        <v>Q2</v>
      </c>
      <c r="H18" t="str">
        <v>Q3</v>
      </c>
      <c r="I18" t="str">
        <v>Q4</v>
      </c>
      <c r="J18" t="str">
        <v>Q5</v>
      </c>
      <c r="K18" t="str">
        <v>Q6</v>
      </c>
      <c r="L18" t="str">
        <v>Unattempted</v>
      </c>
      <c r="M18" t="str">
        <v>Q8</v>
      </c>
      <c r="N18" t="str">
        <v>Q9</v>
      </c>
      <c r="O18" t="str">
        <v>Q10</v>
      </c>
      <c r="P18" t="str">
        <v>Q11</v>
      </c>
      <c r="Q18" t="str">
        <v>Unattempted</v>
      </c>
      <c r="R18" t="str">
        <v>Unattempted</v>
      </c>
      <c r="S18" t="str">
        <v>Q14</v>
      </c>
      <c r="T18" t="str">
        <v>Unattempted</v>
      </c>
      <c r="U18" t="str">
        <v>Unattempted</v>
      </c>
    </row>
    <row r="19" spans="1:21" x14ac:dyDescent="0.3">
      <c r="A19">
        <v>2010992202</v>
      </c>
      <c r="B19" t="str">
        <v>Unattempted</v>
      </c>
      <c r="C19" t="str">
        <v>Unattempted</v>
      </c>
      <c r="D19" t="str">
        <v>Unattempted</v>
      </c>
      <c r="E19" t="str">
        <v>Unattempted</v>
      </c>
      <c r="F19" t="str">
        <v>Unattempted</v>
      </c>
      <c r="G19" t="str">
        <v>Q2</v>
      </c>
      <c r="H19" t="str">
        <v>Q3</v>
      </c>
      <c r="I19" t="str">
        <v>Q4</v>
      </c>
      <c r="J19" t="str">
        <v>Q5</v>
      </c>
      <c r="K19" t="str">
        <v>Q6</v>
      </c>
      <c r="L19" t="str">
        <v>Unattempted</v>
      </c>
      <c r="M19" t="str">
        <v>Q8</v>
      </c>
      <c r="N19" t="str">
        <v>Q9</v>
      </c>
      <c r="O19" t="str">
        <v>Q10</v>
      </c>
      <c r="P19" t="str">
        <v>Q11</v>
      </c>
      <c r="Q19" t="str">
        <v>Unattempted</v>
      </c>
      <c r="R19" t="str">
        <v>Unattempted</v>
      </c>
      <c r="S19" t="str">
        <v>Q14</v>
      </c>
      <c r="T19" t="str">
        <v>Unattempted</v>
      </c>
      <c r="U19" t="str">
        <v>Unattempted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97E3-980E-4D26-9FD5-94080DA04C46}">
  <dimension ref="A1:T19"/>
  <sheetViews>
    <sheetView workbookViewId="0">
      <selection activeCell="A2" sqref="A2"/>
    </sheetView>
  </sheetViews>
  <sheetFormatPr defaultRowHeight="14.4" x14ac:dyDescent="0.3"/>
  <sheetData>
    <row r="1" spans="1:20" x14ac:dyDescent="0.3">
      <c r="A1" t="str" cm="1">
        <f t="array" ref="A1:T1">TRANSPOSE('ST1 Questions'!A2:A21)</f>
        <v>1a</v>
      </c>
      <c r="B1" t="str">
        <v>1b</v>
      </c>
      <c r="C1" t="str">
        <v>1c</v>
      </c>
      <c r="D1" t="str">
        <v>1d</v>
      </c>
      <c r="E1" t="str">
        <v>1e</v>
      </c>
      <c r="F1" t="str">
        <v>Q2</v>
      </c>
      <c r="G1" t="str">
        <v>Q3</v>
      </c>
      <c r="H1" t="str">
        <v>Q4</v>
      </c>
      <c r="I1" t="str">
        <v>Q5</v>
      </c>
      <c r="J1" t="str">
        <v>Q6</v>
      </c>
      <c r="K1" t="str">
        <v>Q7</v>
      </c>
      <c r="L1" t="str">
        <v>Q8</v>
      </c>
      <c r="M1" t="str">
        <v>Q9</v>
      </c>
      <c r="N1" t="str">
        <v>Q10</v>
      </c>
      <c r="O1" t="str">
        <v>Q11</v>
      </c>
      <c r="P1" t="str">
        <v>Q12</v>
      </c>
      <c r="Q1" t="str">
        <v>Q13</v>
      </c>
      <c r="R1" t="str">
        <v>Q14</v>
      </c>
      <c r="S1" t="str">
        <v>Q15</v>
      </c>
      <c r="T1" t="str">
        <v>Q16</v>
      </c>
    </row>
    <row r="2" spans="1:20" x14ac:dyDescent="0.3">
      <c r="A2" t="str" cm="1">
        <f t="array" ref="A2:T19">_xlfn.LET(
    _xlpm.student_ids, 'ST1 Question Map'!A2:INDEX('ST1 Question Map'!A:A,COUNTA('ST1 Question Map'!A:A)),
    _xlpm.answers, 'ST1 Question Map'!B2:INDEX('ST1 Question Map'!U:U,COUNTA('ST1 Question Map'!U:U)),
    _xlpm.num_students, ROWS(_xlpm.student_ids),
    _xlpm.num_questions, COLUMNS(_xlpm.answers),
    _xlfn.MAKEARRAY(_xlpm.num_students, _xlpm.num_questions, _xlfn.LAMBDA(_xlpm.r,_xlpm.c,
        _xlfn.LET(
            _xlpm.current_col, INDEX(_xlpm.answers, 0, _xlpm.c),
            _xlpm.filtered_list, _xlfn._xlws.FILTER(_xlpm.student_ids, (_xlpm.current_col&lt;&gt;"") * (NOT(ISNUMBER(SEARCH("Unattemp", _xlpm.current_col)))), ""),
            IFERROR(INDEX(_xlpm.filtered_list, _xlpm.r), "")
        )
    ))
)</f>
        <v/>
      </c>
      <c r="B2" t="str">
        <v/>
      </c>
      <c r="C2" t="str">
        <v/>
      </c>
      <c r="D2" t="str">
        <v/>
      </c>
      <c r="E2" t="str">
        <v/>
      </c>
      <c r="F2">
        <v>2010990089</v>
      </c>
      <c r="G2">
        <v>2010990089</v>
      </c>
      <c r="H2">
        <v>2010990089</v>
      </c>
      <c r="I2">
        <v>2010992004</v>
      </c>
      <c r="J2">
        <v>2010992004</v>
      </c>
      <c r="K2" t="str">
        <v/>
      </c>
      <c r="L2">
        <v>2010990089</v>
      </c>
      <c r="M2">
        <v>2010990089</v>
      </c>
      <c r="N2">
        <v>2010990089</v>
      </c>
      <c r="O2">
        <v>2010990089</v>
      </c>
      <c r="P2" t="str">
        <v/>
      </c>
      <c r="Q2" t="str">
        <v/>
      </c>
      <c r="R2">
        <v>2010990089</v>
      </c>
      <c r="S2" t="str">
        <v/>
      </c>
      <c r="T2" t="str">
        <v/>
      </c>
    </row>
    <row r="3" spans="1:20" x14ac:dyDescent="0.3">
      <c r="A3" t="str">
        <v/>
      </c>
      <c r="B3" t="str">
        <v/>
      </c>
      <c r="C3" t="str">
        <v/>
      </c>
      <c r="D3" t="str">
        <v/>
      </c>
      <c r="E3" t="str">
        <v/>
      </c>
      <c r="F3">
        <v>2010992002</v>
      </c>
      <c r="G3">
        <v>2010992002</v>
      </c>
      <c r="H3">
        <v>2010992002</v>
      </c>
      <c r="I3">
        <v>2010992006</v>
      </c>
      <c r="J3">
        <v>2010992006</v>
      </c>
      <c r="K3" t="str">
        <v/>
      </c>
      <c r="L3">
        <v>2010992002</v>
      </c>
      <c r="M3">
        <v>2010992002</v>
      </c>
      <c r="N3">
        <v>2010992002</v>
      </c>
      <c r="O3">
        <v>2010992002</v>
      </c>
      <c r="P3" t="str">
        <v/>
      </c>
      <c r="Q3" t="str">
        <v/>
      </c>
      <c r="R3">
        <v>2010992002</v>
      </c>
      <c r="S3" t="str">
        <v/>
      </c>
      <c r="T3" t="str">
        <v/>
      </c>
    </row>
    <row r="4" spans="1:20" x14ac:dyDescent="0.3">
      <c r="A4" t="str">
        <v/>
      </c>
      <c r="B4" t="str">
        <v/>
      </c>
      <c r="C4" t="str">
        <v/>
      </c>
      <c r="D4" t="str">
        <v/>
      </c>
      <c r="E4" t="str">
        <v/>
      </c>
      <c r="F4">
        <v>2010992004</v>
      </c>
      <c r="G4">
        <v>2010992004</v>
      </c>
      <c r="H4">
        <v>2010992004</v>
      </c>
      <c r="I4">
        <v>2010992008</v>
      </c>
      <c r="J4">
        <v>2010992008</v>
      </c>
      <c r="K4" t="str">
        <v/>
      </c>
      <c r="L4">
        <v>2010992004</v>
      </c>
      <c r="M4">
        <v>2010992004</v>
      </c>
      <c r="N4">
        <v>2010992004</v>
      </c>
      <c r="O4">
        <v>2010992004</v>
      </c>
      <c r="P4" t="str">
        <v/>
      </c>
      <c r="Q4" t="str">
        <v/>
      </c>
      <c r="R4">
        <v>2010992004</v>
      </c>
      <c r="S4" t="str">
        <v/>
      </c>
      <c r="T4" t="str">
        <v/>
      </c>
    </row>
    <row r="5" spans="1:20" x14ac:dyDescent="0.3">
      <c r="A5" t="str">
        <v/>
      </c>
      <c r="B5" t="str">
        <v/>
      </c>
      <c r="C5" t="str">
        <v/>
      </c>
      <c r="D5" t="str">
        <v/>
      </c>
      <c r="E5" t="str">
        <v/>
      </c>
      <c r="F5">
        <v>2010992005</v>
      </c>
      <c r="G5">
        <v>2010992005</v>
      </c>
      <c r="H5">
        <v>2010992005</v>
      </c>
      <c r="I5">
        <v>2010992009</v>
      </c>
      <c r="J5">
        <v>2010992009</v>
      </c>
      <c r="K5" t="str">
        <v/>
      </c>
      <c r="L5">
        <v>2010992005</v>
      </c>
      <c r="M5">
        <v>2010992005</v>
      </c>
      <c r="N5">
        <v>2010992005</v>
      </c>
      <c r="O5">
        <v>2010992005</v>
      </c>
      <c r="P5" t="str">
        <v/>
      </c>
      <c r="Q5" t="str">
        <v/>
      </c>
      <c r="R5">
        <v>2010992005</v>
      </c>
      <c r="S5" t="str">
        <v/>
      </c>
      <c r="T5" t="str">
        <v/>
      </c>
    </row>
    <row r="6" spans="1:20" x14ac:dyDescent="0.3">
      <c r="A6" t="str">
        <v/>
      </c>
      <c r="B6" t="str">
        <v/>
      </c>
      <c r="C6" t="str">
        <v/>
      </c>
      <c r="D6" t="str">
        <v/>
      </c>
      <c r="E6" t="str">
        <v/>
      </c>
      <c r="F6">
        <v>2010992006</v>
      </c>
      <c r="G6">
        <v>2010992006</v>
      </c>
      <c r="H6">
        <v>2010992006</v>
      </c>
      <c r="I6">
        <v>2010992010</v>
      </c>
      <c r="J6">
        <v>2010992010</v>
      </c>
      <c r="K6" t="str">
        <v/>
      </c>
      <c r="L6">
        <v>2010992006</v>
      </c>
      <c r="M6">
        <v>2010992006</v>
      </c>
      <c r="N6">
        <v>2010992006</v>
      </c>
      <c r="O6">
        <v>2010992006</v>
      </c>
      <c r="P6" t="str">
        <v/>
      </c>
      <c r="Q6" t="str">
        <v/>
      </c>
      <c r="R6">
        <v>2010992006</v>
      </c>
      <c r="S6" t="str">
        <v/>
      </c>
      <c r="T6" t="str">
        <v/>
      </c>
    </row>
    <row r="7" spans="1:20" x14ac:dyDescent="0.3">
      <c r="A7" t="str">
        <v/>
      </c>
      <c r="B7" t="str">
        <v/>
      </c>
      <c r="C7" t="str">
        <v/>
      </c>
      <c r="D7" t="str">
        <v/>
      </c>
      <c r="E7" t="str">
        <v/>
      </c>
      <c r="F7">
        <v>2010992008</v>
      </c>
      <c r="G7">
        <v>2010992008</v>
      </c>
      <c r="H7">
        <v>2010992008</v>
      </c>
      <c r="I7">
        <v>2010992011</v>
      </c>
      <c r="J7">
        <v>2010992011</v>
      </c>
      <c r="K7" t="str">
        <v/>
      </c>
      <c r="L7">
        <v>2010992008</v>
      </c>
      <c r="M7">
        <v>2010992008</v>
      </c>
      <c r="N7">
        <v>2010992008</v>
      </c>
      <c r="O7">
        <v>2010992008</v>
      </c>
      <c r="P7" t="str">
        <v/>
      </c>
      <c r="Q7" t="str">
        <v/>
      </c>
      <c r="R7">
        <v>2010992008</v>
      </c>
      <c r="S7" t="str">
        <v/>
      </c>
      <c r="T7" t="str">
        <v/>
      </c>
    </row>
    <row r="8" spans="1:20" x14ac:dyDescent="0.3">
      <c r="A8" t="str">
        <v/>
      </c>
      <c r="B8" t="str">
        <v/>
      </c>
      <c r="C8" t="str">
        <v/>
      </c>
      <c r="D8" t="str">
        <v/>
      </c>
      <c r="E8" t="str">
        <v/>
      </c>
      <c r="F8">
        <v>2010992009</v>
      </c>
      <c r="G8">
        <v>2010992009</v>
      </c>
      <c r="H8">
        <v>2010992009</v>
      </c>
      <c r="I8">
        <v>2010992012</v>
      </c>
      <c r="J8">
        <v>2010992012</v>
      </c>
      <c r="K8" t="str">
        <v/>
      </c>
      <c r="L8">
        <v>2010992009</v>
      </c>
      <c r="M8">
        <v>2010992009</v>
      </c>
      <c r="N8">
        <v>2010992009</v>
      </c>
      <c r="O8">
        <v>2010992009</v>
      </c>
      <c r="P8" t="str">
        <v/>
      </c>
      <c r="Q8" t="str">
        <v/>
      </c>
      <c r="R8">
        <v>2010992009</v>
      </c>
      <c r="S8" t="str">
        <v/>
      </c>
      <c r="T8" t="str">
        <v/>
      </c>
    </row>
    <row r="9" spans="1:20" x14ac:dyDescent="0.3">
      <c r="A9" t="str">
        <v/>
      </c>
      <c r="B9" t="str">
        <v/>
      </c>
      <c r="C9" t="str">
        <v/>
      </c>
      <c r="D9" t="str">
        <v/>
      </c>
      <c r="E9" t="str">
        <v/>
      </c>
      <c r="F9">
        <v>2010992010</v>
      </c>
      <c r="G9">
        <v>2010992010</v>
      </c>
      <c r="H9">
        <v>2010992010</v>
      </c>
      <c r="I9">
        <v>2010992014</v>
      </c>
      <c r="J9">
        <v>2010992014</v>
      </c>
      <c r="K9" t="str">
        <v/>
      </c>
      <c r="L9">
        <v>2010992010</v>
      </c>
      <c r="M9">
        <v>2010992010</v>
      </c>
      <c r="N9">
        <v>2010992010</v>
      </c>
      <c r="O9">
        <v>2010992010</v>
      </c>
      <c r="P9" t="str">
        <v/>
      </c>
      <c r="Q9" t="str">
        <v/>
      </c>
      <c r="R9">
        <v>2010992010</v>
      </c>
      <c r="S9" t="str">
        <v/>
      </c>
      <c r="T9" t="str">
        <v/>
      </c>
    </row>
    <row r="10" spans="1:20" x14ac:dyDescent="0.3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v>2010992011</v>
      </c>
      <c r="G10">
        <v>2010992011</v>
      </c>
      <c r="H10">
        <v>2010992011</v>
      </c>
      <c r="I10">
        <v>2010992015</v>
      </c>
      <c r="J10">
        <v>2010992015</v>
      </c>
      <c r="K10" t="str">
        <v/>
      </c>
      <c r="L10">
        <v>2010992011</v>
      </c>
      <c r="M10">
        <v>2010992011</v>
      </c>
      <c r="N10">
        <v>2010992011</v>
      </c>
      <c r="O10">
        <v>2010992011</v>
      </c>
      <c r="P10" t="str">
        <v/>
      </c>
      <c r="Q10" t="str">
        <v/>
      </c>
      <c r="R10">
        <v>2010992011</v>
      </c>
      <c r="S10" t="str">
        <v/>
      </c>
      <c r="T10" t="str">
        <v/>
      </c>
    </row>
    <row r="11" spans="1:20" x14ac:dyDescent="0.3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v>2010992012</v>
      </c>
      <c r="G11">
        <v>2010992012</v>
      </c>
      <c r="H11">
        <v>2010992012</v>
      </c>
      <c r="I11">
        <v>2010992016</v>
      </c>
      <c r="J11">
        <v>2010992016</v>
      </c>
      <c r="K11" t="str">
        <v/>
      </c>
      <c r="L11">
        <v>2010992012</v>
      </c>
      <c r="M11">
        <v>2010992012</v>
      </c>
      <c r="N11">
        <v>2010992012</v>
      </c>
      <c r="O11">
        <v>2010992012</v>
      </c>
      <c r="P11" t="str">
        <v/>
      </c>
      <c r="Q11" t="str">
        <v/>
      </c>
      <c r="R11">
        <v>2010992012</v>
      </c>
      <c r="S11" t="str">
        <v/>
      </c>
      <c r="T11" t="str">
        <v/>
      </c>
    </row>
    <row r="12" spans="1:20" x14ac:dyDescent="0.3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v>2010992014</v>
      </c>
      <c r="G12">
        <v>2010992014</v>
      </c>
      <c r="H12">
        <v>2010992014</v>
      </c>
      <c r="I12">
        <v>2010992017</v>
      </c>
      <c r="J12">
        <v>2010992017</v>
      </c>
      <c r="K12" t="str">
        <v/>
      </c>
      <c r="L12">
        <v>2010992014</v>
      </c>
      <c r="M12">
        <v>2010992014</v>
      </c>
      <c r="N12">
        <v>2010992014</v>
      </c>
      <c r="O12">
        <v>2010992014</v>
      </c>
      <c r="P12" t="str">
        <v/>
      </c>
      <c r="Q12" t="str">
        <v/>
      </c>
      <c r="R12">
        <v>2010992014</v>
      </c>
      <c r="S12" t="str">
        <v/>
      </c>
      <c r="T12" t="str">
        <v/>
      </c>
    </row>
    <row r="13" spans="1:20" x14ac:dyDescent="0.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v>2010992015</v>
      </c>
      <c r="G13">
        <v>2010992015</v>
      </c>
      <c r="H13">
        <v>2010992015</v>
      </c>
      <c r="I13">
        <v>2010992018</v>
      </c>
      <c r="J13">
        <v>2010992018</v>
      </c>
      <c r="K13" t="str">
        <v/>
      </c>
      <c r="L13">
        <v>2010992016</v>
      </c>
      <c r="M13">
        <v>2010992015</v>
      </c>
      <c r="N13">
        <v>2010992015</v>
      </c>
      <c r="O13">
        <v>2010992015</v>
      </c>
      <c r="P13" t="str">
        <v/>
      </c>
      <c r="Q13" t="str">
        <v/>
      </c>
      <c r="R13">
        <v>2010992015</v>
      </c>
      <c r="S13" t="str">
        <v/>
      </c>
      <c r="T13" t="str">
        <v/>
      </c>
    </row>
    <row r="14" spans="1:20" x14ac:dyDescent="0.3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v>2010992016</v>
      </c>
      <c r="G14">
        <v>2010992016</v>
      </c>
      <c r="H14">
        <v>2010992016</v>
      </c>
      <c r="I14">
        <v>2010992019</v>
      </c>
      <c r="J14">
        <v>2010992019</v>
      </c>
      <c r="K14" t="str">
        <v/>
      </c>
      <c r="L14">
        <v>2010992017</v>
      </c>
      <c r="M14">
        <v>2010992016</v>
      </c>
      <c r="N14">
        <v>2010992016</v>
      </c>
      <c r="O14">
        <v>2010992016</v>
      </c>
      <c r="P14" t="str">
        <v/>
      </c>
      <c r="Q14" t="str">
        <v/>
      </c>
      <c r="R14">
        <v>2010992016</v>
      </c>
      <c r="S14" t="str">
        <v/>
      </c>
      <c r="T14" t="str">
        <v/>
      </c>
    </row>
    <row r="15" spans="1:20" x14ac:dyDescent="0.3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v>2010992017</v>
      </c>
      <c r="G15">
        <v>2010992017</v>
      </c>
      <c r="H15">
        <v>2010992017</v>
      </c>
      <c r="I15">
        <v>2010992163</v>
      </c>
      <c r="J15">
        <v>2010992163</v>
      </c>
      <c r="K15" t="str">
        <v/>
      </c>
      <c r="L15">
        <v>2010992018</v>
      </c>
      <c r="M15">
        <v>2010992017</v>
      </c>
      <c r="N15">
        <v>2010992017</v>
      </c>
      <c r="O15">
        <v>2010992017</v>
      </c>
      <c r="P15" t="str">
        <v/>
      </c>
      <c r="Q15" t="str">
        <v/>
      </c>
      <c r="R15">
        <v>2010992017</v>
      </c>
      <c r="S15" t="str">
        <v/>
      </c>
      <c r="T15" t="str">
        <v/>
      </c>
    </row>
    <row r="16" spans="1:20" x14ac:dyDescent="0.3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v>2010992018</v>
      </c>
      <c r="G16">
        <v>2010992018</v>
      </c>
      <c r="H16">
        <v>2010992018</v>
      </c>
      <c r="I16">
        <v>2010992202</v>
      </c>
      <c r="J16">
        <v>2010992202</v>
      </c>
      <c r="K16" t="str">
        <v/>
      </c>
      <c r="L16">
        <v>2010992019</v>
      </c>
      <c r="M16">
        <v>2010992018</v>
      </c>
      <c r="N16">
        <v>2010992018</v>
      </c>
      <c r="O16">
        <v>2010992018</v>
      </c>
      <c r="P16" t="str">
        <v/>
      </c>
      <c r="Q16" t="str">
        <v/>
      </c>
      <c r="R16">
        <v>2010992018</v>
      </c>
      <c r="S16" t="str">
        <v/>
      </c>
      <c r="T16" t="str">
        <v/>
      </c>
    </row>
    <row r="17" spans="1:20" x14ac:dyDescent="0.3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v>2010992019</v>
      </c>
      <c r="G17">
        <v>2010992019</v>
      </c>
      <c r="H17">
        <v>2010992019</v>
      </c>
      <c r="I17" t="str">
        <v/>
      </c>
      <c r="J17" t="str">
        <v/>
      </c>
      <c r="K17" t="str">
        <v/>
      </c>
      <c r="L17">
        <v>2010992163</v>
      </c>
      <c r="M17">
        <v>2010992019</v>
      </c>
      <c r="N17">
        <v>2010992019</v>
      </c>
      <c r="O17">
        <v>2010992019</v>
      </c>
      <c r="P17" t="str">
        <v/>
      </c>
      <c r="Q17" t="str">
        <v/>
      </c>
      <c r="R17">
        <v>2010992019</v>
      </c>
      <c r="S17" t="str">
        <v/>
      </c>
      <c r="T17" t="str">
        <v/>
      </c>
    </row>
    <row r="18" spans="1:20" x14ac:dyDescent="0.3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v>2010992163</v>
      </c>
      <c r="G18">
        <v>2010992163</v>
      </c>
      <c r="H18">
        <v>2010992163</v>
      </c>
      <c r="I18" t="str">
        <v/>
      </c>
      <c r="J18" t="str">
        <v/>
      </c>
      <c r="K18" t="str">
        <v/>
      </c>
      <c r="L18">
        <v>2010992202</v>
      </c>
      <c r="M18">
        <v>2010992163</v>
      </c>
      <c r="N18">
        <v>2010992163</v>
      </c>
      <c r="O18">
        <v>2010992163</v>
      </c>
      <c r="P18" t="str">
        <v/>
      </c>
      <c r="Q18" t="str">
        <v/>
      </c>
      <c r="R18">
        <v>2010992163</v>
      </c>
      <c r="S18" t="str">
        <v/>
      </c>
      <c r="T18" t="str">
        <v/>
      </c>
    </row>
    <row r="19" spans="1:20" x14ac:dyDescent="0.3">
      <c r="A19" t="str">
        <v/>
      </c>
      <c r="B19" t="str">
        <v/>
      </c>
      <c r="C19" t="str">
        <v/>
      </c>
      <c r="D19" t="str">
        <v/>
      </c>
      <c r="E19" t="str">
        <v/>
      </c>
      <c r="F19">
        <v>2010992202</v>
      </c>
      <c r="G19">
        <v>2010992202</v>
      </c>
      <c r="H19">
        <v>2010992202</v>
      </c>
      <c r="I19" t="str">
        <v/>
      </c>
      <c r="J19" t="str">
        <v/>
      </c>
      <c r="K19" t="str">
        <v/>
      </c>
      <c r="L19" t="str">
        <v/>
      </c>
      <c r="M19">
        <v>2010992202</v>
      </c>
      <c r="N19">
        <v>2010992202</v>
      </c>
      <c r="O19">
        <v>2010992202</v>
      </c>
      <c r="P19" t="str">
        <v/>
      </c>
      <c r="Q19" t="str">
        <v/>
      </c>
      <c r="R19">
        <v>2010992202</v>
      </c>
      <c r="S19" t="str">
        <v/>
      </c>
      <c r="T19" t="str"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EA32-B300-46BE-9A84-84E40D2B8CBA}">
  <dimension ref="A1:F19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3" max="3" width="8.88671875" customWidth="1"/>
    <col min="10" max="10" width="11.44140625" bestFit="1" customWidth="1"/>
    <col min="18" max="21" width="11.44140625" bestFit="1" customWidth="1"/>
  </cols>
  <sheetData>
    <row r="1" spans="1:6" x14ac:dyDescent="0.3">
      <c r="A1" t="str" cm="1">
        <f t="array" ref="A1:F1">'ST1 Questions'!C1:H1</f>
        <v>CO1</v>
      </c>
      <c r="B1" t="str">
        <v>CO2</v>
      </c>
      <c r="C1" t="str">
        <v>CO3</v>
      </c>
      <c r="D1" t="str">
        <v>CO4</v>
      </c>
      <c r="E1" t="str">
        <v>CO5</v>
      </c>
      <c r="F1" t="str">
        <v>CO6</v>
      </c>
    </row>
    <row r="2" spans="1:6" x14ac:dyDescent="0.3">
      <c r="A2" cm="1">
        <f t="array" ref="A2:A19">_xlfn.LET(
    _xlpm.TargetStudents,
    TRANSPOSE(
        _xlfn._xlws.FILTER(
            'ST1 Questions'!$A$2:INDEX('ST1 Questions'!$A:$A, COUNTA('ST1 Questions'!$A:$A)),
            _xlfn.XLOOKUP(
                A$1,
                'ST1 Questions'!$C$1:$H$1,
                'ST1 Questions'!$C$2:INDEX('ST1 Questions'!$H:$H, COUNTA('ST1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'ST1 Attemped Qs'!$A$1:$T$1,
                    'ST1 Attemped Qs'!$A$2:INDEX('ST1 Attemped Qs'!$T:$T, COUNTA('ST1 Attemped Qs'!$T:$T)),
                    ""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B2" cm="1">
        <f t="array" ref="B2:B19">_xlfn.LET(
    _xlpm.TargetStudents,
    TRANSPOSE(
        _xlfn._xlws.FILTER(
            'ST1 Questions'!$A$2:INDEX('ST1 Questions'!$A:$A, COUNTA('ST1 Questions'!$A:$A)),
            _xlfn.XLOOKUP(
                B$1,
                'ST1 Questions'!$C$1:$H$1,
                'ST1 Questions'!$C$2:INDEX('ST1 Questions'!$H:$H, COUNTA('ST1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'ST1 Attemped Qs'!$A$1:$T$1,
                    'ST1 Attemped Qs'!$A$2:INDEX('ST1 Attemped Qs'!$T:$T, COUNTA('ST1 Attemped Qs'!$T:$T)),
                    ""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C2" cm="1">
        <f t="array" ref="C2:C19">_xlfn.LET(
    _xlpm.TargetStudents,
    TRANSPOSE(
        _xlfn._xlws.FILTER(
            'ST1 Questions'!$A$2:INDEX('ST1 Questions'!$A:$A, COUNTA('ST1 Questions'!$A:$A)),
            _xlfn.XLOOKUP(
                C$1,
                'ST1 Questions'!$C$1:$H$1,
                'ST1 Questions'!$C$2:INDEX('ST1 Questions'!$H:$H, COUNTA('ST1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'ST1 Attemped Qs'!$A$1:$T$1,
                    'ST1 Attemped Qs'!$A$2:INDEX('ST1 Attemped Qs'!$T:$T, COUNTA('ST1 Attemped Qs'!$T:$T)),
                    ""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D2" cm="1">
        <f t="array" ref="D2:D19">_xlfn.LET(
    _xlpm.TargetStudents,
    TRANSPOSE(
        _xlfn._xlws.FILTER(
            'ST1 Questions'!$A$2:INDEX('ST1 Questions'!$A:$A, COUNTA('ST1 Questions'!$A:$A)),
            _xlfn.XLOOKUP(
                D$1,
                'ST1 Questions'!$C$1:$H$1,
                'ST1 Questions'!$C$2:INDEX('ST1 Questions'!$H:$H, COUNTA('ST1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'ST1 Attemped Qs'!$A$1:$T$1,
                    'ST1 Attemped Qs'!$A$2:INDEX('ST1 Attemped Qs'!$T:$T, COUNTA('ST1 Attemped Qs'!$T:$T)),
                    ""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E2" cm="1">
        <f t="array" ref="E2:E16">_xlfn.LET(
    _xlpm.TargetStudents,
    TRANSPOSE(
        _xlfn._xlws.FILTER(
            'ST1 Questions'!$A$2:INDEX('ST1 Questions'!$A:$A, COUNTA('ST1 Questions'!$A:$A)),
            _xlfn.XLOOKUP(
                E$1,
                'ST1 Questions'!$C$1:$H$1,
                'ST1 Questions'!$C$2:INDEX('ST1 Questions'!$H:$H, COUNTA('ST1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'ST1 Attemped Qs'!$A$1:$T$1,
                    'ST1 Attemped Qs'!$A$2:INDEX('ST1 Attemped Qs'!$T:$T, COUNTA('ST1 Attemped Qs'!$T:$T)),
                    ""
                )
            )
        )),
        , 1
    ),
    _xlpm.FlattenedList,
    _xlfn.TOCOL(_xlpm.DataGrid, 1),
    _xlfn.UNIQUE(
        _xlfn._xlws.FILTER(_xlpm.FlattenedList, _xlpm.FlattenedList &lt;&gt; "")
    )
)</f>
        <v>2010992004</v>
      </c>
      <c r="F2" cm="1">
        <f t="array" ref="F2:F19">_xlfn.LET(
    _xlpm.TargetStudents,
    TRANSPOSE(
        _xlfn._xlws.FILTER(
            'ST1 Questions'!$A$2:INDEX('ST1 Questions'!$A:$A, COUNTA('ST1 Questions'!$A:$A)),
            _xlfn.XLOOKUP(
                F$1,
                'ST1 Questions'!$C$1:$H$1,
                'ST1 Questions'!$C$2:INDEX('ST1 Questions'!$H:$H, COUNTA('ST1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'ST1 Attemped Qs'!$A$1:$T$1,
                    'ST1 Attemped Qs'!$A$2:INDEX('ST1 Attemped Qs'!$T:$T, COUNTA('ST1 Attemped Qs'!$T:$T)),
                    ""
                )
            )
        )),
        , 1
    ),
    _xlpm.FlattenedList,
    _xlfn.TOCOL(_xlpm.DataGrid, 1),
    _xlfn.UNIQUE(
        _xlfn._xlws.FILTER(_xlpm.FlattenedList, _xlpm.FlattenedList &lt;&gt; "")
    )
)</f>
        <v>2010990089</v>
      </c>
    </row>
    <row r="3" spans="1:6" x14ac:dyDescent="0.3">
      <c r="A3">
        <v>2010992004</v>
      </c>
      <c r="B3">
        <v>2010992004</v>
      </c>
      <c r="C3">
        <v>2010992002</v>
      </c>
      <c r="D3">
        <v>2010992002</v>
      </c>
      <c r="E3">
        <v>2010992006</v>
      </c>
      <c r="F3">
        <v>2010992002</v>
      </c>
    </row>
    <row r="4" spans="1:6" x14ac:dyDescent="0.3">
      <c r="A4">
        <v>2010992002</v>
      </c>
      <c r="B4">
        <v>2010992002</v>
      </c>
      <c r="C4">
        <v>2010992004</v>
      </c>
      <c r="D4">
        <v>2010992004</v>
      </c>
      <c r="E4">
        <v>2010992008</v>
      </c>
      <c r="F4">
        <v>2010992004</v>
      </c>
    </row>
    <row r="5" spans="1:6" x14ac:dyDescent="0.3">
      <c r="A5">
        <v>2010992006</v>
      </c>
      <c r="B5">
        <v>2010992006</v>
      </c>
      <c r="C5">
        <v>2010992005</v>
      </c>
      <c r="D5">
        <v>2010992005</v>
      </c>
      <c r="E5">
        <v>2010992009</v>
      </c>
      <c r="F5">
        <v>2010992005</v>
      </c>
    </row>
    <row r="6" spans="1:6" x14ac:dyDescent="0.3">
      <c r="A6">
        <v>2010992008</v>
      </c>
      <c r="B6">
        <v>2010992008</v>
      </c>
      <c r="C6">
        <v>2010992006</v>
      </c>
      <c r="D6">
        <v>2010992006</v>
      </c>
      <c r="E6">
        <v>2010992010</v>
      </c>
      <c r="F6">
        <v>2010992006</v>
      </c>
    </row>
    <row r="7" spans="1:6" x14ac:dyDescent="0.3">
      <c r="A7">
        <v>2010992005</v>
      </c>
      <c r="B7">
        <v>2010992005</v>
      </c>
      <c r="C7">
        <v>2010992008</v>
      </c>
      <c r="D7">
        <v>2010992008</v>
      </c>
      <c r="E7">
        <v>2010992011</v>
      </c>
      <c r="F7">
        <v>2010992008</v>
      </c>
    </row>
    <row r="8" spans="1:6" x14ac:dyDescent="0.3">
      <c r="A8">
        <v>2010992009</v>
      </c>
      <c r="B8">
        <v>2010992009</v>
      </c>
      <c r="C8">
        <v>2010992009</v>
      </c>
      <c r="D8">
        <v>2010992009</v>
      </c>
      <c r="E8">
        <v>2010992012</v>
      </c>
      <c r="F8">
        <v>2010992009</v>
      </c>
    </row>
    <row r="9" spans="1:6" x14ac:dyDescent="0.3">
      <c r="A9">
        <v>2010992010</v>
      </c>
      <c r="B9">
        <v>2010992010</v>
      </c>
      <c r="C9">
        <v>2010992010</v>
      </c>
      <c r="D9">
        <v>2010992010</v>
      </c>
      <c r="E9">
        <v>2010992014</v>
      </c>
      <c r="F9">
        <v>2010992010</v>
      </c>
    </row>
    <row r="10" spans="1:6" x14ac:dyDescent="0.3">
      <c r="A10">
        <v>2010992011</v>
      </c>
      <c r="B10">
        <v>2010992011</v>
      </c>
      <c r="C10">
        <v>2010992011</v>
      </c>
      <c r="D10">
        <v>2010992011</v>
      </c>
      <c r="E10">
        <v>2010992015</v>
      </c>
      <c r="F10">
        <v>2010992011</v>
      </c>
    </row>
    <row r="11" spans="1:6" x14ac:dyDescent="0.3">
      <c r="A11">
        <v>2010992012</v>
      </c>
      <c r="B11">
        <v>2010992012</v>
      </c>
      <c r="C11">
        <v>2010992012</v>
      </c>
      <c r="D11">
        <v>2010992012</v>
      </c>
      <c r="E11">
        <v>2010992016</v>
      </c>
      <c r="F11">
        <v>2010992012</v>
      </c>
    </row>
    <row r="12" spans="1:6" x14ac:dyDescent="0.3">
      <c r="A12">
        <v>2010992014</v>
      </c>
      <c r="B12">
        <v>2010992014</v>
      </c>
      <c r="C12">
        <v>2010992014</v>
      </c>
      <c r="D12">
        <v>2010992014</v>
      </c>
      <c r="E12">
        <v>2010992017</v>
      </c>
      <c r="F12">
        <v>2010992014</v>
      </c>
    </row>
    <row r="13" spans="1:6" x14ac:dyDescent="0.3">
      <c r="A13">
        <v>2010992015</v>
      </c>
      <c r="B13">
        <v>2010992015</v>
      </c>
      <c r="C13">
        <v>2010992015</v>
      </c>
      <c r="D13">
        <v>2010992015</v>
      </c>
      <c r="E13">
        <v>2010992018</v>
      </c>
      <c r="F13">
        <v>2010992015</v>
      </c>
    </row>
    <row r="14" spans="1:6" x14ac:dyDescent="0.3">
      <c r="A14">
        <v>2010992016</v>
      </c>
      <c r="B14">
        <v>2010992016</v>
      </c>
      <c r="C14">
        <v>2010992016</v>
      </c>
      <c r="D14">
        <v>2010992016</v>
      </c>
      <c r="E14">
        <v>2010992019</v>
      </c>
      <c r="F14">
        <v>2010992016</v>
      </c>
    </row>
    <row r="15" spans="1:6" x14ac:dyDescent="0.3">
      <c r="A15">
        <v>2010992017</v>
      </c>
      <c r="B15">
        <v>2010992017</v>
      </c>
      <c r="C15">
        <v>2010992017</v>
      </c>
      <c r="D15">
        <v>2010992017</v>
      </c>
      <c r="E15">
        <v>2010992163</v>
      </c>
      <c r="F15">
        <v>2010992017</v>
      </c>
    </row>
    <row r="16" spans="1:6" x14ac:dyDescent="0.3">
      <c r="A16">
        <v>2010992018</v>
      </c>
      <c r="B16">
        <v>2010992018</v>
      </c>
      <c r="C16">
        <v>2010992018</v>
      </c>
      <c r="D16">
        <v>2010992018</v>
      </c>
      <c r="E16">
        <v>2010992202</v>
      </c>
      <c r="F16">
        <v>2010992018</v>
      </c>
    </row>
    <row r="17" spans="1:6" x14ac:dyDescent="0.3">
      <c r="A17">
        <v>2010992019</v>
      </c>
      <c r="B17">
        <v>2010992019</v>
      </c>
      <c r="C17">
        <v>2010992019</v>
      </c>
      <c r="D17">
        <v>2010992019</v>
      </c>
      <c r="F17">
        <v>2010992019</v>
      </c>
    </row>
    <row r="18" spans="1:6" x14ac:dyDescent="0.3">
      <c r="A18">
        <v>2010992163</v>
      </c>
      <c r="B18">
        <v>2010992163</v>
      </c>
      <c r="C18">
        <v>2010992163</v>
      </c>
      <c r="D18">
        <v>2010992163</v>
      </c>
      <c r="F18">
        <v>2010992163</v>
      </c>
    </row>
    <row r="19" spans="1:6" x14ac:dyDescent="0.3">
      <c r="A19">
        <v>2010992202</v>
      </c>
      <c r="B19">
        <v>2010992202</v>
      </c>
      <c r="C19">
        <v>2010992202</v>
      </c>
      <c r="D19">
        <v>2010992202</v>
      </c>
      <c r="F19">
        <v>2010992202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A995-1C39-41C2-9C80-337285CCA346}">
  <sheetPr codeName="Sheet5"/>
  <dimension ref="A1:S19"/>
  <sheetViews>
    <sheetView zoomScale="130" zoomScaleNormal="130" workbookViewId="0">
      <selection activeCell="B2" sqref="B2:G2"/>
    </sheetView>
  </sheetViews>
  <sheetFormatPr defaultRowHeight="14.4" x14ac:dyDescent="0.3"/>
  <cols>
    <col min="1" max="1" width="21" bestFit="1" customWidth="1"/>
  </cols>
  <sheetData>
    <row r="1" spans="1:19" x14ac:dyDescent="0.3">
      <c r="A1" t="str" cm="1">
        <f t="array" ref="A1:A19">INDEX('ST1 Result'!B:B, 1):INDEX('ST1 Result'!B:B, COUNTA('ST1 Result'!B:B))</f>
        <v>Admission No. (Roll No.)</v>
      </c>
      <c r="B1" t="str" cm="1">
        <f t="array" ref="B1:G1">'ST1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9" x14ac:dyDescent="0.3">
      <c r="A2">
        <v>2010990089</v>
      </c>
      <c r="B2" cm="1">
        <f t="array" ref="B2:B19">_xlfn.BYROW($A2:INDEX($A:$A,COUNTA($A:$A)),_xlfn.LAMBDA(_xlpm.studentID,SUM(IFERROR(_xlfn.XLOOKUP(IF(_xlfn.XLOOKUP(B$1,'ST1 Questions'!$C$1:$H$1,
           'ST1 Questions'!$C$2:$H$21) = TRUE, TRANSPOSE( _xlfn.XLOOKUP(_xlpm.studentID,'ST1 Question Map'!$A$2:INDEX('ST1 Question Map'!$A:$A, COUNTA('ST1 Question Map'!$A:$A)),
           'ST1 Question Map'!$B$2:INDEX('ST1 Question Map'!$U:$U, COUNTA('ST1 Question Map'!$U:$U))))),'ST1 Questions'!$A$2:$A$21,
                    'ST1 Questions'!$B$2:$B$21),0))))</f>
        <v>36</v>
      </c>
      <c r="C2" cm="1">
        <f t="array" ref="C2:C19">_xlfn.BYROW($A2:INDEX($A:$A,COUNTA($A:$A)),_xlfn.LAMBDA(_xlpm.studentID,SUM(IFERROR(_xlfn.XLOOKUP(IF(_xlfn.XLOOKUP(C$1,'ST1 Questions'!$C$1:$H$1,
           'ST1 Questions'!$C$2:$H$21) = TRUE, TRANSPOSE( _xlfn.XLOOKUP(_xlpm.studentID,'ST1 Question Map'!$A$2:INDEX('ST1 Question Map'!$A:$A, COUNTA('ST1 Question Map'!$A:$A)),
           'ST1 Question Map'!$B$2:INDEX('ST1 Question Map'!$U:$U, COUNTA('ST1 Question Map'!$U:$U))))),'ST1 Questions'!$A$2:$A$21,
                    'ST1 Questions'!$B$2:$B$21),0))))</f>
        <v>22</v>
      </c>
      <c r="D2" cm="1">
        <f t="array" ref="D2:D19">_xlfn.BYROW($A2:INDEX($A:$A,COUNTA($A:$A)),_xlfn.LAMBDA(_xlpm.studentID,SUM(IFERROR(_xlfn.XLOOKUP(IF(_xlfn.XLOOKUP(D$1,'ST1 Questions'!$C$1:$H$1,
           'ST1 Questions'!$C$2:$H$21) = TRUE, TRANSPOSE( _xlfn.XLOOKUP(_xlpm.studentID,'ST1 Question Map'!$A$2:INDEX('ST1 Question Map'!$A:$A, COUNTA('ST1 Question Map'!$A:$A)),
           'ST1 Question Map'!$B$2:INDEX('ST1 Question Map'!$U:$U, COUNTA('ST1 Question Map'!$U:$U))))),'ST1 Questions'!$A$2:$A$21,
                    'ST1 Questions'!$B$2:$B$21),0))))</f>
        <v>17</v>
      </c>
      <c r="E2" cm="1">
        <f t="array" ref="E2:E19">_xlfn.BYROW($A2:INDEX($A:$A,COUNTA($A:$A)),_xlfn.LAMBDA(_xlpm.studentID,SUM(IFERROR(_xlfn.XLOOKUP(IF(_xlfn.XLOOKUP(E$1,'ST1 Questions'!$C$1:$H$1,
           'ST1 Questions'!$C$2:$H$21) = TRUE, TRANSPOSE( _xlfn.XLOOKUP(_xlpm.studentID,'ST1 Question Map'!$A$2:INDEX('ST1 Question Map'!$A:$A, COUNTA('ST1 Question Map'!$A:$A)),
           'ST1 Question Map'!$B$2:INDEX('ST1 Question Map'!$U:$U, COUNTA('ST1 Question Map'!$U:$U))))),'ST1 Questions'!$A$2:$A$21,
                    'ST1 Questions'!$B$2:$B$21),0))))</f>
        <v>22</v>
      </c>
      <c r="F2" cm="1">
        <f t="array" ref="F2:F19">_xlfn.BYROW($A2:INDEX($A:$A,COUNTA($A:$A)),_xlfn.LAMBDA(_xlpm.studentID,SUM(IFERROR(_xlfn.XLOOKUP(IF(_xlfn.XLOOKUP(F$1,'ST1 Questions'!$C$1:$H$1,
           'ST1 Questions'!$C$2:$H$21) = TRUE, TRANSPOSE( _xlfn.XLOOKUP(_xlpm.studentID,'ST1 Question Map'!$A$2:INDEX('ST1 Question Map'!$A:$A, COUNTA('ST1 Question Map'!$A:$A)),
           'ST1 Question Map'!$B$2:INDEX('ST1 Question Map'!$U:$U, COUNTA('ST1 Question Map'!$U:$U))))),'ST1 Questions'!$A$2:$A$21,
                    'ST1 Questions'!$B$2:$B$21),0))))</f>
        <v>0</v>
      </c>
      <c r="G2" cm="1">
        <f t="array" ref="G2:G19">_xlfn.BYROW($A2:INDEX($A:$A,COUNTA($A:$A)),_xlfn.LAMBDA(_xlpm.studentID,SUM(IFERROR(_xlfn.XLOOKUP(IF(_xlfn.XLOOKUP(G$1,'ST1 Questions'!$C$1:$H$1,
           'ST1 Questions'!$C$2:$H$21) = TRUE, TRANSPOSE( _xlfn.XLOOKUP(_xlpm.studentID,'ST1 Question Map'!$A$2:INDEX('ST1 Question Map'!$A:$A, COUNTA('ST1 Question Map'!$A:$A)),
           'ST1 Question Map'!$B$2:INDEX('ST1 Question Map'!$U:$U, COUNTA('ST1 Question Map'!$U:$U))))),'ST1 Questions'!$A$2:$A$21,
                    'ST1 Questions'!$B$2:$B$21),0))))</f>
        <v>15</v>
      </c>
    </row>
    <row r="3" spans="1:19" x14ac:dyDescent="0.3">
      <c r="A3">
        <v>2010992002</v>
      </c>
      <c r="B3">
        <v>36</v>
      </c>
      <c r="C3">
        <v>22</v>
      </c>
      <c r="D3">
        <v>17</v>
      </c>
      <c r="E3">
        <v>22</v>
      </c>
      <c r="F3">
        <v>0</v>
      </c>
      <c r="G3">
        <v>15</v>
      </c>
      <c r="S3" t="s">
        <v>0</v>
      </c>
    </row>
    <row r="4" spans="1:19" x14ac:dyDescent="0.3">
      <c r="A4">
        <v>2010992004</v>
      </c>
      <c r="B4">
        <v>40</v>
      </c>
      <c r="C4">
        <v>26</v>
      </c>
      <c r="D4">
        <v>17</v>
      </c>
      <c r="E4">
        <v>22</v>
      </c>
      <c r="F4">
        <v>2</v>
      </c>
      <c r="G4">
        <v>15</v>
      </c>
    </row>
    <row r="5" spans="1:19" x14ac:dyDescent="0.3">
      <c r="A5">
        <v>2010992005</v>
      </c>
      <c r="B5">
        <v>36</v>
      </c>
      <c r="C5">
        <v>22</v>
      </c>
      <c r="D5">
        <v>17</v>
      </c>
      <c r="E5">
        <v>22</v>
      </c>
      <c r="F5">
        <v>0</v>
      </c>
      <c r="G5">
        <v>15</v>
      </c>
      <c r="S5" t="s">
        <v>1</v>
      </c>
    </row>
    <row r="6" spans="1:19" x14ac:dyDescent="0.3">
      <c r="A6">
        <v>2010992006</v>
      </c>
      <c r="B6">
        <v>40</v>
      </c>
      <c r="C6">
        <v>26</v>
      </c>
      <c r="D6">
        <v>17</v>
      </c>
      <c r="E6">
        <v>22</v>
      </c>
      <c r="F6">
        <v>2</v>
      </c>
      <c r="G6">
        <v>15</v>
      </c>
    </row>
    <row r="7" spans="1:19" x14ac:dyDescent="0.3">
      <c r="A7">
        <v>2010992008</v>
      </c>
      <c r="B7">
        <v>40</v>
      </c>
      <c r="C7">
        <v>26</v>
      </c>
      <c r="D7">
        <v>17</v>
      </c>
      <c r="E7">
        <v>22</v>
      </c>
      <c r="F7">
        <v>2</v>
      </c>
      <c r="G7">
        <v>15</v>
      </c>
    </row>
    <row r="8" spans="1:19" x14ac:dyDescent="0.3">
      <c r="A8">
        <v>2010992009</v>
      </c>
      <c r="B8">
        <v>40</v>
      </c>
      <c r="C8">
        <v>26</v>
      </c>
      <c r="D8">
        <v>17</v>
      </c>
      <c r="E8">
        <v>22</v>
      </c>
      <c r="F8">
        <v>2</v>
      </c>
      <c r="G8">
        <v>15</v>
      </c>
    </row>
    <row r="9" spans="1:19" x14ac:dyDescent="0.3">
      <c r="A9">
        <v>2010992010</v>
      </c>
      <c r="B9">
        <v>40</v>
      </c>
      <c r="C9">
        <v>26</v>
      </c>
      <c r="D9">
        <v>17</v>
      </c>
      <c r="E9">
        <v>22</v>
      </c>
      <c r="F9">
        <v>2</v>
      </c>
      <c r="G9">
        <v>15</v>
      </c>
    </row>
    <row r="10" spans="1:19" x14ac:dyDescent="0.3">
      <c r="A10">
        <v>2010992011</v>
      </c>
      <c r="B10">
        <v>40</v>
      </c>
      <c r="C10">
        <v>26</v>
      </c>
      <c r="D10">
        <v>17</v>
      </c>
      <c r="E10">
        <v>22</v>
      </c>
      <c r="F10">
        <v>2</v>
      </c>
      <c r="G10">
        <v>15</v>
      </c>
    </row>
    <row r="11" spans="1:19" x14ac:dyDescent="0.3">
      <c r="A11">
        <v>2010992012</v>
      </c>
      <c r="B11">
        <v>40</v>
      </c>
      <c r="C11">
        <v>26</v>
      </c>
      <c r="D11">
        <v>17</v>
      </c>
      <c r="E11">
        <v>22</v>
      </c>
      <c r="F11">
        <v>2</v>
      </c>
      <c r="G11">
        <v>15</v>
      </c>
    </row>
    <row r="12" spans="1:19" x14ac:dyDescent="0.3">
      <c r="A12">
        <v>2010992014</v>
      </c>
      <c r="B12">
        <v>40</v>
      </c>
      <c r="C12">
        <v>26</v>
      </c>
      <c r="D12">
        <v>17</v>
      </c>
      <c r="E12">
        <v>22</v>
      </c>
      <c r="F12">
        <v>2</v>
      </c>
      <c r="G12">
        <v>15</v>
      </c>
    </row>
    <row r="13" spans="1:19" x14ac:dyDescent="0.3">
      <c r="A13">
        <v>2010992015</v>
      </c>
      <c r="B13">
        <v>35</v>
      </c>
      <c r="C13">
        <v>21</v>
      </c>
      <c r="D13">
        <v>17</v>
      </c>
      <c r="E13">
        <v>22</v>
      </c>
      <c r="F13">
        <v>2</v>
      </c>
      <c r="G13">
        <v>15</v>
      </c>
    </row>
    <row r="14" spans="1:19" x14ac:dyDescent="0.3">
      <c r="A14">
        <v>2010992016</v>
      </c>
      <c r="B14">
        <v>40</v>
      </c>
      <c r="C14">
        <v>26</v>
      </c>
      <c r="D14">
        <v>17</v>
      </c>
      <c r="E14">
        <v>22</v>
      </c>
      <c r="F14">
        <v>2</v>
      </c>
      <c r="G14">
        <v>15</v>
      </c>
    </row>
    <row r="15" spans="1:19" x14ac:dyDescent="0.3">
      <c r="A15">
        <v>2010992017</v>
      </c>
      <c r="B15">
        <v>40</v>
      </c>
      <c r="C15">
        <v>26</v>
      </c>
      <c r="D15">
        <v>17</v>
      </c>
      <c r="E15">
        <v>22</v>
      </c>
      <c r="F15">
        <v>2</v>
      </c>
      <c r="G15">
        <v>15</v>
      </c>
    </row>
    <row r="16" spans="1:19" x14ac:dyDescent="0.3">
      <c r="A16">
        <v>2010992018</v>
      </c>
      <c r="B16">
        <v>40</v>
      </c>
      <c r="C16">
        <v>26</v>
      </c>
      <c r="D16">
        <v>17</v>
      </c>
      <c r="E16">
        <v>22</v>
      </c>
      <c r="F16">
        <v>2</v>
      </c>
      <c r="G16">
        <v>15</v>
      </c>
    </row>
    <row r="17" spans="1:7" x14ac:dyDescent="0.3">
      <c r="A17">
        <v>2010992019</v>
      </c>
      <c r="B17">
        <v>40</v>
      </c>
      <c r="C17">
        <v>26</v>
      </c>
      <c r="D17">
        <v>17</v>
      </c>
      <c r="E17">
        <v>22</v>
      </c>
      <c r="F17">
        <v>2</v>
      </c>
      <c r="G17">
        <v>15</v>
      </c>
    </row>
    <row r="18" spans="1:7" x14ac:dyDescent="0.3">
      <c r="A18">
        <v>2010992163</v>
      </c>
      <c r="B18">
        <v>40</v>
      </c>
      <c r="C18">
        <v>26</v>
      </c>
      <c r="D18">
        <v>17</v>
      </c>
      <c r="E18">
        <v>22</v>
      </c>
      <c r="F18">
        <v>2</v>
      </c>
      <c r="G18">
        <v>15</v>
      </c>
    </row>
    <row r="19" spans="1:7" x14ac:dyDescent="0.3">
      <c r="A19">
        <v>2010992202</v>
      </c>
      <c r="B19">
        <v>40</v>
      </c>
      <c r="C19">
        <v>26</v>
      </c>
      <c r="D19">
        <v>17</v>
      </c>
      <c r="E19">
        <v>22</v>
      </c>
      <c r="F19">
        <v>2</v>
      </c>
      <c r="G19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E1EA-83F6-4159-ADC6-88C2EB4ABB85}">
  <sheetPr codeName="Sheet6"/>
  <dimension ref="A1:N19"/>
  <sheetViews>
    <sheetView zoomScaleNormal="100"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14" x14ac:dyDescent="0.3">
      <c r="A1" t="str" cm="1">
        <f t="array" ref="A1:A19">INDEX('ST1 Result'!B:B, 1):INDEX('ST1 Result'!B:B, COUNTA('ST1 Result'!B:B))</f>
        <v>Admission No. (Roll No.)</v>
      </c>
      <c r="B1" t="str" cm="1">
        <f t="array" ref="B1:G1">'ST1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4" x14ac:dyDescent="0.3">
      <c r="A2">
        <v>2010990089</v>
      </c>
      <c r="B2" cm="1">
        <f t="array" ref="B2:B19">_xlfn.BYROW($A2:INDEX($A:$A,COUNTA($A:$A)),_xlfn.LAMBDA(_xlpm.studentID,SUM(IFERROR(_xlfn.XLOOKUP(IF(_xlfn.XLOOKUP(B$1,'ST1 Questions'!$C$1:$H$1,'ST1 Questions'!$C$2:$H$24)=TRUE,TRANSPOSE(_xlfn.XLOOKUP(_xlpm.studentID,'ST1 Question Map'!$A$2:INDEX('ST1 Question Map'!$A:$A,COUNTA('ST1 Question Map'!$A:$A)),
'ST1 Question Map'!$B$2:INDEX('ST1 Question Map'!$U:$U,COUNTA('ST1 Question Map'!$U:$U))))),'ST1 Student Marks'!$B$1:$U$1,_xlfn.XLOOKUP(
_xlpm.studentID,'ST1 Student Marks'!$A$1:INDEX('ST1 Student Marks'!$A:$A,COUNTA('ST1 Student Marks'!$A:$A)),'ST1 Student Marks'!$B$1:INDEX('ST1 Student Marks'!$U:$U,COUNTA('ST1 Student Marks'!$U:$U)))),0))))</f>
        <v>14</v>
      </c>
      <c r="C2" cm="1">
        <f t="array" ref="C2:C19">_xlfn.BYROW($A2:INDEX($A:$A,COUNTA($A:$A)),_xlfn.LAMBDA(_xlpm.studentID,SUM(IFERROR(_xlfn.XLOOKUP(IF(_xlfn.XLOOKUP(C$1,'ST1 Questions'!$C$1:$H$1,'ST1 Questions'!$C$2:$H$24)=TRUE,TRANSPOSE(_xlfn.XLOOKUP(_xlpm.studentID,'ST1 Question Map'!$A$2:INDEX('ST1 Question Map'!$A:$A,COUNTA('ST1 Question Map'!$A:$A)),
'ST1 Question Map'!$B$2:INDEX('ST1 Question Map'!$U:$U,COUNTA('ST1 Question Map'!$U:$U))))),'ST1 Student Marks'!$B$1:$U$1,_xlfn.XLOOKUP(
_xlpm.studentID,'ST1 Student Marks'!$A$1:INDEX('ST1 Student Marks'!$A:$A,COUNTA('ST1 Student Marks'!$A:$A)),'ST1 Student Marks'!$B$1:INDEX('ST1 Student Marks'!$U:$U,COUNTA('ST1 Student Marks'!$U:$U)))),0))))</f>
        <v>8</v>
      </c>
      <c r="D2" cm="1">
        <f t="array" ref="D2:D19">_xlfn.BYROW($A2:INDEX($A:$A,COUNTA($A:$A)),_xlfn.LAMBDA(_xlpm.studentID,SUM(IFERROR(_xlfn.XLOOKUP(IF(_xlfn.XLOOKUP(D$1,'ST1 Questions'!$C$1:$H$1,'ST1 Questions'!$C$2:$H$24)=TRUE,TRANSPOSE(_xlfn.XLOOKUP(_xlpm.studentID,'ST1 Question Map'!$A$2:INDEX('ST1 Question Map'!$A:$A,COUNTA('ST1 Question Map'!$A:$A)),
'ST1 Question Map'!$B$2:INDEX('ST1 Question Map'!$U:$U,COUNTA('ST1 Question Map'!$U:$U))))),'ST1 Student Marks'!$B$1:$U$1,_xlfn.XLOOKUP(
_xlpm.studentID,'ST1 Student Marks'!$A$1:INDEX('ST1 Student Marks'!$A:$A,COUNTA('ST1 Student Marks'!$A:$A)),'ST1 Student Marks'!$B$1:INDEX('ST1 Student Marks'!$U:$U,COUNTA('ST1 Student Marks'!$U:$U)))),0))))</f>
        <v>6</v>
      </c>
      <c r="E2" cm="1">
        <f t="array" ref="E2:E19">_xlfn.BYROW($A2:INDEX($A:$A,COUNTA($A:$A)),_xlfn.LAMBDA(_xlpm.studentID,SUM(IFERROR(_xlfn.XLOOKUP(IF(_xlfn.XLOOKUP(E$1,'ST1 Questions'!$C$1:$H$1,'ST1 Questions'!$C$2:$H$24)=TRUE,TRANSPOSE(_xlfn.XLOOKUP(_xlpm.studentID,'ST1 Question Map'!$A$2:INDEX('ST1 Question Map'!$A:$A,COUNTA('ST1 Question Map'!$A:$A)),
'ST1 Question Map'!$B$2:INDEX('ST1 Question Map'!$U:$U,COUNTA('ST1 Question Map'!$U:$U))))),'ST1 Student Marks'!$B$1:$U$1,_xlfn.XLOOKUP(
_xlpm.studentID,'ST1 Student Marks'!$A$1:INDEX('ST1 Student Marks'!$A:$A,COUNTA('ST1 Student Marks'!$A:$A)),'ST1 Student Marks'!$B$1:INDEX('ST1 Student Marks'!$U:$U,COUNTA('ST1 Student Marks'!$U:$U)))),0))))</f>
        <v>10</v>
      </c>
      <c r="F2" cm="1">
        <f t="array" ref="F2:F19">_xlfn.BYROW($A2:INDEX($A:$A,COUNTA($A:$A)),_xlfn.LAMBDA(_xlpm.studentID,SUM(IFERROR(_xlfn.XLOOKUP(IF(_xlfn.XLOOKUP(F$1,'ST1 Questions'!$C$1:$H$1,'ST1 Questions'!$C$2:$H$24)=TRUE,TRANSPOSE(_xlfn.XLOOKUP(_xlpm.studentID,'ST1 Question Map'!$A$2:INDEX('ST1 Question Map'!$A:$A,COUNTA('ST1 Question Map'!$A:$A)),
'ST1 Question Map'!$B$2:INDEX('ST1 Question Map'!$U:$U,COUNTA('ST1 Question Map'!$U:$U))))),'ST1 Student Marks'!$B$1:$U$1,_xlfn.XLOOKUP(
_xlpm.studentID,'ST1 Student Marks'!$A$1:INDEX('ST1 Student Marks'!$A:$A,COUNTA('ST1 Student Marks'!$A:$A)),'ST1 Student Marks'!$B$1:INDEX('ST1 Student Marks'!$U:$U,COUNTA('ST1 Student Marks'!$U:$U)))),0))))</f>
        <v>0</v>
      </c>
      <c r="G2" cm="1">
        <f t="array" ref="G2:G19">_xlfn.BYROW($A2:INDEX($A:$A,COUNTA($A:$A)),_xlfn.LAMBDA(_xlpm.studentID,SUM(IFERROR(_xlfn.XLOOKUP(IF(_xlfn.XLOOKUP(G$1,'ST1 Questions'!$C$1:$H$1,'ST1 Questions'!$C$2:$H$24)=TRUE,TRANSPOSE(_xlfn.XLOOKUP(_xlpm.studentID,'ST1 Question Map'!$A$2:INDEX('ST1 Question Map'!$A:$A,COUNTA('ST1 Question Map'!$A:$A)),
'ST1 Question Map'!$B$2:INDEX('ST1 Question Map'!$U:$U,COUNTA('ST1 Question Map'!$U:$U))))),'ST1 Student Marks'!$B$1:$U$1,_xlfn.XLOOKUP(
_xlpm.studentID,'ST1 Student Marks'!$A$1:INDEX('ST1 Student Marks'!$A:$A,COUNTA('ST1 Student Marks'!$A:$A)),'ST1 Student Marks'!$B$1:INDEX('ST1 Student Marks'!$U:$U,COUNTA('ST1 Student Marks'!$U:$U)))),0))))</f>
        <v>8</v>
      </c>
    </row>
    <row r="3" spans="1:14" x14ac:dyDescent="0.3">
      <c r="A3">
        <v>2010992002</v>
      </c>
      <c r="B3">
        <v>34</v>
      </c>
      <c r="C3">
        <v>21</v>
      </c>
      <c r="D3">
        <v>17</v>
      </c>
      <c r="E3">
        <v>20</v>
      </c>
      <c r="F3">
        <v>0</v>
      </c>
      <c r="G3">
        <v>14</v>
      </c>
    </row>
    <row r="4" spans="1:14" ht="14.7" customHeight="1" x14ac:dyDescent="0.3">
      <c r="A4">
        <v>2010992004</v>
      </c>
      <c r="B4">
        <v>28</v>
      </c>
      <c r="C4">
        <v>18</v>
      </c>
      <c r="D4">
        <v>12</v>
      </c>
      <c r="E4">
        <v>15</v>
      </c>
      <c r="F4">
        <v>2</v>
      </c>
      <c r="G4">
        <v>10</v>
      </c>
      <c r="N4" s="1"/>
    </row>
    <row r="5" spans="1:14" x14ac:dyDescent="0.3">
      <c r="A5">
        <v>2010992005</v>
      </c>
      <c r="B5">
        <v>25</v>
      </c>
      <c r="C5">
        <v>16</v>
      </c>
      <c r="D5">
        <v>13</v>
      </c>
      <c r="E5">
        <v>16</v>
      </c>
      <c r="F5">
        <v>0</v>
      </c>
      <c r="G5">
        <v>11</v>
      </c>
    </row>
    <row r="6" spans="1:14" x14ac:dyDescent="0.3">
      <c r="A6">
        <v>2010992006</v>
      </c>
      <c r="B6">
        <v>28</v>
      </c>
      <c r="C6">
        <v>18</v>
      </c>
      <c r="D6">
        <v>12</v>
      </c>
      <c r="E6">
        <v>15</v>
      </c>
      <c r="F6">
        <v>2</v>
      </c>
      <c r="G6">
        <v>10</v>
      </c>
    </row>
    <row r="7" spans="1:14" x14ac:dyDescent="0.3">
      <c r="A7">
        <v>2010992008</v>
      </c>
      <c r="B7">
        <v>29</v>
      </c>
      <c r="C7">
        <v>19</v>
      </c>
      <c r="D7">
        <v>12</v>
      </c>
      <c r="E7">
        <v>16</v>
      </c>
      <c r="F7">
        <v>2</v>
      </c>
      <c r="G7">
        <v>11</v>
      </c>
    </row>
    <row r="8" spans="1:14" x14ac:dyDescent="0.3">
      <c r="A8">
        <v>2010992009</v>
      </c>
      <c r="B8">
        <v>28</v>
      </c>
      <c r="C8">
        <v>18</v>
      </c>
      <c r="D8">
        <v>14</v>
      </c>
      <c r="E8">
        <v>16</v>
      </c>
      <c r="F8">
        <v>1</v>
      </c>
      <c r="G8">
        <v>11</v>
      </c>
    </row>
    <row r="9" spans="1:14" x14ac:dyDescent="0.3">
      <c r="A9">
        <v>2010992010</v>
      </c>
      <c r="B9">
        <v>29</v>
      </c>
      <c r="C9">
        <v>19</v>
      </c>
      <c r="D9">
        <v>13</v>
      </c>
      <c r="E9">
        <v>17</v>
      </c>
      <c r="F9">
        <v>1</v>
      </c>
      <c r="G9">
        <v>12</v>
      </c>
    </row>
    <row r="10" spans="1:14" x14ac:dyDescent="0.3">
      <c r="A10">
        <v>2010992011</v>
      </c>
      <c r="B10">
        <v>28</v>
      </c>
      <c r="C10">
        <v>19</v>
      </c>
      <c r="D10">
        <v>12</v>
      </c>
      <c r="E10">
        <v>17</v>
      </c>
      <c r="F10">
        <v>1</v>
      </c>
      <c r="G10">
        <v>12</v>
      </c>
    </row>
    <row r="11" spans="1:14" x14ac:dyDescent="0.3">
      <c r="A11">
        <v>2010992012</v>
      </c>
      <c r="B11">
        <v>26</v>
      </c>
      <c r="C11">
        <v>17</v>
      </c>
      <c r="D11">
        <v>10</v>
      </c>
      <c r="E11">
        <v>15</v>
      </c>
      <c r="F11">
        <v>1</v>
      </c>
      <c r="G11">
        <v>10</v>
      </c>
    </row>
    <row r="12" spans="1:14" x14ac:dyDescent="0.3">
      <c r="A12">
        <v>2010992014</v>
      </c>
      <c r="B12">
        <v>29</v>
      </c>
      <c r="C12">
        <v>19</v>
      </c>
      <c r="D12">
        <v>13</v>
      </c>
      <c r="E12">
        <v>17</v>
      </c>
      <c r="F12">
        <v>1</v>
      </c>
      <c r="G12">
        <v>12</v>
      </c>
    </row>
    <row r="13" spans="1:14" x14ac:dyDescent="0.3">
      <c r="A13">
        <v>2010992015</v>
      </c>
      <c r="B13">
        <v>23</v>
      </c>
      <c r="C13">
        <v>14</v>
      </c>
      <c r="D13">
        <v>12</v>
      </c>
      <c r="E13">
        <v>15</v>
      </c>
      <c r="F13">
        <v>1</v>
      </c>
      <c r="G13">
        <v>10</v>
      </c>
    </row>
    <row r="14" spans="1:14" x14ac:dyDescent="0.3">
      <c r="A14">
        <v>2010992016</v>
      </c>
      <c r="B14">
        <v>21</v>
      </c>
      <c r="C14">
        <v>15</v>
      </c>
      <c r="D14">
        <v>8</v>
      </c>
      <c r="E14">
        <v>11</v>
      </c>
      <c r="F14">
        <v>1</v>
      </c>
      <c r="G14">
        <v>7</v>
      </c>
    </row>
    <row r="15" spans="1:14" x14ac:dyDescent="0.3">
      <c r="A15">
        <v>2010992017</v>
      </c>
      <c r="B15">
        <v>31</v>
      </c>
      <c r="C15">
        <v>20</v>
      </c>
      <c r="D15">
        <v>13</v>
      </c>
      <c r="E15">
        <v>17</v>
      </c>
      <c r="F15">
        <v>2</v>
      </c>
      <c r="G15">
        <v>12</v>
      </c>
    </row>
    <row r="16" spans="1:14" x14ac:dyDescent="0.3">
      <c r="A16">
        <v>2010992018</v>
      </c>
      <c r="B16">
        <v>26</v>
      </c>
      <c r="C16">
        <v>17</v>
      </c>
      <c r="D16">
        <v>13</v>
      </c>
      <c r="E16">
        <v>16</v>
      </c>
      <c r="F16">
        <v>1</v>
      </c>
      <c r="G16">
        <v>11</v>
      </c>
    </row>
    <row r="17" spans="1:7" x14ac:dyDescent="0.3">
      <c r="A17">
        <v>2010992019</v>
      </c>
      <c r="B17">
        <v>22</v>
      </c>
      <c r="C17">
        <v>13</v>
      </c>
      <c r="D17">
        <v>9</v>
      </c>
      <c r="E17">
        <v>13</v>
      </c>
      <c r="F17">
        <v>1</v>
      </c>
      <c r="G17">
        <v>9</v>
      </c>
    </row>
    <row r="18" spans="1:7" x14ac:dyDescent="0.3">
      <c r="A18">
        <v>2010992163</v>
      </c>
      <c r="B18">
        <v>31</v>
      </c>
      <c r="C18">
        <v>21</v>
      </c>
      <c r="D18">
        <v>14</v>
      </c>
      <c r="E18">
        <v>18</v>
      </c>
      <c r="F18">
        <v>2</v>
      </c>
      <c r="G18">
        <v>13</v>
      </c>
    </row>
    <row r="19" spans="1:7" x14ac:dyDescent="0.3">
      <c r="A19">
        <v>2010992202</v>
      </c>
      <c r="B19">
        <v>30</v>
      </c>
      <c r="C19">
        <v>20</v>
      </c>
      <c r="D19">
        <v>13</v>
      </c>
      <c r="E19">
        <v>17</v>
      </c>
      <c r="F19">
        <v>2</v>
      </c>
      <c r="G19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655E-8B4A-4798-A6F6-4844302B08EE}">
  <sheetPr codeName="Sheet7"/>
  <dimension ref="A1:G19"/>
  <sheetViews>
    <sheetView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INDEX('ST1 Result'!B:B, 1):INDEX('ST1 Result'!B:B, COUNTA('ST1 Result'!B:B))</f>
        <v>Admission No. (Roll No.)</v>
      </c>
      <c r="B1" t="str" cm="1">
        <f t="array" ref="B1:G1">'ST1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_xlfn.BYROW($A2:INDEX($A:$A,COUNTA($A:$A)),_xlfn.LAMBDA(_xlpm.studentID,IFERROR(_xlfn.XLOOKUP(_xlpm.studentID,'ST1 Student Attained CO Score'!$A:$A,
     'ST1 Student Attained CO Score'!B:B) /
 _xlfn.XLOOKUP(_xlpm.studentID,'ST1 Student MO CO Score'!$A:$A,'ST1 Student MO CO Score'!B:B)*100,
 "NA")))</f>
        <v>38.888888888888893</v>
      </c>
      <c r="C2" cm="1">
        <f t="array" ref="C2:C19">_xlfn.BYROW($A2:INDEX($A:$A,COUNTA($A:$A)),_xlfn.LAMBDA(_xlpm.studentID,IFERROR(_xlfn.XLOOKUP(_xlpm.studentID,'ST1 Student Attained CO Score'!$A:$A,
     'ST1 Student Attained CO Score'!C:C) /
 _xlfn.XLOOKUP(_xlpm.studentID,'ST1 Student MO CO Score'!$A:$A,'ST1 Student MO CO Score'!C:C)*100,
 "NA")))</f>
        <v>36.363636363636367</v>
      </c>
      <c r="D2" cm="1">
        <f t="array" ref="D2:D19">_xlfn.BYROW($A2:INDEX($A:$A,COUNTA($A:$A)),_xlfn.LAMBDA(_xlpm.studentID,IFERROR(_xlfn.XLOOKUP(_xlpm.studentID,'ST1 Student Attained CO Score'!$A:$A,
     'ST1 Student Attained CO Score'!D:D) /
 _xlfn.XLOOKUP(_xlpm.studentID,'ST1 Student MO CO Score'!$A:$A,'ST1 Student MO CO Score'!D:D)*100,
 "NA")))</f>
        <v>35.294117647058826</v>
      </c>
      <c r="E2" cm="1">
        <f t="array" ref="E2:E19">_xlfn.BYROW($A2:INDEX($A:$A,COUNTA($A:$A)),_xlfn.LAMBDA(_xlpm.studentID,IFERROR(_xlfn.XLOOKUP(_xlpm.studentID,'ST1 Student Attained CO Score'!$A:$A,
     'ST1 Student Attained CO Score'!E:E) /
 _xlfn.XLOOKUP(_xlpm.studentID,'ST1 Student MO CO Score'!$A:$A,'ST1 Student MO CO Score'!E:E)*100,
 "NA")))</f>
        <v>45.454545454545453</v>
      </c>
      <c r="F2" t="str" cm="1">
        <f t="array" ref="F2:F19">_xlfn.BYROW($A2:INDEX($A:$A,COUNTA($A:$A)),_xlfn.LAMBDA(_xlpm.studentID,IFERROR(_xlfn.XLOOKUP(_xlpm.studentID,'ST1 Student Attained CO Score'!$A:$A,
     'ST1 Student Attained CO Score'!F:F) /
 _xlfn.XLOOKUP(_xlpm.studentID,'ST1 Student MO CO Score'!$A:$A,'ST1 Student MO CO Score'!F:F)*100,
 "NA")))</f>
        <v>NA</v>
      </c>
      <c r="G2" cm="1">
        <f t="array" ref="G2:G19">_xlfn.BYROW($A2:INDEX($A:$A,COUNTA($A:$A)),_xlfn.LAMBDA(_xlpm.studentID,IFERROR(_xlfn.XLOOKUP(_xlpm.studentID,'ST1 Student Attained CO Score'!$A:$A,
     'ST1 Student Attained CO Score'!G:G) /
 _xlfn.XLOOKUP(_xlpm.studentID,'ST1 Student MO CO Score'!$A:$A,'ST1 Student MO CO Score'!G:G)*100,
 "NA")))</f>
        <v>53.333333333333336</v>
      </c>
    </row>
    <row r="3" spans="1:7" x14ac:dyDescent="0.3">
      <c r="A3">
        <v>2010992002</v>
      </c>
      <c r="B3">
        <v>94.444444444444443</v>
      </c>
      <c r="C3">
        <v>95.454545454545453</v>
      </c>
      <c r="D3">
        <v>100</v>
      </c>
      <c r="E3">
        <v>90.909090909090907</v>
      </c>
      <c r="F3" t="str">
        <v>NA</v>
      </c>
      <c r="G3">
        <v>93.333333333333329</v>
      </c>
    </row>
    <row r="4" spans="1:7" x14ac:dyDescent="0.3">
      <c r="A4">
        <v>2010992004</v>
      </c>
      <c r="B4">
        <v>70</v>
      </c>
      <c r="C4">
        <v>69.230769230769226</v>
      </c>
      <c r="D4">
        <v>70.588235294117652</v>
      </c>
      <c r="E4">
        <v>68.181818181818173</v>
      </c>
      <c r="F4">
        <v>100</v>
      </c>
      <c r="G4">
        <v>66.666666666666657</v>
      </c>
    </row>
    <row r="5" spans="1:7" x14ac:dyDescent="0.3">
      <c r="A5">
        <v>2010992005</v>
      </c>
      <c r="B5">
        <v>69.444444444444443</v>
      </c>
      <c r="C5">
        <v>72.727272727272734</v>
      </c>
      <c r="D5">
        <v>76.470588235294116</v>
      </c>
      <c r="E5">
        <v>72.727272727272734</v>
      </c>
      <c r="F5" t="str">
        <v>NA</v>
      </c>
      <c r="G5">
        <v>73.333333333333329</v>
      </c>
    </row>
    <row r="6" spans="1:7" x14ac:dyDescent="0.3">
      <c r="A6">
        <v>2010992006</v>
      </c>
      <c r="B6">
        <v>70</v>
      </c>
      <c r="C6">
        <v>69.230769230769226</v>
      </c>
      <c r="D6">
        <v>70.588235294117652</v>
      </c>
      <c r="E6">
        <v>68.181818181818173</v>
      </c>
      <c r="F6">
        <v>100</v>
      </c>
      <c r="G6">
        <v>66.666666666666657</v>
      </c>
    </row>
    <row r="7" spans="1:7" x14ac:dyDescent="0.3">
      <c r="A7">
        <v>2010992008</v>
      </c>
      <c r="B7">
        <v>72.5</v>
      </c>
      <c r="C7">
        <v>73.076923076923066</v>
      </c>
      <c r="D7">
        <v>70.588235294117652</v>
      </c>
      <c r="E7">
        <v>72.727272727272734</v>
      </c>
      <c r="F7">
        <v>100</v>
      </c>
      <c r="G7">
        <v>73.333333333333329</v>
      </c>
    </row>
    <row r="8" spans="1:7" x14ac:dyDescent="0.3">
      <c r="A8">
        <v>2010992009</v>
      </c>
      <c r="B8">
        <v>70</v>
      </c>
      <c r="C8">
        <v>69.230769230769226</v>
      </c>
      <c r="D8">
        <v>82.35294117647058</v>
      </c>
      <c r="E8">
        <v>72.727272727272734</v>
      </c>
      <c r="F8">
        <v>50</v>
      </c>
      <c r="G8">
        <v>73.333333333333329</v>
      </c>
    </row>
    <row r="9" spans="1:7" x14ac:dyDescent="0.3">
      <c r="A9">
        <v>2010992010</v>
      </c>
      <c r="B9">
        <v>72.5</v>
      </c>
      <c r="C9">
        <v>73.076923076923066</v>
      </c>
      <c r="D9">
        <v>76.470588235294116</v>
      </c>
      <c r="E9">
        <v>77.272727272727266</v>
      </c>
      <c r="F9">
        <v>50</v>
      </c>
      <c r="G9">
        <v>80</v>
      </c>
    </row>
    <row r="10" spans="1:7" x14ac:dyDescent="0.3">
      <c r="A10">
        <v>2010992011</v>
      </c>
      <c r="B10">
        <v>70</v>
      </c>
      <c r="C10">
        <v>73.076923076923066</v>
      </c>
      <c r="D10">
        <v>70.588235294117652</v>
      </c>
      <c r="E10">
        <v>77.272727272727266</v>
      </c>
      <c r="F10">
        <v>50</v>
      </c>
      <c r="G10">
        <v>80</v>
      </c>
    </row>
    <row r="11" spans="1:7" x14ac:dyDescent="0.3">
      <c r="A11">
        <v>2010992012</v>
      </c>
      <c r="B11">
        <v>65</v>
      </c>
      <c r="C11">
        <v>65.384615384615387</v>
      </c>
      <c r="D11">
        <v>58.82352941176471</v>
      </c>
      <c r="E11">
        <v>68.181818181818173</v>
      </c>
      <c r="F11">
        <v>50</v>
      </c>
      <c r="G11">
        <v>66.666666666666657</v>
      </c>
    </row>
    <row r="12" spans="1:7" x14ac:dyDescent="0.3">
      <c r="A12">
        <v>2010992014</v>
      </c>
      <c r="B12">
        <v>72.5</v>
      </c>
      <c r="C12">
        <v>73.076923076923066</v>
      </c>
      <c r="D12">
        <v>76.470588235294116</v>
      </c>
      <c r="E12">
        <v>77.272727272727266</v>
      </c>
      <c r="F12">
        <v>50</v>
      </c>
      <c r="G12">
        <v>80</v>
      </c>
    </row>
    <row r="13" spans="1:7" x14ac:dyDescent="0.3">
      <c r="A13">
        <v>2010992015</v>
      </c>
      <c r="B13">
        <v>65.714285714285708</v>
      </c>
      <c r="C13">
        <v>66.666666666666657</v>
      </c>
      <c r="D13">
        <v>70.588235294117652</v>
      </c>
      <c r="E13">
        <v>68.181818181818173</v>
      </c>
      <c r="F13">
        <v>50</v>
      </c>
      <c r="G13">
        <v>66.666666666666657</v>
      </c>
    </row>
    <row r="14" spans="1:7" x14ac:dyDescent="0.3">
      <c r="A14">
        <v>2010992016</v>
      </c>
      <c r="B14">
        <v>52.5</v>
      </c>
      <c r="C14">
        <v>57.692307692307686</v>
      </c>
      <c r="D14">
        <v>47.058823529411761</v>
      </c>
      <c r="E14">
        <v>50</v>
      </c>
      <c r="F14">
        <v>50</v>
      </c>
      <c r="G14">
        <v>46.666666666666664</v>
      </c>
    </row>
    <row r="15" spans="1:7" x14ac:dyDescent="0.3">
      <c r="A15">
        <v>2010992017</v>
      </c>
      <c r="B15">
        <v>77.5</v>
      </c>
      <c r="C15">
        <v>76.923076923076934</v>
      </c>
      <c r="D15">
        <v>76.470588235294116</v>
      </c>
      <c r="E15">
        <v>77.272727272727266</v>
      </c>
      <c r="F15">
        <v>100</v>
      </c>
      <c r="G15">
        <v>80</v>
      </c>
    </row>
    <row r="16" spans="1:7" x14ac:dyDescent="0.3">
      <c r="A16">
        <v>2010992018</v>
      </c>
      <c r="B16">
        <v>65</v>
      </c>
      <c r="C16">
        <v>65.384615384615387</v>
      </c>
      <c r="D16">
        <v>76.470588235294116</v>
      </c>
      <c r="E16">
        <v>72.727272727272734</v>
      </c>
      <c r="F16">
        <v>50</v>
      </c>
      <c r="G16">
        <v>73.333333333333329</v>
      </c>
    </row>
    <row r="17" spans="1:7" x14ac:dyDescent="0.3">
      <c r="A17">
        <v>2010992019</v>
      </c>
      <c r="B17">
        <v>55.000000000000007</v>
      </c>
      <c r="C17">
        <v>50</v>
      </c>
      <c r="D17">
        <v>52.941176470588239</v>
      </c>
      <c r="E17">
        <v>59.090909090909093</v>
      </c>
      <c r="F17">
        <v>50</v>
      </c>
      <c r="G17">
        <v>60</v>
      </c>
    </row>
    <row r="18" spans="1:7" x14ac:dyDescent="0.3">
      <c r="A18">
        <v>2010992163</v>
      </c>
      <c r="B18">
        <v>77.5</v>
      </c>
      <c r="C18">
        <v>80.769230769230774</v>
      </c>
      <c r="D18">
        <v>82.35294117647058</v>
      </c>
      <c r="E18">
        <v>81.818181818181827</v>
      </c>
      <c r="F18">
        <v>100</v>
      </c>
      <c r="G18">
        <v>86.666666666666671</v>
      </c>
    </row>
    <row r="19" spans="1:7" x14ac:dyDescent="0.3">
      <c r="A19">
        <v>2010992202</v>
      </c>
      <c r="B19">
        <v>75</v>
      </c>
      <c r="C19">
        <v>76.923076923076934</v>
      </c>
      <c r="D19">
        <v>76.470588235294116</v>
      </c>
      <c r="E19">
        <v>77.272727272727266</v>
      </c>
      <c r="F19">
        <v>100</v>
      </c>
      <c r="G19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5ADD-D797-421C-A80B-7B170013AFE0}">
  <sheetPr codeName="Sheet8"/>
  <dimension ref="A1:G19"/>
  <sheetViews>
    <sheetView workbookViewId="0">
      <selection activeCell="G2" sqref="G2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INDEX('ST1 Result'!B:B, 1):INDEX('ST1 Result'!B:B, COUNTA('ST1 Result'!B:B) )</f>
        <v>Admission No. (Roll No.)</v>
      </c>
      <c r="B1" t="str" cm="1">
        <f t="array" ref="B1:G1">'ST1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_xlfn.BYROW('ST1 Student Attainment percent'!B2:INDEX('ST1 Student Attainment percent'!B:B,COUNTA('ST1 Student Attainment percent'!B:B)),_xlfn.LAMBDA(_xlpm.score,_xlfn.IFS(_xlpm.score="NA","NA",_xlpm.score&gt;'OBE Data'!$B$2-1,3,_xlpm.score&gt;'OBE Data'!$B$3-1,2,_xlpm.score&gt;'OBE Data'!$B$4-1,1,_xlpm.score&lt;'OBE Data'!$B$4,0)))</f>
        <v>0</v>
      </c>
      <c r="C2" cm="1">
        <f t="array" ref="C2:C19">_xlfn.BYROW('ST1 Student Attainment percent'!C2:INDEX('ST1 Student Attainment percent'!C:C,COUNTA('ST1 Student Attainment percent'!C:C)),_xlfn.LAMBDA(_xlpm.score,_xlfn.IFS(_xlpm.score="NA","NA",_xlpm.score&gt;'OBE Data'!$B$2-1,3,_xlpm.score&gt;'OBE Data'!$B$3-1,2,_xlpm.score&gt;'OBE Data'!$B$4-1,1,_xlpm.score&lt;'OBE Data'!$B$4,0)))</f>
        <v>0</v>
      </c>
      <c r="D2" cm="1">
        <f t="array" ref="D2:D19">_xlfn.BYROW('ST1 Student Attainment percent'!D2:INDEX('ST1 Student Attainment percent'!D:D,COUNTA('ST1 Student Attainment percent'!D:D)),_xlfn.LAMBDA(_xlpm.score,_xlfn.IFS(_xlpm.score="NA","NA",_xlpm.score&gt;'OBE Data'!$B$2-1,3,_xlpm.score&gt;'OBE Data'!$B$3-1,2,_xlpm.score&gt;'OBE Data'!$B$4-1,1,_xlpm.score&lt;'OBE Data'!$B$4,0)))</f>
        <v>0</v>
      </c>
      <c r="E2" cm="1">
        <f t="array" ref="E2:E19">_xlfn.BYROW('ST1 Student Attainment percent'!E2:INDEX('ST1 Student Attainment percent'!E:E,COUNTA('ST1 Student Attainment percent'!E:E)),_xlfn.LAMBDA(_xlpm.score,_xlfn.IFS(_xlpm.score="NA","NA",_xlpm.score&gt;'OBE Data'!$B$2-1,3,_xlpm.score&gt;'OBE Data'!$B$3-1,2,_xlpm.score&gt;'OBE Data'!$B$4-1,1,_xlpm.score&lt;'OBE Data'!$B$4,0)))</f>
        <v>0</v>
      </c>
      <c r="F2" t="str" cm="1">
        <f t="array" ref="F2:F19">_xlfn.BYROW('ST1 Student Attainment percent'!F2:INDEX('ST1 Student Attainment percent'!F:F,COUNTA('ST1 Student Attainment percent'!F:F)),_xlfn.LAMBDA(_xlpm.score,_xlfn.IFS(_xlpm.score="NA","NA",_xlpm.score&gt;'OBE Data'!$B$2-1,3,_xlpm.score&gt;'OBE Data'!$B$3-1,2,_xlpm.score&gt;'OBE Data'!$B$4-1,1,_xlpm.score&lt;'OBE Data'!$B$4,0)))</f>
        <v>NA</v>
      </c>
      <c r="G2" cm="1">
        <f t="array" ref="G2:G19">_xlfn.BYROW('ST1 Student Attainment percent'!G2:INDEX('ST1 Student Attainment percent'!G:G,COUNTA('ST1 Student Attainment percent'!G:G)),_xlfn.LAMBDA(_xlpm.score,_xlfn.IFS(_xlpm.score="NA","NA",_xlpm.score&gt;'OBE Data'!$B$2-1,3,_xlpm.score&gt;'OBE Data'!$B$3-1,2,_xlpm.score&gt;'OBE Data'!$B$4-1,1,_xlpm.score&lt;'OBE Data'!$B$4,0)))</f>
        <v>0</v>
      </c>
    </row>
    <row r="3" spans="1:7" x14ac:dyDescent="0.3">
      <c r="A3">
        <v>2010992002</v>
      </c>
      <c r="B3">
        <v>3</v>
      </c>
      <c r="C3">
        <v>3</v>
      </c>
      <c r="D3">
        <v>3</v>
      </c>
      <c r="E3">
        <v>3</v>
      </c>
      <c r="F3" t="str">
        <v>NA</v>
      </c>
      <c r="G3">
        <v>3</v>
      </c>
    </row>
    <row r="4" spans="1:7" x14ac:dyDescent="0.3">
      <c r="A4">
        <v>2010992004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</row>
    <row r="5" spans="1:7" x14ac:dyDescent="0.3">
      <c r="A5">
        <v>2010992005</v>
      </c>
      <c r="B5">
        <v>3</v>
      </c>
      <c r="C5">
        <v>3</v>
      </c>
      <c r="D5">
        <v>3</v>
      </c>
      <c r="E5">
        <v>3</v>
      </c>
      <c r="F5" t="str">
        <v>NA</v>
      </c>
      <c r="G5">
        <v>3</v>
      </c>
    </row>
    <row r="6" spans="1:7" x14ac:dyDescent="0.3">
      <c r="A6">
        <v>2010992006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</row>
    <row r="7" spans="1:7" x14ac:dyDescent="0.3">
      <c r="A7">
        <v>2010992008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</row>
    <row r="8" spans="1:7" x14ac:dyDescent="0.3">
      <c r="A8">
        <v>2010992009</v>
      </c>
      <c r="B8">
        <v>3</v>
      </c>
      <c r="C8">
        <v>3</v>
      </c>
      <c r="D8">
        <v>3</v>
      </c>
      <c r="E8">
        <v>3</v>
      </c>
      <c r="F8">
        <v>0</v>
      </c>
      <c r="G8">
        <v>3</v>
      </c>
    </row>
    <row r="9" spans="1:7" x14ac:dyDescent="0.3">
      <c r="A9">
        <v>2010992010</v>
      </c>
      <c r="B9">
        <v>3</v>
      </c>
      <c r="C9">
        <v>3</v>
      </c>
      <c r="D9">
        <v>3</v>
      </c>
      <c r="E9">
        <v>3</v>
      </c>
      <c r="F9">
        <v>0</v>
      </c>
      <c r="G9">
        <v>3</v>
      </c>
    </row>
    <row r="10" spans="1:7" x14ac:dyDescent="0.3">
      <c r="A10">
        <v>2010992011</v>
      </c>
      <c r="B10">
        <v>3</v>
      </c>
      <c r="C10">
        <v>3</v>
      </c>
      <c r="D10">
        <v>3</v>
      </c>
      <c r="E10">
        <v>3</v>
      </c>
      <c r="F10">
        <v>0</v>
      </c>
      <c r="G10">
        <v>3</v>
      </c>
    </row>
    <row r="11" spans="1:7" x14ac:dyDescent="0.3">
      <c r="A11">
        <v>2010992012</v>
      </c>
      <c r="B11">
        <v>3</v>
      </c>
      <c r="C11">
        <v>3</v>
      </c>
      <c r="D11">
        <v>0</v>
      </c>
      <c r="E11">
        <v>3</v>
      </c>
      <c r="F11">
        <v>0</v>
      </c>
      <c r="G11">
        <v>3</v>
      </c>
    </row>
    <row r="12" spans="1:7" x14ac:dyDescent="0.3">
      <c r="A12">
        <v>2010992014</v>
      </c>
      <c r="B12">
        <v>3</v>
      </c>
      <c r="C12">
        <v>3</v>
      </c>
      <c r="D12">
        <v>3</v>
      </c>
      <c r="E12">
        <v>3</v>
      </c>
      <c r="F12">
        <v>0</v>
      </c>
      <c r="G12">
        <v>3</v>
      </c>
    </row>
    <row r="13" spans="1:7" x14ac:dyDescent="0.3">
      <c r="A13">
        <v>2010992015</v>
      </c>
      <c r="B13">
        <v>3</v>
      </c>
      <c r="C13">
        <v>3</v>
      </c>
      <c r="D13">
        <v>3</v>
      </c>
      <c r="E13">
        <v>3</v>
      </c>
      <c r="F13">
        <v>0</v>
      </c>
      <c r="G13">
        <v>3</v>
      </c>
    </row>
    <row r="14" spans="1:7" x14ac:dyDescent="0.3">
      <c r="A14">
        <v>2010992016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2010992017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</row>
    <row r="16" spans="1:7" x14ac:dyDescent="0.3">
      <c r="A16">
        <v>2010992018</v>
      </c>
      <c r="B16">
        <v>3</v>
      </c>
      <c r="C16">
        <v>3</v>
      </c>
      <c r="D16">
        <v>3</v>
      </c>
      <c r="E16">
        <v>3</v>
      </c>
      <c r="F16">
        <v>0</v>
      </c>
      <c r="G16">
        <v>3</v>
      </c>
    </row>
    <row r="17" spans="1:7" x14ac:dyDescent="0.3">
      <c r="A17">
        <v>2010992019</v>
      </c>
      <c r="B17">
        <v>0</v>
      </c>
      <c r="C17">
        <v>0</v>
      </c>
      <c r="D17">
        <v>0</v>
      </c>
      <c r="E17">
        <v>3</v>
      </c>
      <c r="F17">
        <v>0</v>
      </c>
      <c r="G17">
        <v>3</v>
      </c>
    </row>
    <row r="18" spans="1:7" x14ac:dyDescent="0.3">
      <c r="A18">
        <v>2010992163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</row>
    <row r="19" spans="1:7" x14ac:dyDescent="0.3">
      <c r="A19">
        <v>2010992202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28A3-F133-4373-BF0A-E55CE6633637}">
  <sheetPr codeName="Sheet9"/>
  <dimension ref="A1:G19"/>
  <sheetViews>
    <sheetView workbookViewId="0">
      <selection activeCell="A13" sqref="A13"/>
    </sheetView>
  </sheetViews>
  <sheetFormatPr defaultRowHeight="14.4" x14ac:dyDescent="0.3"/>
  <sheetData>
    <row r="1" spans="1:7" x14ac:dyDescent="0.3">
      <c r="A1" t="str" cm="1">
        <f t="array" ref="A1:A19">INDEX('ST1 Result'!B:B, 1):INDEX('ST1 Result'!B:B, COUNTA('ST1 Result'!B:B) )</f>
        <v>Admission No. (Roll No.)</v>
      </c>
      <c r="B1" t="str" cm="1">
        <f t="array" ref="B1:G1">'ST1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_xlfn.BYROW('ST1 Student Attainment percent'!B2:INDEX('ST1 Student Attainment percent'!B:B,COUNTA('ST1 Student Attainment percent'!B:B)),_xlfn.LAMBDA(_xlpm.score,_xlfn.IFS(_xlpm.score="NA","NA",_xlpm.score&gt;='OBE Data'!$B$5,"Y",_xlpm.score&lt;'OBE Data'!$B$5,"N")))</f>
        <v>N</v>
      </c>
      <c r="C2" t="str" cm="1">
        <f t="array" ref="C2:C19">_xlfn.BYROW('ST1 Student Attainment percent'!C2:INDEX('ST1 Student Attainment percent'!C:C,COUNTA('ST1 Student Attainment percent'!C:C)),_xlfn.LAMBDA(_xlpm.score,_xlfn.IFS(_xlpm.score="NA","NA",_xlpm.score&gt;='OBE Data'!$B$5,"Y",_xlpm.score&lt;'OBE Data'!$B$5,"N")))</f>
        <v>N</v>
      </c>
      <c r="D2" t="str" cm="1">
        <f t="array" ref="D2:D19">_xlfn.BYROW('ST1 Student Attainment percent'!D2:INDEX('ST1 Student Attainment percent'!D:D,COUNTA('ST1 Student Attainment percent'!D:D)),_xlfn.LAMBDA(_xlpm.score,_xlfn.IFS(_xlpm.score="NA","NA",_xlpm.score&gt;='OBE Data'!$B$5,"Y",_xlpm.score&lt;'OBE Data'!$B$5,"N")))</f>
        <v>N</v>
      </c>
      <c r="E2" t="str" cm="1">
        <f t="array" ref="E2:E19">_xlfn.BYROW('ST1 Student Attainment percent'!E2:INDEX('ST1 Student Attainment percent'!E:E,COUNTA('ST1 Student Attainment percent'!E:E)),_xlfn.LAMBDA(_xlpm.score,_xlfn.IFS(_xlpm.score="NA","NA",_xlpm.score&gt;='OBE Data'!$B$5,"Y",_xlpm.score&lt;'OBE Data'!$B$5,"N")))</f>
        <v>N</v>
      </c>
      <c r="F2" t="str" cm="1">
        <f t="array" ref="F2:F19">_xlfn.BYROW('ST1 Student Attainment percent'!F2:INDEX('ST1 Student Attainment percent'!F:F,COUNTA('ST1 Student Attainment percent'!F:F)),_xlfn.LAMBDA(_xlpm.score,_xlfn.IFS(_xlpm.score="NA","NA",_xlpm.score&gt;='OBE Data'!$B$5,"Y",_xlpm.score&lt;'OBE Data'!$B$5,"N")))</f>
        <v>NA</v>
      </c>
      <c r="G2" t="str" cm="1">
        <f t="array" ref="G2:G19">_xlfn.BYROW('ST1 Student Attainment percent'!G2:INDEX('ST1 Student Attainment percent'!G:G,COUNTA('ST1 Student Attainment percent'!G:G)),_xlfn.LAMBDA(_xlpm.score,_xlfn.IFS(_xlpm.score="NA","NA",_xlpm.score&gt;='OBE Data'!$B$5,"Y",_xlpm.score&lt;'OBE Data'!$B$5,"N")))</f>
        <v>N</v>
      </c>
    </row>
    <row r="3" spans="1:7" x14ac:dyDescent="0.3">
      <c r="A3">
        <v>2010992002</v>
      </c>
      <c r="B3" t="str">
        <v>Y</v>
      </c>
      <c r="C3" t="str">
        <v>Y</v>
      </c>
      <c r="D3" t="str">
        <v>Y</v>
      </c>
      <c r="E3" t="str">
        <v>Y</v>
      </c>
      <c r="F3" t="str">
        <v>NA</v>
      </c>
      <c r="G3" t="str">
        <v>Y</v>
      </c>
    </row>
    <row r="4" spans="1:7" x14ac:dyDescent="0.3">
      <c r="A4">
        <v>2010992004</v>
      </c>
      <c r="B4" t="str">
        <v>Y</v>
      </c>
      <c r="C4" t="str">
        <v>Y</v>
      </c>
      <c r="D4" t="str">
        <v>Y</v>
      </c>
      <c r="E4" t="str">
        <v>Y</v>
      </c>
      <c r="F4" t="str">
        <v>Y</v>
      </c>
      <c r="G4" t="str">
        <v>Y</v>
      </c>
    </row>
    <row r="5" spans="1:7" x14ac:dyDescent="0.3">
      <c r="A5">
        <v>2010992005</v>
      </c>
      <c r="B5" t="str">
        <v>Y</v>
      </c>
      <c r="C5" t="str">
        <v>Y</v>
      </c>
      <c r="D5" t="str">
        <v>Y</v>
      </c>
      <c r="E5" t="str">
        <v>Y</v>
      </c>
      <c r="F5" t="str">
        <v>NA</v>
      </c>
      <c r="G5" t="str">
        <v>Y</v>
      </c>
    </row>
    <row r="6" spans="1:7" x14ac:dyDescent="0.3">
      <c r="A6">
        <v>2010992006</v>
      </c>
      <c r="B6" t="str">
        <v>Y</v>
      </c>
      <c r="C6" t="str">
        <v>Y</v>
      </c>
      <c r="D6" t="str">
        <v>Y</v>
      </c>
      <c r="E6" t="str">
        <v>Y</v>
      </c>
      <c r="F6" t="str">
        <v>Y</v>
      </c>
      <c r="G6" t="str">
        <v>Y</v>
      </c>
    </row>
    <row r="7" spans="1:7" x14ac:dyDescent="0.3">
      <c r="A7">
        <v>2010992008</v>
      </c>
      <c r="B7" t="str">
        <v>Y</v>
      </c>
      <c r="C7" t="str">
        <v>Y</v>
      </c>
      <c r="D7" t="str">
        <v>Y</v>
      </c>
      <c r="E7" t="str">
        <v>Y</v>
      </c>
      <c r="F7" t="str">
        <v>Y</v>
      </c>
      <c r="G7" t="str">
        <v>Y</v>
      </c>
    </row>
    <row r="8" spans="1:7" x14ac:dyDescent="0.3">
      <c r="A8">
        <v>2010992009</v>
      </c>
      <c r="B8" t="str">
        <v>Y</v>
      </c>
      <c r="C8" t="str">
        <v>Y</v>
      </c>
      <c r="D8" t="str">
        <v>Y</v>
      </c>
      <c r="E8" t="str">
        <v>Y</v>
      </c>
      <c r="F8" t="str">
        <v>N</v>
      </c>
      <c r="G8" t="str">
        <v>Y</v>
      </c>
    </row>
    <row r="9" spans="1:7" x14ac:dyDescent="0.3">
      <c r="A9">
        <v>2010992010</v>
      </c>
      <c r="B9" t="str">
        <v>Y</v>
      </c>
      <c r="C9" t="str">
        <v>Y</v>
      </c>
      <c r="D9" t="str">
        <v>Y</v>
      </c>
      <c r="E9" t="str">
        <v>Y</v>
      </c>
      <c r="F9" t="str">
        <v>N</v>
      </c>
      <c r="G9" t="str">
        <v>Y</v>
      </c>
    </row>
    <row r="10" spans="1:7" x14ac:dyDescent="0.3">
      <c r="A10">
        <v>2010992011</v>
      </c>
      <c r="B10" t="str">
        <v>Y</v>
      </c>
      <c r="C10" t="str">
        <v>Y</v>
      </c>
      <c r="D10" t="str">
        <v>Y</v>
      </c>
      <c r="E10" t="str">
        <v>Y</v>
      </c>
      <c r="F10" t="str">
        <v>N</v>
      </c>
      <c r="G10" t="str">
        <v>Y</v>
      </c>
    </row>
    <row r="11" spans="1:7" x14ac:dyDescent="0.3">
      <c r="A11">
        <v>2010992012</v>
      </c>
      <c r="B11" t="str">
        <v>Y</v>
      </c>
      <c r="C11" t="str">
        <v>Y</v>
      </c>
      <c r="D11" t="str">
        <v>N</v>
      </c>
      <c r="E11" t="str">
        <v>Y</v>
      </c>
      <c r="F11" t="str">
        <v>N</v>
      </c>
      <c r="G11" t="str">
        <v>Y</v>
      </c>
    </row>
    <row r="12" spans="1:7" x14ac:dyDescent="0.3">
      <c r="A12">
        <v>2010992014</v>
      </c>
      <c r="B12" t="str">
        <v>Y</v>
      </c>
      <c r="C12" t="str">
        <v>Y</v>
      </c>
      <c r="D12" t="str">
        <v>Y</v>
      </c>
      <c r="E12" t="str">
        <v>Y</v>
      </c>
      <c r="F12" t="str">
        <v>N</v>
      </c>
      <c r="G12" t="str">
        <v>Y</v>
      </c>
    </row>
    <row r="13" spans="1:7" x14ac:dyDescent="0.3">
      <c r="A13">
        <v>2010992015</v>
      </c>
      <c r="B13" t="str">
        <v>Y</v>
      </c>
      <c r="C13" t="str">
        <v>Y</v>
      </c>
      <c r="D13" t="str">
        <v>Y</v>
      </c>
      <c r="E13" t="str">
        <v>Y</v>
      </c>
      <c r="F13" t="str">
        <v>N</v>
      </c>
      <c r="G13" t="str">
        <v>Y</v>
      </c>
    </row>
    <row r="14" spans="1:7" x14ac:dyDescent="0.3">
      <c r="A14">
        <v>2010992016</v>
      </c>
      <c r="B14" t="str">
        <v>N</v>
      </c>
      <c r="C14" t="str">
        <v>N</v>
      </c>
      <c r="D14" t="str">
        <v>N</v>
      </c>
      <c r="E14" t="str">
        <v>N</v>
      </c>
      <c r="F14" t="str">
        <v>N</v>
      </c>
      <c r="G14" t="str">
        <v>N</v>
      </c>
    </row>
    <row r="15" spans="1:7" x14ac:dyDescent="0.3">
      <c r="A15">
        <v>2010992017</v>
      </c>
      <c r="B15" t="str">
        <v>Y</v>
      </c>
      <c r="C15" t="str">
        <v>Y</v>
      </c>
      <c r="D15" t="str">
        <v>Y</v>
      </c>
      <c r="E15" t="str">
        <v>Y</v>
      </c>
      <c r="F15" t="str">
        <v>Y</v>
      </c>
      <c r="G15" t="str">
        <v>Y</v>
      </c>
    </row>
    <row r="16" spans="1:7" x14ac:dyDescent="0.3">
      <c r="A16">
        <v>2010992018</v>
      </c>
      <c r="B16" t="str">
        <v>Y</v>
      </c>
      <c r="C16" t="str">
        <v>Y</v>
      </c>
      <c r="D16" t="str">
        <v>Y</v>
      </c>
      <c r="E16" t="str">
        <v>Y</v>
      </c>
      <c r="F16" t="str">
        <v>N</v>
      </c>
      <c r="G16" t="str">
        <v>Y</v>
      </c>
    </row>
    <row r="17" spans="1:7" x14ac:dyDescent="0.3">
      <c r="A17">
        <v>2010992019</v>
      </c>
      <c r="B17" t="str">
        <v>N</v>
      </c>
      <c r="C17" t="str">
        <v>N</v>
      </c>
      <c r="D17" t="str">
        <v>N</v>
      </c>
      <c r="E17" t="str">
        <v>N</v>
      </c>
      <c r="F17" t="str">
        <v>N</v>
      </c>
      <c r="G17" t="str">
        <v>Y</v>
      </c>
    </row>
    <row r="18" spans="1:7" x14ac:dyDescent="0.3">
      <c r="A18">
        <v>2010992163</v>
      </c>
      <c r="B18" t="str">
        <v>Y</v>
      </c>
      <c r="C18" t="str">
        <v>Y</v>
      </c>
      <c r="D18" t="str">
        <v>Y</v>
      </c>
      <c r="E18" t="str">
        <v>Y</v>
      </c>
      <c r="F18" t="str">
        <v>Y</v>
      </c>
      <c r="G18" t="str">
        <v>Y</v>
      </c>
    </row>
    <row r="19" spans="1:7" x14ac:dyDescent="0.3">
      <c r="A19">
        <v>2010992202</v>
      </c>
      <c r="B19" t="str">
        <v>Y</v>
      </c>
      <c r="C19" t="str">
        <v>Y</v>
      </c>
      <c r="D19" t="str">
        <v>Y</v>
      </c>
      <c r="E19" t="str">
        <v>Y</v>
      </c>
      <c r="F19" t="str">
        <v>Y</v>
      </c>
      <c r="G19" t="str">
        <v>Y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BB1A-9D3E-4036-96BF-9201DD0B6D4C}">
  <sheetPr codeName="Sheet10"/>
  <dimension ref="A1:H21"/>
  <sheetViews>
    <sheetView topLeftCell="A14" workbookViewId="0">
      <selection activeCell="A22" sqref="A22:XFD24"/>
    </sheetView>
  </sheetViews>
  <sheetFormatPr defaultRowHeight="14.4" x14ac:dyDescent="0.3"/>
  <sheetData>
    <row r="1" spans="1:8" x14ac:dyDescent="0.3">
      <c r="A1" t="str" cm="1">
        <f t="array" ref="A1:H21">'[1]ST2 Question Map'!$A$1:$H$21</f>
        <v>Q_Id</v>
      </c>
      <c r="B1" t="str">
        <v>Max Marks</v>
      </c>
      <c r="C1" t="str">
        <v>CO1</v>
      </c>
      <c r="D1" t="str">
        <v>CO2</v>
      </c>
      <c r="E1" t="str">
        <v>CO3</v>
      </c>
      <c r="F1" t="str">
        <v>CO4</v>
      </c>
      <c r="G1" t="str">
        <v>CO5</v>
      </c>
      <c r="H1" t="str">
        <v>CO6</v>
      </c>
    </row>
    <row r="2" spans="1:8" x14ac:dyDescent="0.3">
      <c r="A2" t="str">
        <v>1a</v>
      </c>
      <c r="B2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 spans="1:8" x14ac:dyDescent="0.3">
      <c r="A3" t="str">
        <v>1b</v>
      </c>
      <c r="B3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 spans="1:8" x14ac:dyDescent="0.3">
      <c r="A4" t="str">
        <v>1c</v>
      </c>
      <c r="B4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 spans="1:8" x14ac:dyDescent="0.3">
      <c r="A5" t="str">
        <v>1d</v>
      </c>
      <c r="B5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 spans="1:8" x14ac:dyDescent="0.3">
      <c r="A6" t="str">
        <v>1e</v>
      </c>
      <c r="B6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 spans="1:8" x14ac:dyDescent="0.3">
      <c r="A7" t="str">
        <v>Q2</v>
      </c>
      <c r="B7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 spans="1:8" x14ac:dyDescent="0.3">
      <c r="A8" t="str">
        <v>Q3</v>
      </c>
      <c r="B8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 spans="1:8" x14ac:dyDescent="0.3">
      <c r="A9" t="str">
        <v>Q4</v>
      </c>
      <c r="B9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 spans="1:8" x14ac:dyDescent="0.3">
      <c r="A10" t="str">
        <v>Q5</v>
      </c>
      <c r="B10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 spans="1:8" x14ac:dyDescent="0.3">
      <c r="A11" t="str">
        <v>Q6</v>
      </c>
      <c r="B11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 spans="1:8" x14ac:dyDescent="0.3">
      <c r="A12" t="str">
        <v>Q7</v>
      </c>
      <c r="B12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 spans="1:8" x14ac:dyDescent="0.3">
      <c r="A13" t="str">
        <v>Q8</v>
      </c>
      <c r="B13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 spans="1:8" x14ac:dyDescent="0.3">
      <c r="A14" t="str">
        <v>Q9</v>
      </c>
      <c r="B14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 spans="1:8" x14ac:dyDescent="0.3">
      <c r="A15" t="str">
        <v>Q10</v>
      </c>
      <c r="B15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 spans="1:8" x14ac:dyDescent="0.3">
      <c r="A16" t="str">
        <v>Q11</v>
      </c>
      <c r="B16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 spans="1:8" x14ac:dyDescent="0.3">
      <c r="A17" t="str">
        <v>Q12</v>
      </c>
      <c r="B17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 spans="1:8" x14ac:dyDescent="0.3">
      <c r="A18" t="str">
        <v>Q13</v>
      </c>
      <c r="B18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 spans="1:8" x14ac:dyDescent="0.3">
      <c r="A19" t="str">
        <v>Q14</v>
      </c>
      <c r="B19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3">
      <c r="A20" t="str">
        <v>Q15</v>
      </c>
      <c r="B20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 spans="1:8" x14ac:dyDescent="0.3">
      <c r="A21" t="str">
        <v>Q16</v>
      </c>
      <c r="B21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D714-812C-4D3E-B16F-F05F64FECF16}">
  <sheetPr codeName="Sheet11"/>
  <dimension ref="A1:AK19"/>
  <sheetViews>
    <sheetView zoomScale="85" zoomScaleNormal="85" workbookViewId="0"/>
  </sheetViews>
  <sheetFormatPr defaultRowHeight="14.4" x14ac:dyDescent="0.3"/>
  <cols>
    <col min="2" max="2" width="21.6640625" bestFit="1" customWidth="1"/>
  </cols>
  <sheetData>
    <row r="1" spans="1:37" x14ac:dyDescent="0.3">
      <c r="A1" t="str" cm="1">
        <f t="array" ref="A1:AK19">INDEX('[1]ST2 Result'!$A:$AK, 1, 1):INDEX('[1]ST2 Result'!$AK:$AK,COUNTA('[1]ST2 Result'!$AK:$AK))</f>
        <v>Sr.no</v>
      </c>
      <c r="B1" t="str">
        <v>Admission No. (Roll No.)</v>
      </c>
      <c r="C1" t="str">
        <v>Name of Student</v>
      </c>
      <c r="D1" t="str">
        <v>Division(Section)</v>
      </c>
      <c r="E1" t="str">
        <v>Course Code</v>
      </c>
      <c r="F1" t="str">
        <v>Course Name</v>
      </c>
      <c r="G1" t="str">
        <v>Lecture Type (Theory/Practical)</v>
      </c>
      <c r="H1" t="str">
        <v>Program Name</v>
      </c>
      <c r="I1" t="str">
        <v>Department Name</v>
      </c>
      <c r="J1" t="str">
        <v>Class Name (Batch)</v>
      </c>
      <c r="K1" t="str">
        <v>Semester Name</v>
      </c>
      <c r="L1" t="str">
        <v>Exam Name (ETE/ST/FA)</v>
      </c>
      <c r="M1" t="str">
        <v>1a</v>
      </c>
      <c r="N1" t="str">
        <v>1b</v>
      </c>
      <c r="O1" t="str">
        <v>1c</v>
      </c>
      <c r="P1" t="str">
        <v>1d</v>
      </c>
      <c r="Q1" t="str">
        <v>1e</v>
      </c>
      <c r="R1" t="str">
        <v>Q2</v>
      </c>
      <c r="S1" t="str">
        <v>Q3</v>
      </c>
      <c r="T1" t="str">
        <v>Q4</v>
      </c>
      <c r="U1" t="str">
        <v>Q5</v>
      </c>
      <c r="V1" t="str">
        <v>Q6</v>
      </c>
      <c r="W1" t="str">
        <v>Q7</v>
      </c>
      <c r="X1" t="str">
        <v>Q8</v>
      </c>
      <c r="Y1" t="str">
        <v>Q9</v>
      </c>
      <c r="Z1" t="str">
        <v>Q10</v>
      </c>
      <c r="AA1" t="str">
        <v>Q11</v>
      </c>
      <c r="AB1" t="str">
        <v>Q12</v>
      </c>
      <c r="AC1" t="str">
        <v>Q13</v>
      </c>
      <c r="AD1" t="str">
        <v>Q14</v>
      </c>
      <c r="AE1" t="str">
        <v>Q15</v>
      </c>
      <c r="AF1" t="str">
        <v>Q16</v>
      </c>
      <c r="AG1" t="str">
        <v>Assignment</v>
      </c>
      <c r="AH1" t="str">
        <v>FA1</v>
      </c>
      <c r="AI1" t="str">
        <v>FA2</v>
      </c>
      <c r="AJ1" t="str">
        <v>Total Marks</v>
      </c>
      <c r="AK1" t="str">
        <v>max Marks</v>
      </c>
    </row>
    <row r="2" spans="1:37" x14ac:dyDescent="0.3">
      <c r="A2">
        <v>1</v>
      </c>
      <c r="B2">
        <v>2010990089</v>
      </c>
      <c r="C2" t="str">
        <v>ANSH GARG</v>
      </c>
      <c r="D2">
        <v>0</v>
      </c>
      <c r="E2" t="str">
        <v>EC112</v>
      </c>
      <c r="F2" t="str">
        <v>Network Analysis and Synthesis</v>
      </c>
      <c r="G2" t="str">
        <v>Theory</v>
      </c>
      <c r="H2" t="str">
        <v>B.E</v>
      </c>
      <c r="I2" t="str">
        <v>ECE</v>
      </c>
      <c r="J2">
        <v>2020</v>
      </c>
      <c r="K2">
        <v>3</v>
      </c>
      <c r="L2" t="str">
        <v>ST2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 t="str">
        <v>U</v>
      </c>
      <c r="S2" t="str">
        <v>U</v>
      </c>
      <c r="T2" t="str">
        <v>U</v>
      </c>
      <c r="U2" t="str">
        <v>U</v>
      </c>
      <c r="V2" t="str">
        <v>U</v>
      </c>
      <c r="W2" t="str">
        <v>U</v>
      </c>
      <c r="X2" t="str">
        <v>U</v>
      </c>
      <c r="Y2" t="str">
        <v>U</v>
      </c>
      <c r="Z2" t="str">
        <v>U</v>
      </c>
      <c r="AA2" t="str">
        <v>U</v>
      </c>
      <c r="AB2" t="str">
        <v>U</v>
      </c>
      <c r="AC2" t="str">
        <v>U</v>
      </c>
      <c r="AD2" t="str">
        <v>U</v>
      </c>
      <c r="AE2" t="str">
        <v>U</v>
      </c>
      <c r="AF2" t="str">
        <v>U</v>
      </c>
      <c r="AG2">
        <v>7</v>
      </c>
      <c r="AH2">
        <v>15</v>
      </c>
      <c r="AI2">
        <v>18</v>
      </c>
      <c r="AJ2">
        <v>40</v>
      </c>
      <c r="AK2">
        <v>50</v>
      </c>
    </row>
    <row r="3" spans="1:37" x14ac:dyDescent="0.3">
      <c r="A3">
        <v>2</v>
      </c>
      <c r="B3">
        <v>2010992002</v>
      </c>
      <c r="C3" t="str">
        <v>PANSY VERMA</v>
      </c>
      <c r="D3">
        <v>0</v>
      </c>
      <c r="E3" t="str">
        <v>EC112</v>
      </c>
      <c r="F3" t="str">
        <v>Network Analysis and Synthesis</v>
      </c>
      <c r="G3" t="str">
        <v>Theory</v>
      </c>
      <c r="H3" t="str">
        <v>B.E</v>
      </c>
      <c r="I3" t="str">
        <v>ECE</v>
      </c>
      <c r="J3">
        <v>2020</v>
      </c>
      <c r="K3">
        <v>3</v>
      </c>
      <c r="L3" t="str">
        <v>ST2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 t="str">
        <v>U</v>
      </c>
      <c r="S3" t="str">
        <v>U</v>
      </c>
      <c r="T3" t="str">
        <v>U</v>
      </c>
      <c r="U3" t="str">
        <v>U</v>
      </c>
      <c r="V3" t="str">
        <v>U</v>
      </c>
      <c r="W3" t="str">
        <v>U</v>
      </c>
      <c r="X3" t="str">
        <v>U</v>
      </c>
      <c r="Y3" t="str">
        <v>U</v>
      </c>
      <c r="Z3" t="str">
        <v>U</v>
      </c>
      <c r="AA3" t="str">
        <v>U</v>
      </c>
      <c r="AB3" t="str">
        <v>U</v>
      </c>
      <c r="AC3" t="str">
        <v>U</v>
      </c>
      <c r="AD3" t="str">
        <v>U</v>
      </c>
      <c r="AE3" t="str">
        <v>U</v>
      </c>
      <c r="AF3" t="str">
        <v>U</v>
      </c>
      <c r="AG3">
        <v>10</v>
      </c>
      <c r="AH3">
        <v>16</v>
      </c>
      <c r="AI3">
        <v>18</v>
      </c>
      <c r="AJ3">
        <v>44</v>
      </c>
      <c r="AK3">
        <v>50</v>
      </c>
    </row>
    <row r="4" spans="1:37" x14ac:dyDescent="0.3">
      <c r="A4">
        <v>3</v>
      </c>
      <c r="B4">
        <v>2010992004</v>
      </c>
      <c r="C4" t="str">
        <v>UTKARSH BHATT</v>
      </c>
      <c r="D4">
        <v>0</v>
      </c>
      <c r="E4" t="str">
        <v>EC112</v>
      </c>
      <c r="F4" t="str">
        <v>Network Analysis and Synthesis</v>
      </c>
      <c r="G4" t="str">
        <v>Theory</v>
      </c>
      <c r="H4" t="str">
        <v>B.E</v>
      </c>
      <c r="I4" t="str">
        <v>ECE</v>
      </c>
      <c r="J4">
        <v>2020</v>
      </c>
      <c r="K4">
        <v>3</v>
      </c>
      <c r="L4" t="str">
        <v>ST2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  <c r="V4" t="str">
        <v>U</v>
      </c>
      <c r="W4" t="str">
        <v>U</v>
      </c>
      <c r="X4" t="str">
        <v>U</v>
      </c>
      <c r="Y4" t="str">
        <v>U</v>
      </c>
      <c r="Z4" t="str">
        <v>U</v>
      </c>
      <c r="AA4" t="str">
        <v>U</v>
      </c>
      <c r="AB4" t="str">
        <v>U</v>
      </c>
      <c r="AC4" t="str">
        <v>U</v>
      </c>
      <c r="AD4" t="str">
        <v>U</v>
      </c>
      <c r="AE4" t="str">
        <v>U</v>
      </c>
      <c r="AF4" t="str">
        <v>U</v>
      </c>
      <c r="AG4">
        <v>7</v>
      </c>
      <c r="AH4">
        <v>15</v>
      </c>
      <c r="AI4">
        <v>18</v>
      </c>
      <c r="AJ4">
        <v>40</v>
      </c>
      <c r="AK4">
        <v>50</v>
      </c>
    </row>
    <row r="5" spans="1:37" x14ac:dyDescent="0.3">
      <c r="A5">
        <v>4</v>
      </c>
      <c r="B5">
        <v>2010992005</v>
      </c>
      <c r="C5" t="str">
        <v>RATANABH SHARMA</v>
      </c>
      <c r="D5">
        <v>0</v>
      </c>
      <c r="E5" t="str">
        <v>EC112</v>
      </c>
      <c r="F5" t="str">
        <v>Network Analysis and Synthesis</v>
      </c>
      <c r="G5" t="str">
        <v>Theory</v>
      </c>
      <c r="H5" t="str">
        <v>B.E</v>
      </c>
      <c r="I5" t="str">
        <v>ECE</v>
      </c>
      <c r="J5">
        <v>2020</v>
      </c>
      <c r="K5">
        <v>3</v>
      </c>
      <c r="L5" t="str">
        <v>ST2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  <c r="V5" t="str">
        <v>U</v>
      </c>
      <c r="W5" t="str">
        <v>U</v>
      </c>
      <c r="X5" t="str">
        <v>U</v>
      </c>
      <c r="Y5" t="str">
        <v>U</v>
      </c>
      <c r="Z5" t="str">
        <v>U</v>
      </c>
      <c r="AA5" t="str">
        <v>U</v>
      </c>
      <c r="AB5" t="str">
        <v>U</v>
      </c>
      <c r="AC5" t="str">
        <v>U</v>
      </c>
      <c r="AD5" t="str">
        <v>U</v>
      </c>
      <c r="AE5" t="str">
        <v>U</v>
      </c>
      <c r="AF5" t="str">
        <v>U</v>
      </c>
      <c r="AG5">
        <v>10</v>
      </c>
      <c r="AH5">
        <v>17</v>
      </c>
      <c r="AI5">
        <v>18</v>
      </c>
      <c r="AJ5">
        <v>45</v>
      </c>
      <c r="AK5">
        <v>50</v>
      </c>
    </row>
    <row r="6" spans="1:37" x14ac:dyDescent="0.3">
      <c r="A6">
        <v>5</v>
      </c>
      <c r="B6">
        <v>2010992006</v>
      </c>
      <c r="C6" t="str">
        <v>AYUSH SHARMA</v>
      </c>
      <c r="D6">
        <v>0</v>
      </c>
      <c r="E6" t="str">
        <v>EC112</v>
      </c>
      <c r="F6" t="str">
        <v>Network Analysis and Synthesis</v>
      </c>
      <c r="G6" t="str">
        <v>Theory</v>
      </c>
      <c r="H6" t="str">
        <v>B.E</v>
      </c>
      <c r="I6" t="str">
        <v>ECE</v>
      </c>
      <c r="J6">
        <v>2020</v>
      </c>
      <c r="K6">
        <v>3</v>
      </c>
      <c r="L6" t="str">
        <v>ST2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  <c r="V6" t="str">
        <v>U</v>
      </c>
      <c r="W6" t="str">
        <v>U</v>
      </c>
      <c r="X6" t="str">
        <v>U</v>
      </c>
      <c r="Y6" t="str">
        <v>U</v>
      </c>
      <c r="Z6" t="str">
        <v>U</v>
      </c>
      <c r="AA6" t="str">
        <v>U</v>
      </c>
      <c r="AB6" t="str">
        <v>U</v>
      </c>
      <c r="AC6" t="str">
        <v>U</v>
      </c>
      <c r="AD6" t="str">
        <v>U</v>
      </c>
      <c r="AE6" t="str">
        <v>U</v>
      </c>
      <c r="AF6" t="str">
        <v>U</v>
      </c>
      <c r="AG6">
        <v>7</v>
      </c>
      <c r="AH6">
        <v>14</v>
      </c>
      <c r="AI6">
        <v>16</v>
      </c>
      <c r="AJ6">
        <v>37</v>
      </c>
      <c r="AK6">
        <v>50</v>
      </c>
    </row>
    <row r="7" spans="1:37" x14ac:dyDescent="0.3">
      <c r="A7">
        <v>6</v>
      </c>
      <c r="B7">
        <v>2010992008</v>
      </c>
      <c r="C7" t="str">
        <v>NAVDEEP SINGH</v>
      </c>
      <c r="D7">
        <v>0</v>
      </c>
      <c r="E7" t="str">
        <v>EC112</v>
      </c>
      <c r="F7" t="str">
        <v>Network Analysis and Synthesis</v>
      </c>
      <c r="G7" t="str">
        <v>Theory</v>
      </c>
      <c r="H7" t="str">
        <v>B.E</v>
      </c>
      <c r="I7" t="str">
        <v>ECE</v>
      </c>
      <c r="J7">
        <v>2020</v>
      </c>
      <c r="K7">
        <v>3</v>
      </c>
      <c r="L7" t="str">
        <v>ST2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  <c r="Y7" t="str">
        <v>U</v>
      </c>
      <c r="Z7" t="str">
        <v>U</v>
      </c>
      <c r="AA7" t="str">
        <v>U</v>
      </c>
      <c r="AB7" t="str">
        <v>U</v>
      </c>
      <c r="AC7" t="str">
        <v>U</v>
      </c>
      <c r="AD7" t="str">
        <v>U</v>
      </c>
      <c r="AE7" t="str">
        <v>U</v>
      </c>
      <c r="AF7" t="str">
        <v>U</v>
      </c>
      <c r="AG7">
        <v>9</v>
      </c>
      <c r="AH7">
        <v>16</v>
      </c>
      <c r="AI7">
        <v>18</v>
      </c>
      <c r="AJ7">
        <v>43</v>
      </c>
      <c r="AK7">
        <v>50</v>
      </c>
    </row>
    <row r="8" spans="1:37" x14ac:dyDescent="0.3">
      <c r="A8">
        <v>7</v>
      </c>
      <c r="B8">
        <v>2010992009</v>
      </c>
      <c r="C8" t="str">
        <v>RIYA</v>
      </c>
      <c r="D8">
        <v>0</v>
      </c>
      <c r="E8" t="str">
        <v>EC112</v>
      </c>
      <c r="F8" t="str">
        <v>Network Analysis and Synthesis</v>
      </c>
      <c r="G8" t="str">
        <v>Theory</v>
      </c>
      <c r="H8" t="str">
        <v>B.E</v>
      </c>
      <c r="I8" t="str">
        <v>ECE</v>
      </c>
      <c r="J8">
        <v>2020</v>
      </c>
      <c r="K8">
        <v>3</v>
      </c>
      <c r="L8" t="str">
        <v>ST2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  <c r="V8" t="str">
        <v>U</v>
      </c>
      <c r="W8" t="str">
        <v>U</v>
      </c>
      <c r="X8" t="str">
        <v>U</v>
      </c>
      <c r="Y8" t="str">
        <v>U</v>
      </c>
      <c r="Z8" t="str">
        <v>U</v>
      </c>
      <c r="AA8" t="str">
        <v>U</v>
      </c>
      <c r="AB8" t="str">
        <v>U</v>
      </c>
      <c r="AC8" t="str">
        <v>U</v>
      </c>
      <c r="AD8" t="str">
        <v>U</v>
      </c>
      <c r="AE8" t="str">
        <v>U</v>
      </c>
      <c r="AF8" t="str">
        <v>U</v>
      </c>
      <c r="AG8">
        <v>9</v>
      </c>
      <c r="AH8">
        <v>16</v>
      </c>
      <c r="AI8">
        <v>18</v>
      </c>
      <c r="AJ8">
        <v>43</v>
      </c>
      <c r="AK8">
        <v>50</v>
      </c>
    </row>
    <row r="9" spans="1:37" x14ac:dyDescent="0.3">
      <c r="A9">
        <v>8</v>
      </c>
      <c r="B9">
        <v>2010992010</v>
      </c>
      <c r="C9" t="str">
        <v>RISHABH TANDON</v>
      </c>
      <c r="D9">
        <v>0</v>
      </c>
      <c r="E9" t="str">
        <v>EC112</v>
      </c>
      <c r="F9" t="str">
        <v>Network Analysis and Synthesis</v>
      </c>
      <c r="G9" t="str">
        <v>Theory</v>
      </c>
      <c r="H9" t="str">
        <v>B.E</v>
      </c>
      <c r="I9" t="str">
        <v>ECE</v>
      </c>
      <c r="J9">
        <v>2020</v>
      </c>
      <c r="K9">
        <v>3</v>
      </c>
      <c r="L9" t="str">
        <v>ST2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  <c r="V9" t="str">
        <v>U</v>
      </c>
      <c r="W9" t="str">
        <v>U</v>
      </c>
      <c r="X9" t="str">
        <v>U</v>
      </c>
      <c r="Y9" t="str">
        <v>U</v>
      </c>
      <c r="Z9" t="str">
        <v>U</v>
      </c>
      <c r="AA9" t="str">
        <v>U</v>
      </c>
      <c r="AB9" t="str">
        <v>U</v>
      </c>
      <c r="AC9" t="str">
        <v>U</v>
      </c>
      <c r="AD9" t="str">
        <v>U</v>
      </c>
      <c r="AE9" t="str">
        <v>U</v>
      </c>
      <c r="AF9" t="str">
        <v>U</v>
      </c>
      <c r="AG9">
        <v>9</v>
      </c>
      <c r="AH9">
        <v>17</v>
      </c>
      <c r="AI9">
        <v>18</v>
      </c>
      <c r="AJ9">
        <v>44</v>
      </c>
      <c r="AK9">
        <v>50</v>
      </c>
    </row>
    <row r="10" spans="1:37" x14ac:dyDescent="0.3">
      <c r="A10">
        <v>9</v>
      </c>
      <c r="B10">
        <v>2010992011</v>
      </c>
      <c r="C10" t="str">
        <v>HEERENDRA SINGH CHAUHAN</v>
      </c>
      <c r="D10">
        <v>0</v>
      </c>
      <c r="E10" t="str">
        <v>EC112</v>
      </c>
      <c r="F10" t="str">
        <v>Network Analysis and Synthesis</v>
      </c>
      <c r="G10" t="str">
        <v>Theory</v>
      </c>
      <c r="H10" t="str">
        <v>B.E</v>
      </c>
      <c r="I10" t="str">
        <v>ECE</v>
      </c>
      <c r="J10">
        <v>2020</v>
      </c>
      <c r="K10">
        <v>3</v>
      </c>
      <c r="L10" t="str">
        <v>ST2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  <c r="V10" t="str">
        <v>U</v>
      </c>
      <c r="W10" t="str">
        <v>U</v>
      </c>
      <c r="X10" t="str">
        <v>U</v>
      </c>
      <c r="Y10" t="str">
        <v>U</v>
      </c>
      <c r="Z10" t="str">
        <v>U</v>
      </c>
      <c r="AA10" t="str">
        <v>U</v>
      </c>
      <c r="AB10" t="str">
        <v>U</v>
      </c>
      <c r="AC10" t="str">
        <v>U</v>
      </c>
      <c r="AD10" t="str">
        <v>U</v>
      </c>
      <c r="AE10" t="str">
        <v>U</v>
      </c>
      <c r="AF10" t="str">
        <v>U</v>
      </c>
      <c r="AG10">
        <v>7</v>
      </c>
      <c r="AH10">
        <v>12</v>
      </c>
      <c r="AI10">
        <v>10</v>
      </c>
      <c r="AJ10">
        <v>29</v>
      </c>
      <c r="AK10">
        <v>50</v>
      </c>
    </row>
    <row r="11" spans="1:37" x14ac:dyDescent="0.3">
      <c r="A11">
        <v>10</v>
      </c>
      <c r="B11">
        <v>2010992012</v>
      </c>
      <c r="C11" t="str">
        <v>AKSHAT</v>
      </c>
      <c r="D11">
        <v>0</v>
      </c>
      <c r="E11" t="str">
        <v>EC112</v>
      </c>
      <c r="F11" t="str">
        <v>Network Analysis and Synthesis</v>
      </c>
      <c r="G11" t="str">
        <v>Theory</v>
      </c>
      <c r="H11" t="str">
        <v>B.E</v>
      </c>
      <c r="I11" t="str">
        <v>ECE</v>
      </c>
      <c r="J11">
        <v>2020</v>
      </c>
      <c r="K11">
        <v>3</v>
      </c>
      <c r="L11" t="str">
        <v>ST2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 t="str">
        <v>U</v>
      </c>
      <c r="S11" t="str">
        <v>U</v>
      </c>
      <c r="T11" t="str">
        <v>U</v>
      </c>
      <c r="U11" t="str">
        <v>U</v>
      </c>
      <c r="V11" t="str">
        <v>U</v>
      </c>
      <c r="W11" t="str">
        <v>U</v>
      </c>
      <c r="X11" t="str">
        <v>U</v>
      </c>
      <c r="Y11" t="str">
        <v>U</v>
      </c>
      <c r="Z11" t="str">
        <v>U</v>
      </c>
      <c r="AA11" t="str">
        <v>U</v>
      </c>
      <c r="AB11" t="str">
        <v>U</v>
      </c>
      <c r="AC11" t="str">
        <v>U</v>
      </c>
      <c r="AD11" t="str">
        <v>U</v>
      </c>
      <c r="AE11" t="str">
        <v>U</v>
      </c>
      <c r="AF11" t="str">
        <v>U</v>
      </c>
      <c r="AG11">
        <v>10</v>
      </c>
      <c r="AH11">
        <v>16</v>
      </c>
      <c r="AI11">
        <v>18</v>
      </c>
      <c r="AJ11">
        <v>44</v>
      </c>
      <c r="AK11">
        <v>50</v>
      </c>
    </row>
    <row r="12" spans="1:37" x14ac:dyDescent="0.3">
      <c r="A12">
        <v>11</v>
      </c>
      <c r="B12">
        <v>2010992014</v>
      </c>
      <c r="C12" t="str">
        <v>HARSHIT CHAHAL</v>
      </c>
      <c r="D12">
        <v>0</v>
      </c>
      <c r="E12" t="str">
        <v>EC112</v>
      </c>
      <c r="F12" t="str">
        <v>Network Analysis and Synthesis</v>
      </c>
      <c r="G12" t="str">
        <v>Theory</v>
      </c>
      <c r="H12" t="str">
        <v>B.E</v>
      </c>
      <c r="I12" t="str">
        <v>ECE</v>
      </c>
      <c r="J12">
        <v>2020</v>
      </c>
      <c r="K12">
        <v>3</v>
      </c>
      <c r="L12" t="str">
        <v>ST2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  <c r="V12" t="str">
        <v>U</v>
      </c>
      <c r="W12" t="str">
        <v>U</v>
      </c>
      <c r="X12" t="str">
        <v>U</v>
      </c>
      <c r="Y12" t="str">
        <v>U</v>
      </c>
      <c r="Z12" t="str">
        <v>U</v>
      </c>
      <c r="AA12" t="str">
        <v>U</v>
      </c>
      <c r="AB12" t="str">
        <v>U</v>
      </c>
      <c r="AC12" t="str">
        <v>U</v>
      </c>
      <c r="AD12" t="str">
        <v>U</v>
      </c>
      <c r="AE12" t="str">
        <v>U</v>
      </c>
      <c r="AF12" t="str">
        <v>U</v>
      </c>
      <c r="AG12">
        <v>9</v>
      </c>
      <c r="AH12">
        <v>18</v>
      </c>
      <c r="AI12">
        <v>16</v>
      </c>
      <c r="AJ12">
        <v>43</v>
      </c>
      <c r="AK12">
        <v>50</v>
      </c>
    </row>
    <row r="13" spans="1:37" x14ac:dyDescent="0.3">
      <c r="A13">
        <v>12</v>
      </c>
      <c r="B13">
        <v>2010992015</v>
      </c>
      <c r="C13" t="str">
        <v>URVANSH NAHATA</v>
      </c>
      <c r="D13">
        <v>0</v>
      </c>
      <c r="E13" t="str">
        <v>EC112</v>
      </c>
      <c r="F13" t="str">
        <v>Network Analysis and Synthesis</v>
      </c>
      <c r="G13" t="str">
        <v>Theory</v>
      </c>
      <c r="H13" t="str">
        <v>B.E</v>
      </c>
      <c r="I13" t="str">
        <v>ECE</v>
      </c>
      <c r="J13">
        <v>2020</v>
      </c>
      <c r="K13">
        <v>3</v>
      </c>
      <c r="L13" t="str">
        <v>ST2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 t="str">
        <v>U</v>
      </c>
      <c r="S13" t="str">
        <v>U</v>
      </c>
      <c r="T13" t="str">
        <v>U</v>
      </c>
      <c r="U13" t="str">
        <v>U</v>
      </c>
      <c r="V13" t="str">
        <v>U</v>
      </c>
      <c r="W13" t="str">
        <v>U</v>
      </c>
      <c r="X13" t="str">
        <v>U</v>
      </c>
      <c r="Y13" t="str">
        <v>U</v>
      </c>
      <c r="Z13" t="str">
        <v>U</v>
      </c>
      <c r="AA13" t="str">
        <v>U</v>
      </c>
      <c r="AB13" t="str">
        <v>U</v>
      </c>
      <c r="AC13" t="str">
        <v>U</v>
      </c>
      <c r="AD13" t="str">
        <v>U</v>
      </c>
      <c r="AE13" t="str">
        <v>U</v>
      </c>
      <c r="AF13" t="str">
        <v>U</v>
      </c>
      <c r="AG13">
        <v>7</v>
      </c>
      <c r="AH13">
        <v>14</v>
      </c>
      <c r="AI13">
        <v>14</v>
      </c>
      <c r="AJ13">
        <v>35</v>
      </c>
      <c r="AK13">
        <v>50</v>
      </c>
    </row>
    <row r="14" spans="1:37" x14ac:dyDescent="0.3">
      <c r="A14">
        <v>13</v>
      </c>
      <c r="B14">
        <v>2010992016</v>
      </c>
      <c r="C14" t="str">
        <v>VARUN</v>
      </c>
      <c r="D14">
        <v>0</v>
      </c>
      <c r="E14" t="str">
        <v>EC112</v>
      </c>
      <c r="F14" t="str">
        <v>Network Analysis and Synthesis</v>
      </c>
      <c r="G14" t="str">
        <v>Theory</v>
      </c>
      <c r="H14" t="str">
        <v>B.E</v>
      </c>
      <c r="I14" t="str">
        <v>ECE</v>
      </c>
      <c r="J14">
        <v>2020</v>
      </c>
      <c r="K14">
        <v>3</v>
      </c>
      <c r="L14" t="str">
        <v>ST2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 t="str">
        <v>U</v>
      </c>
      <c r="S14" t="str">
        <v>U</v>
      </c>
      <c r="T14" t="str">
        <v>U</v>
      </c>
      <c r="U14" t="str">
        <v>U</v>
      </c>
      <c r="V14" t="str">
        <v>U</v>
      </c>
      <c r="W14" t="str">
        <v>U</v>
      </c>
      <c r="X14" t="str">
        <v>U</v>
      </c>
      <c r="Y14" t="str">
        <v>U</v>
      </c>
      <c r="Z14" t="str">
        <v>U</v>
      </c>
      <c r="AA14" t="str">
        <v>U</v>
      </c>
      <c r="AB14" t="str">
        <v>U</v>
      </c>
      <c r="AC14" t="str">
        <v>U</v>
      </c>
      <c r="AD14" t="str">
        <v>U</v>
      </c>
      <c r="AE14" t="str">
        <v>U</v>
      </c>
      <c r="AF14" t="str">
        <v>U</v>
      </c>
      <c r="AG14">
        <v>10</v>
      </c>
      <c r="AH14">
        <v>11</v>
      </c>
      <c r="AI14">
        <v>10</v>
      </c>
      <c r="AJ14">
        <v>31</v>
      </c>
      <c r="AK14">
        <v>50</v>
      </c>
    </row>
    <row r="15" spans="1:37" x14ac:dyDescent="0.3">
      <c r="A15">
        <v>14</v>
      </c>
      <c r="B15">
        <v>2010992017</v>
      </c>
      <c r="C15" t="str">
        <v>MRIDUL AGGARWAL</v>
      </c>
      <c r="D15">
        <v>0</v>
      </c>
      <c r="E15" t="str">
        <v>EC112</v>
      </c>
      <c r="F15" t="str">
        <v>Network Analysis and Synthesis</v>
      </c>
      <c r="G15" t="str">
        <v>Theory</v>
      </c>
      <c r="H15" t="str">
        <v>B.E</v>
      </c>
      <c r="I15" t="str">
        <v>ECE</v>
      </c>
      <c r="J15">
        <v>2020</v>
      </c>
      <c r="K15">
        <v>3</v>
      </c>
      <c r="L15" t="str">
        <v>ST2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  <c r="V15" t="str">
        <v>U</v>
      </c>
      <c r="W15" t="str">
        <v>U</v>
      </c>
      <c r="X15" t="str">
        <v>U</v>
      </c>
      <c r="Y15" t="str">
        <v>U</v>
      </c>
      <c r="Z15" t="str">
        <v>U</v>
      </c>
      <c r="AA15" t="str">
        <v>U</v>
      </c>
      <c r="AB15" t="str">
        <v>U</v>
      </c>
      <c r="AC15" t="str">
        <v>U</v>
      </c>
      <c r="AD15" t="str">
        <v>U</v>
      </c>
      <c r="AE15" t="str">
        <v>U</v>
      </c>
      <c r="AF15" t="str">
        <v>U</v>
      </c>
      <c r="AG15">
        <v>7</v>
      </c>
      <c r="AH15">
        <v>17</v>
      </c>
      <c r="AI15">
        <v>16</v>
      </c>
      <c r="AJ15">
        <v>40</v>
      </c>
      <c r="AK15">
        <v>50</v>
      </c>
    </row>
    <row r="16" spans="1:37" x14ac:dyDescent="0.3">
      <c r="A16">
        <v>15</v>
      </c>
      <c r="B16">
        <v>2010992018</v>
      </c>
      <c r="C16" t="str">
        <v>SHAKSHI SINGH</v>
      </c>
      <c r="D16">
        <v>0</v>
      </c>
      <c r="E16" t="str">
        <v>EC112</v>
      </c>
      <c r="F16" t="str">
        <v>Network Analysis and Synthesis</v>
      </c>
      <c r="G16" t="str">
        <v>Theory</v>
      </c>
      <c r="H16" t="str">
        <v>B.E</v>
      </c>
      <c r="I16" t="str">
        <v>ECE</v>
      </c>
      <c r="J16">
        <v>2020</v>
      </c>
      <c r="K16">
        <v>3</v>
      </c>
      <c r="L16" t="str">
        <v>ST2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 t="str">
        <v>U</v>
      </c>
      <c r="S16" t="str">
        <v>U</v>
      </c>
      <c r="T16" t="str">
        <v>U</v>
      </c>
      <c r="U16" t="str">
        <v>U</v>
      </c>
      <c r="V16" t="str">
        <v>U</v>
      </c>
      <c r="W16" t="str">
        <v>U</v>
      </c>
      <c r="X16" t="str">
        <v>U</v>
      </c>
      <c r="Y16" t="str">
        <v>U</v>
      </c>
      <c r="Z16" t="str">
        <v>U</v>
      </c>
      <c r="AA16" t="str">
        <v>U</v>
      </c>
      <c r="AB16" t="str">
        <v>U</v>
      </c>
      <c r="AC16" t="str">
        <v>U</v>
      </c>
      <c r="AD16" t="str">
        <v>U</v>
      </c>
      <c r="AE16" t="str">
        <v>U</v>
      </c>
      <c r="AF16" t="str">
        <v>U</v>
      </c>
      <c r="AG16">
        <v>10</v>
      </c>
      <c r="AH16">
        <v>17</v>
      </c>
      <c r="AI16">
        <v>16</v>
      </c>
      <c r="AJ16">
        <v>43</v>
      </c>
      <c r="AK16">
        <v>50</v>
      </c>
    </row>
    <row r="17" spans="1:37" x14ac:dyDescent="0.3">
      <c r="A17">
        <v>16</v>
      </c>
      <c r="B17">
        <v>2010992019</v>
      </c>
      <c r="C17" t="str">
        <v>KHAN MUBASHIR RASOOL</v>
      </c>
      <c r="D17">
        <v>0</v>
      </c>
      <c r="E17" t="str">
        <v>EC112</v>
      </c>
      <c r="F17" t="str">
        <v>Network Analysis and Synthesis</v>
      </c>
      <c r="G17" t="str">
        <v>Theory</v>
      </c>
      <c r="H17" t="str">
        <v>B.E</v>
      </c>
      <c r="I17" t="str">
        <v>ECE</v>
      </c>
      <c r="J17">
        <v>2020</v>
      </c>
      <c r="K17">
        <v>3</v>
      </c>
      <c r="L17" t="str">
        <v>ST2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  <c r="V17" t="str">
        <v>U</v>
      </c>
      <c r="W17" t="str">
        <v>U</v>
      </c>
      <c r="X17" t="str">
        <v>U</v>
      </c>
      <c r="Y17" t="str">
        <v>U</v>
      </c>
      <c r="Z17" t="str">
        <v>U</v>
      </c>
      <c r="AA17" t="str">
        <v>U</v>
      </c>
      <c r="AB17" t="str">
        <v>U</v>
      </c>
      <c r="AC17" t="str">
        <v>U</v>
      </c>
      <c r="AD17" t="str">
        <v>U</v>
      </c>
      <c r="AE17" t="str">
        <v>U</v>
      </c>
      <c r="AF17" t="str">
        <v>U</v>
      </c>
      <c r="AG17">
        <v>10</v>
      </c>
      <c r="AH17">
        <v>16</v>
      </c>
      <c r="AI17">
        <v>16</v>
      </c>
      <c r="AJ17">
        <v>42</v>
      </c>
      <c r="AK17">
        <v>50</v>
      </c>
    </row>
    <row r="18" spans="1:37" x14ac:dyDescent="0.3">
      <c r="A18">
        <v>17</v>
      </c>
      <c r="B18">
        <v>2010992163</v>
      </c>
      <c r="C18" t="str">
        <v>TAMANA SIAG</v>
      </c>
      <c r="D18">
        <v>0</v>
      </c>
      <c r="E18" t="str">
        <v>EC112</v>
      </c>
      <c r="F18" t="str">
        <v>Network Analysis and Synthesis</v>
      </c>
      <c r="G18" t="str">
        <v>Theory</v>
      </c>
      <c r="H18" t="str">
        <v>B.E</v>
      </c>
      <c r="I18" t="str">
        <v>ECE</v>
      </c>
      <c r="J18">
        <v>2020</v>
      </c>
      <c r="K18">
        <v>3</v>
      </c>
      <c r="L18" t="str">
        <v>ST2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 t="str">
        <v>U</v>
      </c>
      <c r="S18" t="str">
        <v>U</v>
      </c>
      <c r="T18" t="str">
        <v>U</v>
      </c>
      <c r="U18" t="str">
        <v>U</v>
      </c>
      <c r="V18" t="str">
        <v>U</v>
      </c>
      <c r="W18" t="str">
        <v>U</v>
      </c>
      <c r="X18" t="str">
        <v>U</v>
      </c>
      <c r="Y18" t="str">
        <v>U</v>
      </c>
      <c r="Z18" t="str">
        <v>U</v>
      </c>
      <c r="AA18" t="str">
        <v>U</v>
      </c>
      <c r="AB18" t="str">
        <v>U</v>
      </c>
      <c r="AC18" t="str">
        <v>U</v>
      </c>
      <c r="AD18" t="str">
        <v>U</v>
      </c>
      <c r="AE18" t="str">
        <v>U</v>
      </c>
      <c r="AF18" t="str">
        <v>U</v>
      </c>
      <c r="AG18">
        <v>10</v>
      </c>
      <c r="AH18">
        <v>16</v>
      </c>
      <c r="AI18">
        <v>14</v>
      </c>
      <c r="AJ18">
        <v>40</v>
      </c>
      <c r="AK18">
        <v>50</v>
      </c>
    </row>
    <row r="19" spans="1:37" x14ac:dyDescent="0.3">
      <c r="A19">
        <v>18</v>
      </c>
      <c r="B19">
        <v>2010992202</v>
      </c>
      <c r="C19" t="str">
        <v>EKAMJOT SINGH MAINGI</v>
      </c>
      <c r="D19">
        <v>0</v>
      </c>
      <c r="E19" t="str">
        <v>EC112</v>
      </c>
      <c r="F19" t="str">
        <v>Network Analysis and Synthesis</v>
      </c>
      <c r="G19" t="str">
        <v>Theory</v>
      </c>
      <c r="H19" t="str">
        <v>B.E</v>
      </c>
      <c r="I19" t="str">
        <v>ECE</v>
      </c>
      <c r="J19">
        <v>2020</v>
      </c>
      <c r="K19">
        <v>3</v>
      </c>
      <c r="L19" t="str">
        <v>ST2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 t="str">
        <v>U</v>
      </c>
      <c r="S19" t="str">
        <v>U</v>
      </c>
      <c r="T19" t="str">
        <v>U</v>
      </c>
      <c r="U19" t="str">
        <v>U</v>
      </c>
      <c r="V19" t="str">
        <v>U</v>
      </c>
      <c r="W19" t="str">
        <v>U</v>
      </c>
      <c r="X19" t="str">
        <v>U</v>
      </c>
      <c r="Y19" t="str">
        <v>U</v>
      </c>
      <c r="Z19" t="str">
        <v>U</v>
      </c>
      <c r="AA19" t="str">
        <v>U</v>
      </c>
      <c r="AB19" t="str">
        <v>U</v>
      </c>
      <c r="AC19" t="str">
        <v>U</v>
      </c>
      <c r="AD19" t="str">
        <v>U</v>
      </c>
      <c r="AE19" t="str">
        <v>U</v>
      </c>
      <c r="AF19" t="str">
        <v>U</v>
      </c>
      <c r="AG19">
        <v>7</v>
      </c>
      <c r="AH19">
        <v>17</v>
      </c>
      <c r="AI19">
        <v>16</v>
      </c>
      <c r="AJ19">
        <v>40</v>
      </c>
      <c r="AK19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3DF9-31ED-4793-8ABC-7F9E5C72A7F5}">
  <sheetPr codeName="Sheet12"/>
  <dimension ref="A1:U19"/>
  <sheetViews>
    <sheetView topLeftCell="D1" workbookViewId="0">
      <selection activeCell="N8" sqref="N8"/>
    </sheetView>
  </sheetViews>
  <sheetFormatPr defaultRowHeight="14.4" x14ac:dyDescent="0.3"/>
  <cols>
    <col min="1" max="1" width="11" bestFit="1" customWidth="1"/>
    <col min="17" max="17" width="10.33203125" bestFit="1" customWidth="1"/>
  </cols>
  <sheetData>
    <row r="1" spans="1:21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B19">INDEX('ST2 Result'!M:M, 1):INDEX('ST2 Result'!M:M, COUNTA('ST2 Result'!M:M) )</f>
        <v>1a</v>
      </c>
      <c r="C1" t="str" cm="1">
        <f t="array" ref="C1:C19">INDEX('ST2 Result'!N:N, 1):INDEX('ST2 Result'!N:N, COUNTA('ST2 Result'!N:N) )</f>
        <v>1b</v>
      </c>
      <c r="D1" t="str" cm="1">
        <f t="array" ref="D1:D19">INDEX('ST2 Result'!O:O, 1):INDEX('ST2 Result'!O:O, COUNTA('ST2 Result'!O:O) )</f>
        <v>1c</v>
      </c>
      <c r="E1" t="str" cm="1">
        <f t="array" ref="E1:E19">INDEX('ST2 Result'!P:P, 1):INDEX('ST2 Result'!P:P, COUNTA('ST2 Result'!P:P) )</f>
        <v>1d</v>
      </c>
      <c r="F1" t="str" cm="1">
        <f t="array" ref="F1:F19">INDEX('ST2 Result'!Q:Q, 1):INDEX('ST2 Result'!Q:Q, COUNTA('ST2 Result'!Q:Q) )</f>
        <v>1e</v>
      </c>
      <c r="G1" t="str" cm="1">
        <f t="array" ref="G1:G19">INDEX('ST2 Result'!R:R, 1):INDEX('ST2 Result'!R:R, COUNTA('ST2 Result'!R:R) )</f>
        <v>Q2</v>
      </c>
      <c r="H1" t="str" cm="1">
        <f t="array" ref="H1:H19">INDEX('ST2 Result'!S:S, 1):INDEX('ST2 Result'!S:S, COUNTA('ST2 Result'!S:S) )</f>
        <v>Q3</v>
      </c>
      <c r="I1" t="str" cm="1">
        <f t="array" ref="I1:I19">INDEX('ST2 Result'!T:T, 1):INDEX('ST2 Result'!T:T, COUNTA('ST2 Result'!T:T) )</f>
        <v>Q4</v>
      </c>
      <c r="J1" t="str" cm="1">
        <f t="array" ref="J1:J19">INDEX('ST2 Result'!U:U, 1):INDEX('ST2 Result'!U:U, COUNTA('ST2 Result'!U:U) )</f>
        <v>Q5</v>
      </c>
      <c r="K1" t="str" cm="1">
        <f t="array" ref="K1:K19">INDEX('ST2 Result'!V:V, 1):INDEX('ST2 Result'!V:V, COUNTA('ST2 Result'!V:V) )</f>
        <v>Q6</v>
      </c>
      <c r="L1" t="str" cm="1">
        <f t="array" ref="L1:L19">INDEX('ST2 Result'!W:W, 1):INDEX('ST2 Result'!W:W, COUNTA('ST2 Result'!W:W) )</f>
        <v>Q7</v>
      </c>
      <c r="M1" t="str" cm="1">
        <f t="array" ref="M1:M19">INDEX('ST2 Result'!X:X, 1):INDEX('ST2 Result'!X:X, COUNTA('ST2 Result'!X:X) )</f>
        <v>Q8</v>
      </c>
      <c r="N1" t="str" cm="1">
        <f t="array" ref="N1:N19">INDEX('ST2 Result'!Y:Y, 1):INDEX('ST2 Result'!Y:Y, COUNTA('ST2 Result'!Y:Y) )</f>
        <v>Q9</v>
      </c>
      <c r="O1" t="str" cm="1">
        <f t="array" ref="O1:O19">INDEX('ST2 Result'!Z:Z, 1):INDEX('ST2 Result'!Z:Z, COUNTA('ST2 Result'!Z:Z) )</f>
        <v>Q10</v>
      </c>
      <c r="P1" t="str" cm="1">
        <f t="array" ref="P1:P19">INDEX('ST2 Result'!AA:AA, 1):INDEX('ST2 Result'!AA:AA, COUNTA('ST2 Result'!AA:AA) )</f>
        <v>Q11</v>
      </c>
      <c r="Q1" t="str" cm="1">
        <f t="array" ref="Q1:Q19">INDEX('ST2 Result'!AB:AB, 1):INDEX('ST2 Result'!AB:AB, COUNTA('ST2 Result'!AB:AB) )</f>
        <v>Q12</v>
      </c>
      <c r="R1" t="str" cm="1">
        <f t="array" ref="R1:R19">INDEX('ST2 Result'!AC:AC, 1):INDEX('ST2 Result'!AC:AC, COUNTA('ST2 Result'!AC:AC) )</f>
        <v>Q13</v>
      </c>
      <c r="S1" t="str" cm="1">
        <f t="array" ref="S1:S19">INDEX('ST2 Result'!AD:AD, 1):INDEX('ST2 Result'!AD:AD, COUNTA('ST2 Result'!AD:AD) )</f>
        <v>Q14</v>
      </c>
      <c r="T1" t="str" cm="1">
        <f t="array" ref="T1:T19">INDEX('ST2 Result'!AE:AE, 1):INDEX('ST2 Result'!AE:AE, COUNTA('ST2 Result'!AE:AE) )</f>
        <v>Q15</v>
      </c>
      <c r="U1" t="str" cm="1">
        <f t="array" ref="U1:U19">INDEX('ST2 Result'!AF:AF, 1):INDEX('ST2 Result'!AF:AF, COUNTA('ST2 Result'!AF:AF) )</f>
        <v>Q16</v>
      </c>
    </row>
    <row r="2" spans="1:21" x14ac:dyDescent="0.3">
      <c r="A2">
        <v>2010990089</v>
      </c>
      <c r="B2" t="str">
        <v>U</v>
      </c>
      <c r="C2" t="str">
        <v>U</v>
      </c>
      <c r="D2" t="str">
        <v>U</v>
      </c>
      <c r="E2" t="str">
        <v>U</v>
      </c>
      <c r="F2" t="str">
        <v>U</v>
      </c>
      <c r="G2" t="str">
        <v>U</v>
      </c>
      <c r="H2" t="str">
        <v>U</v>
      </c>
      <c r="I2" t="str">
        <v>U</v>
      </c>
      <c r="J2" t="str">
        <v>U</v>
      </c>
      <c r="K2" t="str">
        <v>U</v>
      </c>
      <c r="L2" t="str">
        <v>U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 t="str">
        <v>U</v>
      </c>
      <c r="S2" t="str">
        <v>U</v>
      </c>
      <c r="T2" t="str">
        <v>U</v>
      </c>
      <c r="U2" t="str">
        <v>U</v>
      </c>
    </row>
    <row r="3" spans="1:21" x14ac:dyDescent="0.3">
      <c r="A3">
        <v>2010992002</v>
      </c>
      <c r="B3" t="str">
        <v>U</v>
      </c>
      <c r="C3" t="str">
        <v>U</v>
      </c>
      <c r="D3" t="str">
        <v>U</v>
      </c>
      <c r="E3" t="str">
        <v>U</v>
      </c>
      <c r="F3" t="str">
        <v>U</v>
      </c>
      <c r="G3" t="str">
        <v>U</v>
      </c>
      <c r="H3" t="str">
        <v>U</v>
      </c>
      <c r="I3" t="str">
        <v>U</v>
      </c>
      <c r="J3" t="str">
        <v>U</v>
      </c>
      <c r="K3" t="str">
        <v>U</v>
      </c>
      <c r="L3" t="str">
        <v>U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 t="str">
        <v>U</v>
      </c>
      <c r="S3" t="str">
        <v>U</v>
      </c>
      <c r="T3" t="str">
        <v>U</v>
      </c>
      <c r="U3" t="str">
        <v>U</v>
      </c>
    </row>
    <row r="4" spans="1:21" x14ac:dyDescent="0.3">
      <c r="A4">
        <v>2010992004</v>
      </c>
      <c r="B4" t="str">
        <v>U</v>
      </c>
      <c r="C4" t="str">
        <v>U</v>
      </c>
      <c r="D4" t="str">
        <v>U</v>
      </c>
      <c r="E4" t="str">
        <v>U</v>
      </c>
      <c r="F4" t="str">
        <v>U</v>
      </c>
      <c r="G4" t="str">
        <v>U</v>
      </c>
      <c r="H4" t="str">
        <v>U</v>
      </c>
      <c r="I4" t="str">
        <v>U</v>
      </c>
      <c r="J4" t="str">
        <v>U</v>
      </c>
      <c r="K4" t="str">
        <v>U</v>
      </c>
      <c r="L4" t="str">
        <v>U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</row>
    <row r="5" spans="1:21" x14ac:dyDescent="0.3">
      <c r="A5">
        <v>2010992005</v>
      </c>
      <c r="B5" t="str">
        <v>U</v>
      </c>
      <c r="C5" t="str">
        <v>U</v>
      </c>
      <c r="D5" t="str">
        <v>U</v>
      </c>
      <c r="E5" t="str">
        <v>U</v>
      </c>
      <c r="F5" t="str">
        <v>U</v>
      </c>
      <c r="G5" t="str">
        <v>U</v>
      </c>
      <c r="H5" t="str">
        <v>U</v>
      </c>
      <c r="I5" t="str">
        <v>U</v>
      </c>
      <c r="J5" t="str">
        <v>U</v>
      </c>
      <c r="K5" t="str">
        <v>U</v>
      </c>
      <c r="L5" t="str">
        <v>U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</row>
    <row r="6" spans="1:21" x14ac:dyDescent="0.3">
      <c r="A6">
        <v>2010992006</v>
      </c>
      <c r="B6" t="str">
        <v>U</v>
      </c>
      <c r="C6" t="str">
        <v>U</v>
      </c>
      <c r="D6" t="str">
        <v>U</v>
      </c>
      <c r="E6" t="str">
        <v>U</v>
      </c>
      <c r="F6" t="str">
        <v>U</v>
      </c>
      <c r="G6" t="str">
        <v>U</v>
      </c>
      <c r="H6" t="str">
        <v>U</v>
      </c>
      <c r="I6" t="str">
        <v>U</v>
      </c>
      <c r="J6" t="str">
        <v>U</v>
      </c>
      <c r="K6" t="str">
        <v>U</v>
      </c>
      <c r="L6" t="str">
        <v>U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</row>
    <row r="7" spans="1:21" x14ac:dyDescent="0.3">
      <c r="A7">
        <v>2010992008</v>
      </c>
      <c r="B7" t="str">
        <v>U</v>
      </c>
      <c r="C7" t="str">
        <v>U</v>
      </c>
      <c r="D7" t="str">
        <v>U</v>
      </c>
      <c r="E7" t="str">
        <v>U</v>
      </c>
      <c r="F7" t="str">
        <v>U</v>
      </c>
      <c r="G7" t="str">
        <v>U</v>
      </c>
      <c r="H7" t="str">
        <v>U</v>
      </c>
      <c r="I7" t="str">
        <v>U</v>
      </c>
      <c r="J7" t="str">
        <v>U</v>
      </c>
      <c r="K7" t="str">
        <v>U</v>
      </c>
      <c r="L7" t="str">
        <v>U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</row>
    <row r="8" spans="1:21" x14ac:dyDescent="0.3">
      <c r="A8">
        <v>2010992009</v>
      </c>
      <c r="B8" t="str">
        <v>U</v>
      </c>
      <c r="C8" t="str">
        <v>U</v>
      </c>
      <c r="D8" t="str">
        <v>U</v>
      </c>
      <c r="E8" t="str">
        <v>U</v>
      </c>
      <c r="F8" t="str">
        <v>U</v>
      </c>
      <c r="G8" t="str">
        <v>U</v>
      </c>
      <c r="H8" t="str">
        <v>U</v>
      </c>
      <c r="I8" t="str">
        <v>U</v>
      </c>
      <c r="J8" t="str">
        <v>U</v>
      </c>
      <c r="K8" t="str">
        <v>U</v>
      </c>
      <c r="L8" t="str">
        <v>U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</row>
    <row r="9" spans="1:21" x14ac:dyDescent="0.3">
      <c r="A9">
        <v>2010992010</v>
      </c>
      <c r="B9" t="str">
        <v>U</v>
      </c>
      <c r="C9" t="str">
        <v>U</v>
      </c>
      <c r="D9" t="str">
        <v>U</v>
      </c>
      <c r="E9" t="str">
        <v>U</v>
      </c>
      <c r="F9" t="str">
        <v>U</v>
      </c>
      <c r="G9" t="str">
        <v>U</v>
      </c>
      <c r="H9" t="str">
        <v>U</v>
      </c>
      <c r="I9" t="str">
        <v>U</v>
      </c>
      <c r="J9" t="str">
        <v>U</v>
      </c>
      <c r="K9" t="str">
        <v>U</v>
      </c>
      <c r="L9" t="str">
        <v>U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</row>
    <row r="10" spans="1:21" x14ac:dyDescent="0.3">
      <c r="A10">
        <v>2010992011</v>
      </c>
      <c r="B10" t="str">
        <v>U</v>
      </c>
      <c r="C10" t="str">
        <v>U</v>
      </c>
      <c r="D10" t="str">
        <v>U</v>
      </c>
      <c r="E10" t="str">
        <v>U</v>
      </c>
      <c r="F10" t="str">
        <v>U</v>
      </c>
      <c r="G10" t="str">
        <v>U</v>
      </c>
      <c r="H10" t="str">
        <v>U</v>
      </c>
      <c r="I10" t="str">
        <v>U</v>
      </c>
      <c r="J10" t="str">
        <v>U</v>
      </c>
      <c r="K10" t="str">
        <v>U</v>
      </c>
      <c r="L10" t="str">
        <v>U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</row>
    <row r="11" spans="1:21" x14ac:dyDescent="0.3">
      <c r="A11">
        <v>2010992012</v>
      </c>
      <c r="B11" t="str">
        <v>U</v>
      </c>
      <c r="C11" t="str">
        <v>U</v>
      </c>
      <c r="D11" t="str">
        <v>U</v>
      </c>
      <c r="E11" t="str">
        <v>U</v>
      </c>
      <c r="F11" t="str">
        <v>U</v>
      </c>
      <c r="G11" t="str">
        <v>U</v>
      </c>
      <c r="H11" t="str">
        <v>U</v>
      </c>
      <c r="I11" t="str">
        <v>U</v>
      </c>
      <c r="J11" t="str">
        <v>U</v>
      </c>
      <c r="K11" t="str">
        <v>U</v>
      </c>
      <c r="L11" t="str">
        <v>U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 t="str">
        <v>U</v>
      </c>
      <c r="S11" t="str">
        <v>U</v>
      </c>
      <c r="T11" t="str">
        <v>U</v>
      </c>
      <c r="U11" t="str">
        <v>U</v>
      </c>
    </row>
    <row r="12" spans="1:21" x14ac:dyDescent="0.3">
      <c r="A12">
        <v>2010992014</v>
      </c>
      <c r="B12" t="str">
        <v>U</v>
      </c>
      <c r="C12" t="str">
        <v>U</v>
      </c>
      <c r="D12" t="str">
        <v>U</v>
      </c>
      <c r="E12" t="str">
        <v>U</v>
      </c>
      <c r="F12" t="str">
        <v>U</v>
      </c>
      <c r="G12" t="str">
        <v>U</v>
      </c>
      <c r="H12" t="str">
        <v>U</v>
      </c>
      <c r="I12" t="str">
        <v>U</v>
      </c>
      <c r="J12" t="str">
        <v>U</v>
      </c>
      <c r="K12" t="str">
        <v>U</v>
      </c>
      <c r="L12" t="str">
        <v>U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</row>
    <row r="13" spans="1:21" x14ac:dyDescent="0.3">
      <c r="A13">
        <v>2010992015</v>
      </c>
      <c r="B13" t="str">
        <v>U</v>
      </c>
      <c r="C13" t="str">
        <v>U</v>
      </c>
      <c r="D13" t="str">
        <v>U</v>
      </c>
      <c r="E13" t="str">
        <v>U</v>
      </c>
      <c r="F13" t="str">
        <v>U</v>
      </c>
      <c r="G13" t="str">
        <v>U</v>
      </c>
      <c r="H13" t="str">
        <v>U</v>
      </c>
      <c r="I13" t="str">
        <v>U</v>
      </c>
      <c r="J13" t="str">
        <v>U</v>
      </c>
      <c r="K13" t="str">
        <v>U</v>
      </c>
      <c r="L13" t="str">
        <v>U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 t="str">
        <v>U</v>
      </c>
      <c r="S13" t="str">
        <v>U</v>
      </c>
      <c r="T13" t="str">
        <v>U</v>
      </c>
      <c r="U13" t="str">
        <v>U</v>
      </c>
    </row>
    <row r="14" spans="1:21" x14ac:dyDescent="0.3">
      <c r="A14">
        <v>2010992016</v>
      </c>
      <c r="B14" t="str">
        <v>U</v>
      </c>
      <c r="C14" t="str">
        <v>U</v>
      </c>
      <c r="D14" t="str">
        <v>U</v>
      </c>
      <c r="E14" t="str">
        <v>U</v>
      </c>
      <c r="F14" t="str">
        <v>U</v>
      </c>
      <c r="G14" t="str">
        <v>U</v>
      </c>
      <c r="H14" t="str">
        <v>U</v>
      </c>
      <c r="I14" t="str">
        <v>U</v>
      </c>
      <c r="J14" t="str">
        <v>U</v>
      </c>
      <c r="K14" t="str">
        <v>U</v>
      </c>
      <c r="L14" t="str">
        <v>U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 t="str">
        <v>U</v>
      </c>
      <c r="S14" t="str">
        <v>U</v>
      </c>
      <c r="T14" t="str">
        <v>U</v>
      </c>
      <c r="U14" t="str">
        <v>U</v>
      </c>
    </row>
    <row r="15" spans="1:21" x14ac:dyDescent="0.3">
      <c r="A15">
        <v>2010992017</v>
      </c>
      <c r="B15" t="str">
        <v>U</v>
      </c>
      <c r="C15" t="str">
        <v>U</v>
      </c>
      <c r="D15" t="str">
        <v>U</v>
      </c>
      <c r="E15" t="str">
        <v>U</v>
      </c>
      <c r="F15" t="str">
        <v>U</v>
      </c>
      <c r="G15" t="str">
        <v>U</v>
      </c>
      <c r="H15" t="str">
        <v>U</v>
      </c>
      <c r="I15" t="str">
        <v>U</v>
      </c>
      <c r="J15" t="str">
        <v>U</v>
      </c>
      <c r="K15" t="str">
        <v>U</v>
      </c>
      <c r="L15" t="str">
        <v>U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</row>
    <row r="16" spans="1:21" x14ac:dyDescent="0.3">
      <c r="A16">
        <v>2010992018</v>
      </c>
      <c r="B16" t="str">
        <v>U</v>
      </c>
      <c r="C16" t="str">
        <v>U</v>
      </c>
      <c r="D16" t="str">
        <v>U</v>
      </c>
      <c r="E16" t="str">
        <v>U</v>
      </c>
      <c r="F16" t="str">
        <v>U</v>
      </c>
      <c r="G16" t="str">
        <v>U</v>
      </c>
      <c r="H16" t="str">
        <v>U</v>
      </c>
      <c r="I16" t="str">
        <v>U</v>
      </c>
      <c r="J16" t="str">
        <v>U</v>
      </c>
      <c r="K16" t="str">
        <v>U</v>
      </c>
      <c r="L16" t="str">
        <v>U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 t="str">
        <v>U</v>
      </c>
      <c r="S16" t="str">
        <v>U</v>
      </c>
      <c r="T16" t="str">
        <v>U</v>
      </c>
      <c r="U16" t="str">
        <v>U</v>
      </c>
    </row>
    <row r="17" spans="1:21" x14ac:dyDescent="0.3">
      <c r="A17">
        <v>2010992019</v>
      </c>
      <c r="B17" t="str">
        <v>U</v>
      </c>
      <c r="C17" t="str">
        <v>U</v>
      </c>
      <c r="D17" t="str">
        <v>U</v>
      </c>
      <c r="E17" t="str">
        <v>U</v>
      </c>
      <c r="F17" t="str">
        <v>U</v>
      </c>
      <c r="G17" t="str">
        <v>U</v>
      </c>
      <c r="H17" t="str">
        <v>U</v>
      </c>
      <c r="I17" t="str">
        <v>U</v>
      </c>
      <c r="J17" t="str">
        <v>U</v>
      </c>
      <c r="K17" t="str">
        <v>U</v>
      </c>
      <c r="L17" t="str">
        <v>U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</row>
    <row r="18" spans="1:21" x14ac:dyDescent="0.3">
      <c r="A18">
        <v>2010992163</v>
      </c>
      <c r="B18" t="str">
        <v>U</v>
      </c>
      <c r="C18" t="str">
        <v>U</v>
      </c>
      <c r="D18" t="str">
        <v>U</v>
      </c>
      <c r="E18" t="str">
        <v>U</v>
      </c>
      <c r="F18" t="str">
        <v>U</v>
      </c>
      <c r="G18" t="str">
        <v>U</v>
      </c>
      <c r="H18" t="str">
        <v>U</v>
      </c>
      <c r="I18" t="str">
        <v>U</v>
      </c>
      <c r="J18" t="str">
        <v>U</v>
      </c>
      <c r="K18" t="str">
        <v>U</v>
      </c>
      <c r="L18" t="str">
        <v>U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 t="str">
        <v>U</v>
      </c>
      <c r="S18" t="str">
        <v>U</v>
      </c>
      <c r="T18" t="str">
        <v>U</v>
      </c>
      <c r="U18" t="str">
        <v>U</v>
      </c>
    </row>
    <row r="19" spans="1:21" x14ac:dyDescent="0.3">
      <c r="A19">
        <v>2010992202</v>
      </c>
      <c r="B19" t="str">
        <v>U</v>
      </c>
      <c r="C19" t="str">
        <v>U</v>
      </c>
      <c r="D19" t="str">
        <v>U</v>
      </c>
      <c r="E19" t="str">
        <v>U</v>
      </c>
      <c r="F19" t="str">
        <v>U</v>
      </c>
      <c r="G19" t="str">
        <v>U</v>
      </c>
      <c r="H19" t="str">
        <v>U</v>
      </c>
      <c r="I19" t="str">
        <v>U</v>
      </c>
      <c r="J19" t="str">
        <v>U</v>
      </c>
      <c r="K19" t="str">
        <v>U</v>
      </c>
      <c r="L19" t="str">
        <v>U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 t="str">
        <v>U</v>
      </c>
      <c r="S19" t="str">
        <v>U</v>
      </c>
      <c r="T19" t="str">
        <v>U</v>
      </c>
      <c r="U19" t="str">
        <v>U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C7B7-E0D5-48E1-AAA4-6D76B1C4D4B5}">
  <sheetPr codeName="Sheet13"/>
  <dimension ref="A1:U19"/>
  <sheetViews>
    <sheetView zoomScale="85" zoomScaleNormal="85" workbookViewId="0">
      <selection activeCell="G12" sqref="G12"/>
    </sheetView>
  </sheetViews>
  <sheetFormatPr defaultRowHeight="14.4" x14ac:dyDescent="0.3"/>
  <cols>
    <col min="1" max="1" width="21" bestFit="1" customWidth="1"/>
    <col min="2" max="2" width="11.6640625" bestFit="1" customWidth="1"/>
  </cols>
  <sheetData>
    <row r="1" spans="1:21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U1">TRANSPOSE('ST2 Questions'!A2:A21)</f>
        <v>1a</v>
      </c>
      <c r="C1" t="str">
        <v>1b</v>
      </c>
      <c r="D1" t="str">
        <v>1c</v>
      </c>
      <c r="E1" t="str">
        <v>1d</v>
      </c>
      <c r="F1" t="str">
        <v>1e</v>
      </c>
      <c r="G1" t="str">
        <v>Q2</v>
      </c>
      <c r="H1" t="str">
        <v>Q3</v>
      </c>
      <c r="I1" t="str">
        <v>Q4</v>
      </c>
      <c r="J1" t="str">
        <v>Q5</v>
      </c>
      <c r="K1" t="str">
        <v>Q6</v>
      </c>
      <c r="L1" t="str">
        <v>Q7</v>
      </c>
      <c r="M1" t="str">
        <v>Q8</v>
      </c>
      <c r="N1" t="str">
        <v>Q9</v>
      </c>
      <c r="O1" t="str">
        <v>Q10</v>
      </c>
      <c r="P1" t="str">
        <v>Q11</v>
      </c>
      <c r="Q1" t="str">
        <v>Q12</v>
      </c>
      <c r="R1" t="str">
        <v>Q13</v>
      </c>
      <c r="S1" t="str">
        <v>Q14</v>
      </c>
      <c r="T1" t="str">
        <v>Q15</v>
      </c>
      <c r="U1" t="str">
        <v>Q16</v>
      </c>
    </row>
    <row r="2" spans="1:21" x14ac:dyDescent="0.3">
      <c r="A2">
        <v>2010990089</v>
      </c>
      <c r="B2" t="str" cm="1">
        <f t="array" ref="B2:B19">IF(_xlfn.XLOOKUP($A2:INDEX($A:$A,COUNTA($A:$A)),'ST2 Student Marks'!$A$1:INDEX('ST2 Student Marks'!$A:$A,COUNTA('ST2 Student Marks'!$A:$A)),'ST2 Student Marks'!B$1:INDEX('ST2 Student Marks'!B:B,COUNTA('ST2 Student Marks'!B:B)))="U","Unattempted",'ST2 Student Marks'!B1)</f>
        <v>Unattempted</v>
      </c>
      <c r="C2" t="str" cm="1">
        <f t="array" ref="C2:C19">IF(_xlfn.XLOOKUP($A2:INDEX($A:$A,COUNTA($A:$A)),'ST2 Student Marks'!$A$1:INDEX('ST2 Student Marks'!$A:$A,COUNTA('ST2 Student Marks'!$A:$A)),'ST2 Student Marks'!C$1:INDEX('ST2 Student Marks'!C:C,COUNTA('ST2 Student Marks'!C:C)))="U","Unattempted",'ST2 Student Marks'!C1)</f>
        <v>Unattempted</v>
      </c>
      <c r="D2" t="str" cm="1">
        <f t="array" ref="D2:D19">IF(_xlfn.XLOOKUP($A2:INDEX($A:$A,COUNTA($A:$A)),'ST2 Student Marks'!$A$1:INDEX('ST2 Student Marks'!$A:$A,COUNTA('ST2 Student Marks'!$A:$A)),'ST2 Student Marks'!D$1:INDEX('ST2 Student Marks'!D:D,COUNTA('ST2 Student Marks'!D:D)))="U","Unattempted",'ST2 Student Marks'!D1)</f>
        <v>Unattempted</v>
      </c>
      <c r="E2" t="str" cm="1">
        <f t="array" ref="E2:E19">IF(_xlfn.XLOOKUP($A2:INDEX($A:$A,COUNTA($A:$A)),'ST2 Student Marks'!$A$1:INDEX('ST2 Student Marks'!$A:$A,COUNTA('ST2 Student Marks'!$A:$A)),'ST2 Student Marks'!E$1:INDEX('ST2 Student Marks'!E:E,COUNTA('ST2 Student Marks'!E:E)))="U","Unattempted",'ST2 Student Marks'!E1)</f>
        <v>Unattempted</v>
      </c>
      <c r="F2" t="str" cm="1">
        <f t="array" ref="F2:F19">IF(_xlfn.XLOOKUP($A2:INDEX($A:$A,COUNTA($A:$A)),'ST2 Student Marks'!$A$1:INDEX('ST2 Student Marks'!$A:$A,COUNTA('ST2 Student Marks'!$A:$A)),'ST2 Student Marks'!F$1:INDEX('ST2 Student Marks'!F:F,COUNTA('ST2 Student Marks'!F:F)))="U","Unattempted",'ST2 Student Marks'!F1)</f>
        <v>Unattempted</v>
      </c>
      <c r="G2" t="str" cm="1">
        <f t="array" ref="G2:G19">IF(_xlfn.XLOOKUP($A2:INDEX($A:$A,COUNTA($A:$A)),'ST2 Student Marks'!$A$1:INDEX('ST2 Student Marks'!$A:$A,COUNTA('ST2 Student Marks'!$A:$A)),'ST2 Student Marks'!G$1:INDEX('ST2 Student Marks'!G:G,COUNTA('ST2 Student Marks'!G:G)))="U","Unattempted",'ST2 Student Marks'!G1)</f>
        <v>Unattempted</v>
      </c>
      <c r="H2" t="str" cm="1">
        <f t="array" ref="H2:H19">IF(_xlfn.XLOOKUP($A2:INDEX($A:$A,COUNTA($A:$A)),'ST2 Student Marks'!$A$1:INDEX('ST2 Student Marks'!$A:$A,COUNTA('ST2 Student Marks'!$A:$A)),'ST2 Student Marks'!H$1:INDEX('ST2 Student Marks'!H:H,COUNTA('ST2 Student Marks'!H:H)))="U","Unattempted",'ST2 Student Marks'!H1)</f>
        <v>Unattempted</v>
      </c>
      <c r="I2" t="str" cm="1">
        <f t="array" ref="I2:I19">IF(_xlfn.XLOOKUP($A2:INDEX($A:$A,COUNTA($A:$A)),'ST2 Student Marks'!$A$1:INDEX('ST2 Student Marks'!$A:$A,COUNTA('ST2 Student Marks'!$A:$A)),'ST2 Student Marks'!I$1:INDEX('ST2 Student Marks'!I:I,COUNTA('ST2 Student Marks'!I:I)))="U","Unattempted",'ST2 Student Marks'!I1)</f>
        <v>Unattempted</v>
      </c>
      <c r="J2" t="str" cm="1">
        <f t="array" ref="J2:J19">IF(_xlfn.XLOOKUP($A2:INDEX($A:$A,COUNTA($A:$A)),'ST2 Student Marks'!$A$1:INDEX('ST2 Student Marks'!$A:$A,COUNTA('ST2 Student Marks'!$A:$A)),'ST2 Student Marks'!J$1:INDEX('ST2 Student Marks'!J:J,COUNTA('ST2 Student Marks'!J:J)))="U","Unattempted",'ST2 Student Marks'!J1)</f>
        <v>Unattempted</v>
      </c>
      <c r="K2" t="str" cm="1">
        <f t="array" ref="K2:K19">IF(_xlfn.XLOOKUP($A2:INDEX($A:$A,COUNTA($A:$A)),'ST2 Student Marks'!$A$1:INDEX('ST2 Student Marks'!$A:$A,COUNTA('ST2 Student Marks'!$A:$A)),'ST2 Student Marks'!K$1:INDEX('ST2 Student Marks'!K:K,COUNTA('ST2 Student Marks'!K:K)))="U","Unattempted",'ST2 Student Marks'!K1)</f>
        <v>Unattempted</v>
      </c>
      <c r="L2" t="str" cm="1">
        <f t="array" ref="L2:L19">IF(_xlfn.XLOOKUP($A2:INDEX($A:$A,COUNTA($A:$A)),'ST2 Student Marks'!$A$1:INDEX('ST2 Student Marks'!$A:$A,COUNTA('ST2 Student Marks'!$A:$A)),'ST2 Student Marks'!L$1:INDEX('ST2 Student Marks'!L:L,COUNTA('ST2 Student Marks'!L:L)))="U","Unattempted",'ST2 Student Marks'!L1)</f>
        <v>Unattempted</v>
      </c>
      <c r="M2" t="str" cm="1">
        <f t="array" ref="M2:M19">IF(_xlfn.XLOOKUP($A2:INDEX($A:$A,COUNTA($A:$A)),'ST2 Student Marks'!$A$1:INDEX('ST2 Student Marks'!$A:$A,COUNTA('ST2 Student Marks'!$A:$A)),'ST2 Student Marks'!M$1:INDEX('ST2 Student Marks'!M:M,COUNTA('ST2 Student Marks'!M:M)))="U","Unattempted",'ST2 Student Marks'!M1)</f>
        <v>Unattempted</v>
      </c>
      <c r="N2" t="str" cm="1">
        <f t="array" ref="N2:N19">IF(_xlfn.XLOOKUP($A2:INDEX($A:$A,COUNTA($A:$A)),'ST2 Student Marks'!$A$1:INDEX('ST2 Student Marks'!$A:$A,COUNTA('ST2 Student Marks'!$A:$A)),'ST2 Student Marks'!N$1:INDEX('ST2 Student Marks'!N:N,COUNTA('ST2 Student Marks'!N:N)))="U","Unattempted",'ST2 Student Marks'!N1)</f>
        <v>Unattempted</v>
      </c>
      <c r="O2" t="str" cm="1">
        <f t="array" ref="O2:O19">IF(_xlfn.XLOOKUP($A2:INDEX($A:$A,COUNTA($A:$A)),'ST2 Student Marks'!$A$1:INDEX('ST2 Student Marks'!$A:$A,COUNTA('ST2 Student Marks'!$A:$A)),'ST2 Student Marks'!O$1:INDEX('ST2 Student Marks'!O:O,COUNTA('ST2 Student Marks'!O:O)))="U","Unattempted",'ST2 Student Marks'!O1)</f>
        <v>Unattempted</v>
      </c>
      <c r="P2" t="str" cm="1">
        <f t="array" ref="P2:P19">IF(_xlfn.XLOOKUP($A2:INDEX($A:$A,COUNTA($A:$A)),'ST2 Student Marks'!$A$1:INDEX('ST2 Student Marks'!$A:$A,COUNTA('ST2 Student Marks'!$A:$A)),'ST2 Student Marks'!P$1:INDEX('ST2 Student Marks'!P:P,COUNTA('ST2 Student Marks'!P:P)))="U","Unattempted",'ST2 Student Marks'!P1)</f>
        <v>Unattempted</v>
      </c>
      <c r="Q2" t="str" cm="1">
        <f t="array" ref="Q2:Q19">IF(_xlfn.XLOOKUP($A2:INDEX($A:$A,COUNTA($A:$A)),'ST2 Student Marks'!$A$1:INDEX('ST2 Student Marks'!$A:$A,COUNTA('ST2 Student Marks'!$A:$A)),'ST2 Student Marks'!Q$1:INDEX('ST2 Student Marks'!Q:Q,COUNTA('ST2 Student Marks'!Q:Q)))="U","Unattempted",'ST2 Student Marks'!Q1)</f>
        <v>Unattempted</v>
      </c>
      <c r="R2" t="str" cm="1">
        <f t="array" ref="R2:R19">IF(_xlfn.XLOOKUP($A2:INDEX($A:$A,COUNTA($A:$A)),'ST2 Student Marks'!$A$1:INDEX('ST2 Student Marks'!$A:$A,COUNTA('ST2 Student Marks'!$A:$A)),'ST2 Student Marks'!R$1:INDEX('ST2 Student Marks'!R:R,COUNTA('ST2 Student Marks'!R:R)))="U","Unattempted",'ST2 Student Marks'!R1)</f>
        <v>Unattempted</v>
      </c>
      <c r="S2" t="str" cm="1">
        <f t="array" ref="S2:S19">IF(_xlfn.XLOOKUP($A2:INDEX($A:$A,COUNTA($A:$A)),'ST2 Student Marks'!$A$1:INDEX('ST2 Student Marks'!$A:$A,COUNTA('ST2 Student Marks'!$A:$A)),'ST2 Student Marks'!S$1:INDEX('ST2 Student Marks'!S:S,COUNTA('ST2 Student Marks'!S:S)))="U","Unattempted",'ST2 Student Marks'!S1)</f>
        <v>Unattempted</v>
      </c>
      <c r="T2" t="str" cm="1">
        <f t="array" ref="T2:T19">IF(_xlfn.XLOOKUP($A2:INDEX($A:$A,COUNTA($A:$A)),'ST2 Student Marks'!$A$1:INDEX('ST2 Student Marks'!$A:$A,COUNTA('ST2 Student Marks'!$A:$A)),'ST2 Student Marks'!T$1:INDEX('ST2 Student Marks'!T:T,COUNTA('ST2 Student Marks'!T:T)))="U","Unattempted",'ST2 Student Marks'!T1)</f>
        <v>Unattempted</v>
      </c>
      <c r="U2" t="str" cm="1">
        <f t="array" ref="U2:U19">IF(_xlfn.XLOOKUP($A2:INDEX($A:$A,COUNTA($A:$A)),'ST2 Student Marks'!$A$1:INDEX('ST2 Student Marks'!$A:$A,COUNTA('ST2 Student Marks'!$A:$A)),'ST2 Student Marks'!U$1:INDEX('ST2 Student Marks'!U:U,COUNTA('ST2 Student Marks'!U:U)))="U","Unattempted",'ST2 Student Marks'!U1)</f>
        <v>Unattempted</v>
      </c>
    </row>
    <row r="3" spans="1:21" ht="18" customHeight="1" x14ac:dyDescent="0.3">
      <c r="A3">
        <v>2010992002</v>
      </c>
      <c r="B3" t="str">
        <v>Unattempted</v>
      </c>
      <c r="C3" t="str">
        <v>Unattempted</v>
      </c>
      <c r="D3" t="str">
        <v>Unattempted</v>
      </c>
      <c r="E3" t="str">
        <v>Unattempted</v>
      </c>
      <c r="F3" t="str">
        <v>Unattempted</v>
      </c>
      <c r="G3" t="str">
        <v>Unattempted</v>
      </c>
      <c r="H3" t="str">
        <v>Unattempted</v>
      </c>
      <c r="I3" t="str">
        <v>Unattempted</v>
      </c>
      <c r="J3" t="str">
        <v>Unattempted</v>
      </c>
      <c r="K3" t="str">
        <v>Unattempted</v>
      </c>
      <c r="L3" t="str">
        <v>Unattempted</v>
      </c>
      <c r="M3" t="str">
        <v>Unattempted</v>
      </c>
      <c r="N3" t="str">
        <v>Unattempted</v>
      </c>
      <c r="O3" t="str">
        <v>Unattempted</v>
      </c>
      <c r="P3" t="str">
        <v>Unattempted</v>
      </c>
      <c r="Q3" t="str">
        <v>Unattempted</v>
      </c>
      <c r="R3" t="str">
        <v>Unattempted</v>
      </c>
      <c r="S3" s="1" t="str">
        <v>Unattempted</v>
      </c>
      <c r="T3" t="str">
        <v>Unattempted</v>
      </c>
      <c r="U3" t="str">
        <v>Unattempted</v>
      </c>
    </row>
    <row r="4" spans="1:21" x14ac:dyDescent="0.3">
      <c r="A4">
        <v>2010992004</v>
      </c>
      <c r="B4" t="str">
        <v>Unattempted</v>
      </c>
      <c r="C4" t="str">
        <v>Unattempted</v>
      </c>
      <c r="D4" t="str">
        <v>Unattempted</v>
      </c>
      <c r="E4" t="str">
        <v>Unattempted</v>
      </c>
      <c r="F4" t="str">
        <v>Unattempted</v>
      </c>
      <c r="G4" t="str">
        <v>Unattempted</v>
      </c>
      <c r="H4" t="str">
        <v>Unattempted</v>
      </c>
      <c r="I4" t="str">
        <v>Unattempted</v>
      </c>
      <c r="J4" t="str">
        <v>Unattempted</v>
      </c>
      <c r="K4" t="str">
        <v>Unattempted</v>
      </c>
      <c r="L4" t="str">
        <v>Unattempted</v>
      </c>
      <c r="M4" t="str">
        <v>Unattempted</v>
      </c>
      <c r="N4" t="str">
        <v>Unattempted</v>
      </c>
      <c r="O4" t="str">
        <v>Unattempted</v>
      </c>
      <c r="P4" t="str">
        <v>Unattempted</v>
      </c>
      <c r="Q4" t="str">
        <v>Unattempted</v>
      </c>
      <c r="R4" t="str">
        <v>Unattempted</v>
      </c>
      <c r="S4" t="str">
        <v>Unattempted</v>
      </c>
      <c r="T4" t="str">
        <v>Unattempted</v>
      </c>
      <c r="U4" t="str">
        <v>Unattempted</v>
      </c>
    </row>
    <row r="5" spans="1:21" x14ac:dyDescent="0.3">
      <c r="A5">
        <v>2010992005</v>
      </c>
      <c r="B5" t="str">
        <v>Unattempted</v>
      </c>
      <c r="C5" t="str">
        <v>Unattempted</v>
      </c>
      <c r="D5" t="str">
        <v>Unattempted</v>
      </c>
      <c r="E5" t="str">
        <v>Unattempted</v>
      </c>
      <c r="F5" t="str">
        <v>Unattempted</v>
      </c>
      <c r="G5" t="str">
        <v>Unattempted</v>
      </c>
      <c r="H5" t="str">
        <v>Unattempted</v>
      </c>
      <c r="I5" t="str">
        <v>Unattempted</v>
      </c>
      <c r="J5" t="str">
        <v>Unattempted</v>
      </c>
      <c r="K5" t="str">
        <v>Unattempted</v>
      </c>
      <c r="L5" t="str">
        <v>Unattempted</v>
      </c>
      <c r="M5" t="str">
        <v>Unattempted</v>
      </c>
      <c r="N5" t="str">
        <v>Unattempted</v>
      </c>
      <c r="O5" t="str">
        <v>Unattempted</v>
      </c>
      <c r="P5" t="str">
        <v>Unattempted</v>
      </c>
      <c r="Q5" t="str">
        <v>Unattempted</v>
      </c>
      <c r="R5" t="str">
        <v>Unattempted</v>
      </c>
      <c r="S5" t="str">
        <v>Unattempted</v>
      </c>
      <c r="T5" t="str">
        <v>Unattempted</v>
      </c>
      <c r="U5" t="str">
        <v>Unattempted</v>
      </c>
    </row>
    <row r="6" spans="1:21" x14ac:dyDescent="0.3">
      <c r="A6">
        <v>2010992006</v>
      </c>
      <c r="B6" t="str">
        <v>Unattempted</v>
      </c>
      <c r="C6" t="str">
        <v>Unattempted</v>
      </c>
      <c r="D6" t="str">
        <v>Unattempted</v>
      </c>
      <c r="E6" t="str">
        <v>Unattempted</v>
      </c>
      <c r="F6" t="str">
        <v>Unattempted</v>
      </c>
      <c r="G6" t="str">
        <v>Unattempted</v>
      </c>
      <c r="H6" t="str">
        <v>Unattempted</v>
      </c>
      <c r="I6" t="str">
        <v>Unattempted</v>
      </c>
      <c r="J6" t="str">
        <v>Unattempted</v>
      </c>
      <c r="K6" t="str">
        <v>Unattempted</v>
      </c>
      <c r="L6" t="str">
        <v>Unattempted</v>
      </c>
      <c r="M6" t="str">
        <v>Unattempted</v>
      </c>
      <c r="N6" t="str">
        <v>Unattempted</v>
      </c>
      <c r="O6" t="str">
        <v>Unattempted</v>
      </c>
      <c r="P6" t="str">
        <v>Unattempted</v>
      </c>
      <c r="Q6" t="str">
        <v>Unattempted</v>
      </c>
      <c r="R6" t="str">
        <v>Unattempted</v>
      </c>
      <c r="S6" t="str">
        <v>Unattempted</v>
      </c>
      <c r="T6" t="str">
        <v>Unattempted</v>
      </c>
      <c r="U6" t="str">
        <v>Unattempted</v>
      </c>
    </row>
    <row r="7" spans="1:21" x14ac:dyDescent="0.3">
      <c r="A7">
        <v>2010992008</v>
      </c>
      <c r="B7" t="str">
        <v>Unattempted</v>
      </c>
      <c r="C7" t="str">
        <v>Unattempted</v>
      </c>
      <c r="D7" t="str">
        <v>Unattempted</v>
      </c>
      <c r="E7" t="str">
        <v>Unattempted</v>
      </c>
      <c r="F7" t="str">
        <v>Unattempted</v>
      </c>
      <c r="G7" t="str">
        <v>Unattempted</v>
      </c>
      <c r="H7" t="str">
        <v>Unattempted</v>
      </c>
      <c r="I7" t="str">
        <v>Unattempted</v>
      </c>
      <c r="J7" t="str">
        <v>Unattempted</v>
      </c>
      <c r="K7" t="str">
        <v>Unattempted</v>
      </c>
      <c r="L7" t="str">
        <v>Unattempted</v>
      </c>
      <c r="M7" t="str">
        <v>Unattempted</v>
      </c>
      <c r="N7" t="str">
        <v>Unattempted</v>
      </c>
      <c r="O7" t="str">
        <v>Unattempted</v>
      </c>
      <c r="P7" t="str">
        <v>Unattempted</v>
      </c>
      <c r="Q7" t="str">
        <v>Unattempted</v>
      </c>
      <c r="R7" t="str">
        <v>Unattempted</v>
      </c>
      <c r="S7" t="str">
        <v>Unattempted</v>
      </c>
      <c r="T7" t="str">
        <v>Unattempted</v>
      </c>
      <c r="U7" t="str">
        <v>Unattempted</v>
      </c>
    </row>
    <row r="8" spans="1:21" x14ac:dyDescent="0.3">
      <c r="A8">
        <v>2010992009</v>
      </c>
      <c r="B8" t="str">
        <v>Unattempted</v>
      </c>
      <c r="C8" t="str">
        <v>Unattempted</v>
      </c>
      <c r="D8" t="str">
        <v>Unattempted</v>
      </c>
      <c r="E8" t="str">
        <v>Unattempted</v>
      </c>
      <c r="F8" t="str">
        <v>Unattempted</v>
      </c>
      <c r="G8" t="str">
        <v>Unattempted</v>
      </c>
      <c r="H8" t="str">
        <v>Unattempted</v>
      </c>
      <c r="I8" t="str">
        <v>Unattempted</v>
      </c>
      <c r="J8" t="str">
        <v>Unattempted</v>
      </c>
      <c r="K8" t="str">
        <v>Unattempted</v>
      </c>
      <c r="L8" t="str">
        <v>Unattempted</v>
      </c>
      <c r="M8" t="str">
        <v>Unattempted</v>
      </c>
      <c r="N8" t="str">
        <v>Unattempted</v>
      </c>
      <c r="O8" t="str">
        <v>Unattempted</v>
      </c>
      <c r="P8" t="str">
        <v>Unattempted</v>
      </c>
      <c r="Q8" t="str">
        <v>Unattempted</v>
      </c>
      <c r="R8" t="str">
        <v>Unattempted</v>
      </c>
      <c r="S8" t="str">
        <v>Unattempted</v>
      </c>
      <c r="T8" t="str">
        <v>Unattempted</v>
      </c>
      <c r="U8" t="str">
        <v>Unattempted</v>
      </c>
    </row>
    <row r="9" spans="1:21" x14ac:dyDescent="0.3">
      <c r="A9">
        <v>2010992010</v>
      </c>
      <c r="B9" t="str">
        <v>Unattempted</v>
      </c>
      <c r="C9" t="str">
        <v>Unattempted</v>
      </c>
      <c r="D9" t="str">
        <v>Unattempted</v>
      </c>
      <c r="E9" t="str">
        <v>Unattempted</v>
      </c>
      <c r="F9" t="str">
        <v>Unattempted</v>
      </c>
      <c r="G9" t="str">
        <v>Unattempted</v>
      </c>
      <c r="H9" t="str">
        <v>Unattempted</v>
      </c>
      <c r="I9" t="str">
        <v>Unattempted</v>
      </c>
      <c r="J9" t="str">
        <v>Unattempted</v>
      </c>
      <c r="K9" t="str">
        <v>Unattempted</v>
      </c>
      <c r="L9" t="str">
        <v>Unattempted</v>
      </c>
      <c r="M9" t="str">
        <v>Unattempted</v>
      </c>
      <c r="N9" t="str">
        <v>Unattempted</v>
      </c>
      <c r="O9" t="str">
        <v>Unattempted</v>
      </c>
      <c r="P9" t="str">
        <v>Unattempted</v>
      </c>
      <c r="Q9" t="str">
        <v>Unattempted</v>
      </c>
      <c r="R9" t="str">
        <v>Unattempted</v>
      </c>
      <c r="S9" t="str">
        <v>Unattempted</v>
      </c>
      <c r="T9" t="str">
        <v>Unattempted</v>
      </c>
      <c r="U9" t="str">
        <v>Unattempted</v>
      </c>
    </row>
    <row r="10" spans="1:21" x14ac:dyDescent="0.3">
      <c r="A10">
        <v>2010992011</v>
      </c>
      <c r="B10" t="str">
        <v>Unattempted</v>
      </c>
      <c r="C10" t="str">
        <v>Unattempted</v>
      </c>
      <c r="D10" t="str">
        <v>Unattempted</v>
      </c>
      <c r="E10" t="str">
        <v>Unattempted</v>
      </c>
      <c r="F10" t="str">
        <v>Unattempted</v>
      </c>
      <c r="G10" t="str">
        <v>Unattempted</v>
      </c>
      <c r="H10" t="str">
        <v>Unattempted</v>
      </c>
      <c r="I10" t="str">
        <v>Unattempted</v>
      </c>
      <c r="J10" t="str">
        <v>Unattempted</v>
      </c>
      <c r="K10" t="str">
        <v>Unattempted</v>
      </c>
      <c r="L10" t="str">
        <v>Unattempted</v>
      </c>
      <c r="M10" t="str">
        <v>Unattempted</v>
      </c>
      <c r="N10" t="str">
        <v>Unattempted</v>
      </c>
      <c r="O10" t="str">
        <v>Unattempted</v>
      </c>
      <c r="P10" t="str">
        <v>Unattempted</v>
      </c>
      <c r="Q10" t="str">
        <v>Unattempted</v>
      </c>
      <c r="R10" t="str">
        <v>Unattempted</v>
      </c>
      <c r="S10" t="str">
        <v>Unattempted</v>
      </c>
      <c r="T10" t="str">
        <v>Unattempted</v>
      </c>
      <c r="U10" t="str">
        <v>Unattempted</v>
      </c>
    </row>
    <row r="11" spans="1:21" x14ac:dyDescent="0.3">
      <c r="A11">
        <v>2010992012</v>
      </c>
      <c r="B11" t="str">
        <v>Unattempted</v>
      </c>
      <c r="C11" t="str">
        <v>Unattempted</v>
      </c>
      <c r="D11" t="str">
        <v>Unattempted</v>
      </c>
      <c r="E11" t="str">
        <v>Unattempted</v>
      </c>
      <c r="F11" t="str">
        <v>Unattempted</v>
      </c>
      <c r="G11" t="str">
        <v>Unattempted</v>
      </c>
      <c r="H11" t="str">
        <v>Unattempted</v>
      </c>
      <c r="I11" t="str">
        <v>Unattempted</v>
      </c>
      <c r="J11" t="str">
        <v>Unattempted</v>
      </c>
      <c r="K11" t="str">
        <v>Unattempted</v>
      </c>
      <c r="L11" t="str">
        <v>Unattempted</v>
      </c>
      <c r="M11" t="str">
        <v>Unattempted</v>
      </c>
      <c r="N11" t="str">
        <v>Unattempted</v>
      </c>
      <c r="O11" t="str">
        <v>Unattempted</v>
      </c>
      <c r="P11" t="str">
        <v>Unattempted</v>
      </c>
      <c r="Q11" t="str">
        <v>Unattempted</v>
      </c>
      <c r="R11" t="str">
        <v>Unattempted</v>
      </c>
      <c r="S11" t="str">
        <v>Unattempted</v>
      </c>
      <c r="T11" t="str">
        <v>Unattempted</v>
      </c>
      <c r="U11" t="str">
        <v>Unattempted</v>
      </c>
    </row>
    <row r="12" spans="1:21" x14ac:dyDescent="0.3">
      <c r="A12">
        <v>2010992014</v>
      </c>
      <c r="B12" t="str">
        <v>Unattempted</v>
      </c>
      <c r="C12" t="str">
        <v>Unattempted</v>
      </c>
      <c r="D12" t="str">
        <v>Unattempted</v>
      </c>
      <c r="E12" t="str">
        <v>Unattempted</v>
      </c>
      <c r="F12" t="str">
        <v>Unattempted</v>
      </c>
      <c r="G12" t="str">
        <v>Unattempted</v>
      </c>
      <c r="H12" t="str">
        <v>Unattempted</v>
      </c>
      <c r="I12" t="str">
        <v>Unattempted</v>
      </c>
      <c r="J12" t="str">
        <v>Unattempted</v>
      </c>
      <c r="K12" t="str">
        <v>Unattempted</v>
      </c>
      <c r="L12" t="str">
        <v>Unattempted</v>
      </c>
      <c r="M12" t="str">
        <v>Unattempted</v>
      </c>
      <c r="N12" t="str">
        <v>Unattempted</v>
      </c>
      <c r="O12" t="str">
        <v>Unattempted</v>
      </c>
      <c r="P12" t="str">
        <v>Unattempted</v>
      </c>
      <c r="Q12" t="str">
        <v>Unattempted</v>
      </c>
      <c r="R12" t="str">
        <v>Unattempted</v>
      </c>
      <c r="S12" t="str">
        <v>Unattempted</v>
      </c>
      <c r="T12" t="str">
        <v>Unattempted</v>
      </c>
      <c r="U12" t="str">
        <v>Unattempted</v>
      </c>
    </row>
    <row r="13" spans="1:21" x14ac:dyDescent="0.3">
      <c r="A13">
        <v>2010992015</v>
      </c>
      <c r="B13" t="str">
        <v>Unattempted</v>
      </c>
      <c r="C13" t="str">
        <v>Unattempted</v>
      </c>
      <c r="D13" t="str">
        <v>Unattempted</v>
      </c>
      <c r="E13" t="str">
        <v>Unattempted</v>
      </c>
      <c r="F13" t="str">
        <v>Unattempted</v>
      </c>
      <c r="G13" t="str">
        <v>Unattempted</v>
      </c>
      <c r="H13" t="str">
        <v>Unattempted</v>
      </c>
      <c r="I13" t="str">
        <v>Unattempted</v>
      </c>
      <c r="J13" t="str">
        <v>Unattempted</v>
      </c>
      <c r="K13" t="str">
        <v>Unattempted</v>
      </c>
      <c r="L13" t="str">
        <v>Unattempted</v>
      </c>
      <c r="M13" t="str">
        <v>Unattempted</v>
      </c>
      <c r="N13" t="str">
        <v>Unattempted</v>
      </c>
      <c r="O13" t="str">
        <v>Unattempted</v>
      </c>
      <c r="P13" t="str">
        <v>Unattempted</v>
      </c>
      <c r="Q13" t="str">
        <v>Unattempted</v>
      </c>
      <c r="R13" t="str">
        <v>Unattempted</v>
      </c>
      <c r="S13" t="str">
        <v>Unattempted</v>
      </c>
      <c r="T13" t="str">
        <v>Unattempted</v>
      </c>
      <c r="U13" t="str">
        <v>Unattempted</v>
      </c>
    </row>
    <row r="14" spans="1:21" x14ac:dyDescent="0.3">
      <c r="A14">
        <v>2010992016</v>
      </c>
      <c r="B14" t="str">
        <v>Unattempted</v>
      </c>
      <c r="C14" t="str">
        <v>Unattempted</v>
      </c>
      <c r="D14" t="str">
        <v>Unattempted</v>
      </c>
      <c r="E14" t="str">
        <v>Unattempted</v>
      </c>
      <c r="F14" t="str">
        <v>Unattempted</v>
      </c>
      <c r="G14" t="str">
        <v>Unattempted</v>
      </c>
      <c r="H14" t="str">
        <v>Unattempted</v>
      </c>
      <c r="I14" t="str">
        <v>Unattempted</v>
      </c>
      <c r="J14" t="str">
        <v>Unattempted</v>
      </c>
      <c r="K14" t="str">
        <v>Unattempted</v>
      </c>
      <c r="L14" t="str">
        <v>Unattempted</v>
      </c>
      <c r="M14" t="str">
        <v>Unattempted</v>
      </c>
      <c r="N14" t="str">
        <v>Unattempted</v>
      </c>
      <c r="O14" t="str">
        <v>Unattempted</v>
      </c>
      <c r="P14" t="str">
        <v>Unattempted</v>
      </c>
      <c r="Q14" t="str">
        <v>Unattempted</v>
      </c>
      <c r="R14" t="str">
        <v>Unattempted</v>
      </c>
      <c r="S14" t="str">
        <v>Unattempted</v>
      </c>
      <c r="T14" t="str">
        <v>Unattempted</v>
      </c>
      <c r="U14" t="str">
        <v>Unattempted</v>
      </c>
    </row>
    <row r="15" spans="1:21" x14ac:dyDescent="0.3">
      <c r="A15">
        <v>2010992017</v>
      </c>
      <c r="B15" t="str">
        <v>Unattempted</v>
      </c>
      <c r="C15" t="str">
        <v>Unattempted</v>
      </c>
      <c r="D15" t="str">
        <v>Unattempted</v>
      </c>
      <c r="E15" t="str">
        <v>Unattempted</v>
      </c>
      <c r="F15" t="str">
        <v>Unattempted</v>
      </c>
      <c r="G15" t="str">
        <v>Unattempted</v>
      </c>
      <c r="H15" t="str">
        <v>Unattempted</v>
      </c>
      <c r="I15" t="str">
        <v>Unattempted</v>
      </c>
      <c r="J15" t="str">
        <v>Unattempted</v>
      </c>
      <c r="K15" t="str">
        <v>Unattempted</v>
      </c>
      <c r="L15" t="str">
        <v>Unattempted</v>
      </c>
      <c r="M15" t="str">
        <v>Unattempted</v>
      </c>
      <c r="N15" t="str">
        <v>Unattempted</v>
      </c>
      <c r="O15" t="str">
        <v>Unattempted</v>
      </c>
      <c r="P15" t="str">
        <v>Unattempted</v>
      </c>
      <c r="Q15" t="str">
        <v>Unattempted</v>
      </c>
      <c r="R15" t="str">
        <v>Unattempted</v>
      </c>
      <c r="S15" t="str">
        <v>Unattempted</v>
      </c>
      <c r="T15" t="str">
        <v>Unattempted</v>
      </c>
      <c r="U15" t="str">
        <v>Unattempted</v>
      </c>
    </row>
    <row r="16" spans="1:21" x14ac:dyDescent="0.3">
      <c r="A16">
        <v>2010992018</v>
      </c>
      <c r="B16" t="str">
        <v>Unattempted</v>
      </c>
      <c r="C16" t="str">
        <v>Unattempted</v>
      </c>
      <c r="D16" t="str">
        <v>Unattempted</v>
      </c>
      <c r="E16" t="str">
        <v>Unattempted</v>
      </c>
      <c r="F16" t="str">
        <v>Unattempted</v>
      </c>
      <c r="G16" t="str">
        <v>Unattempted</v>
      </c>
      <c r="H16" t="str">
        <v>Unattempted</v>
      </c>
      <c r="I16" t="str">
        <v>Unattempted</v>
      </c>
      <c r="J16" t="str">
        <v>Unattempted</v>
      </c>
      <c r="K16" t="str">
        <v>Unattempted</v>
      </c>
      <c r="L16" t="str">
        <v>Unattempted</v>
      </c>
      <c r="M16" t="str">
        <v>Unattempted</v>
      </c>
      <c r="N16" t="str">
        <v>Unattempted</v>
      </c>
      <c r="O16" t="str">
        <v>Unattempted</v>
      </c>
      <c r="P16" t="str">
        <v>Unattempted</v>
      </c>
      <c r="Q16" t="str">
        <v>Unattempted</v>
      </c>
      <c r="R16" t="str">
        <v>Unattempted</v>
      </c>
      <c r="S16" t="str">
        <v>Unattempted</v>
      </c>
      <c r="T16" t="str">
        <v>Unattempted</v>
      </c>
      <c r="U16" t="str">
        <v>Unattempted</v>
      </c>
    </row>
    <row r="17" spans="1:21" x14ac:dyDescent="0.3">
      <c r="A17">
        <v>2010992019</v>
      </c>
      <c r="B17" t="str">
        <v>Unattempted</v>
      </c>
      <c r="C17" t="str">
        <v>Unattempted</v>
      </c>
      <c r="D17" t="str">
        <v>Unattempted</v>
      </c>
      <c r="E17" t="str">
        <v>Unattempted</v>
      </c>
      <c r="F17" t="str">
        <v>Unattempted</v>
      </c>
      <c r="G17" t="str">
        <v>Unattempted</v>
      </c>
      <c r="H17" t="str">
        <v>Unattempted</v>
      </c>
      <c r="I17" t="str">
        <v>Unattempted</v>
      </c>
      <c r="J17" t="str">
        <v>Unattempted</v>
      </c>
      <c r="K17" t="str">
        <v>Unattempted</v>
      </c>
      <c r="L17" t="str">
        <v>Unattempted</v>
      </c>
      <c r="M17" t="str">
        <v>Unattempted</v>
      </c>
      <c r="N17" t="str">
        <v>Unattempted</v>
      </c>
      <c r="O17" t="str">
        <v>Unattempted</v>
      </c>
      <c r="P17" t="str">
        <v>Unattempted</v>
      </c>
      <c r="Q17" t="str">
        <v>Unattempted</v>
      </c>
      <c r="R17" t="str">
        <v>Unattempted</v>
      </c>
      <c r="S17" t="str">
        <v>Unattempted</v>
      </c>
      <c r="T17" t="str">
        <v>Unattempted</v>
      </c>
      <c r="U17" t="str">
        <v>Unattempted</v>
      </c>
    </row>
    <row r="18" spans="1:21" x14ac:dyDescent="0.3">
      <c r="A18">
        <v>2010992163</v>
      </c>
      <c r="B18" t="str">
        <v>Unattempted</v>
      </c>
      <c r="C18" t="str">
        <v>Unattempted</v>
      </c>
      <c r="D18" t="str">
        <v>Unattempted</v>
      </c>
      <c r="E18" t="str">
        <v>Unattempted</v>
      </c>
      <c r="F18" t="str">
        <v>Unattempted</v>
      </c>
      <c r="G18" t="str">
        <v>Unattempted</v>
      </c>
      <c r="H18" t="str">
        <v>Unattempted</v>
      </c>
      <c r="I18" t="str">
        <v>Unattempted</v>
      </c>
      <c r="J18" t="str">
        <v>Unattempted</v>
      </c>
      <c r="K18" t="str">
        <v>Unattempted</v>
      </c>
      <c r="L18" t="str">
        <v>Unattempted</v>
      </c>
      <c r="M18" t="str">
        <v>Unattempted</v>
      </c>
      <c r="N18" t="str">
        <v>Unattempted</v>
      </c>
      <c r="O18" t="str">
        <v>Unattempted</v>
      </c>
      <c r="P18" t="str">
        <v>Unattempted</v>
      </c>
      <c r="Q18" t="str">
        <v>Unattempted</v>
      </c>
      <c r="R18" t="str">
        <v>Unattempted</v>
      </c>
      <c r="S18" t="str">
        <v>Unattempted</v>
      </c>
      <c r="T18" t="str">
        <v>Unattempted</v>
      </c>
      <c r="U18" t="str">
        <v>Unattempted</v>
      </c>
    </row>
    <row r="19" spans="1:21" x14ac:dyDescent="0.3">
      <c r="A19">
        <v>2010992202</v>
      </c>
      <c r="B19" t="str">
        <v>Unattempted</v>
      </c>
      <c r="C19" t="str">
        <v>Unattempted</v>
      </c>
      <c r="D19" t="str">
        <v>Unattempted</v>
      </c>
      <c r="E19" t="str">
        <v>Unattempted</v>
      </c>
      <c r="F19" t="str">
        <v>Unattempted</v>
      </c>
      <c r="G19" t="str">
        <v>Unattempted</v>
      </c>
      <c r="H19" t="str">
        <v>Unattempted</v>
      </c>
      <c r="I19" t="str">
        <v>Unattempted</v>
      </c>
      <c r="J19" t="str">
        <v>Unattempted</v>
      </c>
      <c r="K19" t="str">
        <v>Unattempted</v>
      </c>
      <c r="L19" t="str">
        <v>Unattempted</v>
      </c>
      <c r="M19" t="str">
        <v>Unattempted</v>
      </c>
      <c r="N19" t="str">
        <v>Unattempted</v>
      </c>
      <c r="O19" t="str">
        <v>Unattempted</v>
      </c>
      <c r="P19" t="str">
        <v>Unattempted</v>
      </c>
      <c r="Q19" t="str">
        <v>Unattempted</v>
      </c>
      <c r="R19" t="str">
        <v>Unattempted</v>
      </c>
      <c r="S19" t="str">
        <v>Unattempted</v>
      </c>
      <c r="T19" t="str">
        <v>Unattempted</v>
      </c>
      <c r="U19" t="str">
        <v>Unattempted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1379-7FB2-442A-BA80-F1BE4AD73839}">
  <dimension ref="A1:T19"/>
  <sheetViews>
    <sheetView workbookViewId="0">
      <selection activeCell="A2" sqref="A2"/>
    </sheetView>
  </sheetViews>
  <sheetFormatPr defaultRowHeight="14.4" x14ac:dyDescent="0.3"/>
  <cols>
    <col min="11" max="11" width="11.44140625" bestFit="1" customWidth="1"/>
    <col min="13" max="13" width="11.44140625" bestFit="1" customWidth="1"/>
  </cols>
  <sheetData>
    <row r="1" spans="1:20" x14ac:dyDescent="0.3">
      <c r="A1" t="str" cm="1">
        <f t="array" ref="A1:T1">TRANSPOSE('ST1 Questions'!A2:A21)</f>
        <v>1a</v>
      </c>
      <c r="B1" t="str">
        <v>1b</v>
      </c>
      <c r="C1" t="str">
        <v>1c</v>
      </c>
      <c r="D1" t="str">
        <v>1d</v>
      </c>
      <c r="E1" t="str">
        <v>1e</v>
      </c>
      <c r="F1" t="str">
        <v>Q2</v>
      </c>
      <c r="G1" t="str">
        <v>Q3</v>
      </c>
      <c r="H1" t="str">
        <v>Q4</v>
      </c>
      <c r="I1" t="str">
        <v>Q5</v>
      </c>
      <c r="J1" t="str">
        <v>Q6</v>
      </c>
      <c r="K1" t="str">
        <v>Q7</v>
      </c>
      <c r="L1" t="str">
        <v>Q8</v>
      </c>
      <c r="M1" t="str">
        <v>Q9</v>
      </c>
      <c r="N1" t="str">
        <v>Q10</v>
      </c>
      <c r="O1" t="str">
        <v>Q11</v>
      </c>
      <c r="P1" t="str">
        <v>Q12</v>
      </c>
      <c r="Q1" t="str">
        <v>Q13</v>
      </c>
      <c r="R1" t="str">
        <v>Q14</v>
      </c>
      <c r="S1" t="str">
        <v>Q15</v>
      </c>
      <c r="T1" t="str">
        <v>Q16</v>
      </c>
    </row>
    <row r="2" spans="1:20" x14ac:dyDescent="0.3">
      <c r="A2" t="str" cm="1">
        <f t="array" ref="A2:T19">_xlfn.LET(
    _xlpm.student_ids, 'ST2 Question Map'!A2:INDEX('ST2 Question Map'!A:A,COUNTA('ST2 Question Map'!A:A)),
    _xlpm.answers, 'ST2 Question Map'!B2:INDEX('ST2 Question Map'!$U:$U,COUNTA('ST2 Question Map'!$U:$U)),
    _xlpm.num_students, ROWS(_xlpm.student_ids),
    _xlpm.num_questions, COLUMNS(_xlpm.answers),
    _xlfn.MAKEARRAY(_xlpm.num_students, _xlpm.num_questions, _xlfn.LAMBDA(_xlpm.r,_xlpm.c,
        _xlfn.LET(
            _xlpm.current_col, INDEX(_xlpm.answers, 0, _xlpm.c),
            _xlpm.filtered_list, _xlfn._xlws.FILTER(_xlpm.student_ids, (_xlpm.current_col&lt;&gt;"") * (NOT(ISNUMBER(SEARCH("Unattemp", _xlpm.current_col)))), ""),
            IFERROR(INDEX(_xlpm.filtered_list, _xlpm.r), "")
        )
    ))
)</f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 spans="1:20" x14ac:dyDescent="0.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 spans="1:20" x14ac:dyDescent="0.3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 spans="1:20" x14ac:dyDescent="0.3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 spans="1:20" x14ac:dyDescent="0.3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 spans="1:20" x14ac:dyDescent="0.3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 spans="1:20" x14ac:dyDescent="0.3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 spans="1:20" x14ac:dyDescent="0.3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 spans="1:20" x14ac:dyDescent="0.3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 spans="1:20" x14ac:dyDescent="0.3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 spans="1:20" x14ac:dyDescent="0.3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 spans="1:20" x14ac:dyDescent="0.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 spans="1:20" x14ac:dyDescent="0.3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 spans="1:20" x14ac:dyDescent="0.3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 spans="1:20" x14ac:dyDescent="0.3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 spans="1:20" x14ac:dyDescent="0.3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 spans="1:20" x14ac:dyDescent="0.3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 spans="1:20" x14ac:dyDescent="0.3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CFE3-45FE-4BE8-A7BD-DD0ABCBA3EFC}">
  <dimension ref="A1:F2"/>
  <sheetViews>
    <sheetView workbookViewId="0">
      <selection activeCell="C2" sqref="C2"/>
    </sheetView>
  </sheetViews>
  <sheetFormatPr defaultRowHeight="14.4" x14ac:dyDescent="0.3"/>
  <cols>
    <col min="1" max="1" width="11" bestFit="1" customWidth="1"/>
    <col min="3" max="3" width="8.88671875" customWidth="1"/>
    <col min="10" max="10" width="11.44140625" bestFit="1" customWidth="1"/>
    <col min="18" max="21" width="11.44140625" bestFit="1" customWidth="1"/>
  </cols>
  <sheetData>
    <row r="1" spans="1:6" x14ac:dyDescent="0.3">
      <c r="A1" t="str" cm="1">
        <f t="array" ref="A1:F1">'ST1 Questions'!C1:H1</f>
        <v>CO1</v>
      </c>
      <c r="B1" t="str">
        <v>CO2</v>
      </c>
      <c r="C1" t="str">
        <v>CO3</v>
      </c>
      <c r="D1" t="str">
        <v>CO4</v>
      </c>
      <c r="E1" t="str">
        <v>CO5</v>
      </c>
      <c r="F1" t="str">
        <v>CO6</v>
      </c>
    </row>
    <row r="2" spans="1:6" x14ac:dyDescent="0.3">
      <c r="A2" t="str" cm="1">
        <f t="array" ref="A2">_xlfn.LET(
    _xlpm.TargetStudents,
    TRANSPOSE(
        _xlfn._xlws.FILTER(
            'ST2 Questions'!$A$2:INDEX('ST2 Questions'!$A:$A, COUNTA('ST2 Questions'!A:A)),
            _xlfn.XLOOKUP(
                A$1,
                'ST2 Questions'!$C$1:$H$1,
                'ST2 Questions'!$C$2:INDEX('ST2 Questions'!$H:$H, COUNTA('ST2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'ST2 Attemped Qs'!$A$1:$T$1,
                    'ST2 Attemped Qs'!$A$2:INDEX('ST2 Attemped Qs'!$T:$T, COUNTA('ST2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B2" t="str" cm="1">
        <f t="array" ref="B2">_xlfn.LET(
    _xlpm.TargetStudents,
    TRANSPOSE(
        _xlfn._xlws.FILTER(
            'ST2 Questions'!$A$2:INDEX('ST2 Questions'!$A:$A, COUNTA('ST2 Questions'!B:B)),
            _xlfn.XLOOKUP(
                B$1,
                'ST2 Questions'!$C$1:$H$1,
                'ST2 Questions'!$C$2:INDEX('ST2 Questions'!$H:$H, COUNTA('ST2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'ST2 Attemped Qs'!$A$1:$T$1,
                    'ST2 Attemped Qs'!$A$2:INDEX('ST2 Attemped Qs'!$T:$T, COUNTA('ST2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C2" t="str" cm="1">
        <f t="array" ref="C2">_xlfn.LET(
    _xlpm.TargetStudents,
    TRANSPOSE(
        _xlfn._xlws.FILTER(
            'ST2 Questions'!$A$2:INDEX('ST2 Questions'!$A:$A, COUNTA('ST2 Questions'!C:C)),
            _xlfn.XLOOKUP(
                C$1,
                'ST2 Questions'!$C$1:$H$1,
                'ST2 Questions'!$C$2:INDEX('ST2 Questions'!$H:$H, COUNTA('ST2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'ST2 Attemped Qs'!$A$1:$T$1,
                    'ST2 Attemped Qs'!$A$2:INDEX('ST2 Attemped Qs'!$T:$T, COUNTA('ST2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D2" t="str" cm="1">
        <f t="array" ref="D2">_xlfn.LET(
    _xlpm.TargetStudents,
    TRANSPOSE(
        _xlfn._xlws.FILTER(
            'ST2 Questions'!$A$2:INDEX('ST2 Questions'!$A:$A, COUNTA('ST2 Questions'!D:D)),
            _xlfn.XLOOKUP(
                D$1,
                'ST2 Questions'!$C$1:$H$1,
                'ST2 Questions'!$C$2:INDEX('ST2 Questions'!$H:$H, COUNTA('ST2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'ST2 Attemped Qs'!$A$1:$T$1,
                    'ST2 Attemped Qs'!$A$2:INDEX('ST2 Attemped Qs'!$T:$T, COUNTA('ST2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E2" t="str" cm="1">
        <f t="array" ref="E2">_xlfn.LET(
    _xlpm.TargetStudents,
    TRANSPOSE(
        _xlfn._xlws.FILTER(
            'ST2 Questions'!$A$2:INDEX('ST2 Questions'!$A:$A, COUNTA('ST2 Questions'!E:E)),
            _xlfn.XLOOKUP(
                E$1,
                'ST2 Questions'!$C$1:$H$1,
                'ST2 Questions'!$C$2:INDEX('ST2 Questions'!$H:$H, COUNTA('ST2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'ST2 Attemped Qs'!$A$1:$T$1,
                    'ST2 Attemped Qs'!$A$2:INDEX('ST2 Attemped Qs'!$T:$T, COUNTA('ST2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F2" t="str" cm="1">
        <f t="array" ref="F2">_xlfn.LET(
    _xlpm.TargetStudents,
    TRANSPOSE(
        _xlfn._xlws.FILTER(
            'ST2 Questions'!$A$2:INDEX('ST2 Questions'!$A:$A, COUNTA('ST2 Questions'!F:F)),
            _xlfn.XLOOKUP(
                F$1,
                'ST2 Questions'!$C$1:$H$1,
                'ST2 Questions'!$C$2:INDEX('ST2 Questions'!$H:$H, COUNTA('ST2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'ST2 Attemped Qs'!$A$1:$T$1,
                    'ST2 Attemped Qs'!$A$2:INDEX('ST2 Attemped Qs'!$T:$T, COUNTA('ST2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FF91-83F6-447D-87F2-60B266E82BAA}">
  <sheetPr codeName="Sheet14"/>
  <dimension ref="A1:S19"/>
  <sheetViews>
    <sheetView zoomScale="130" zoomScaleNormal="130"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19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9" x14ac:dyDescent="0.3">
      <c r="A2">
        <v>2010990089</v>
      </c>
      <c r="B2" cm="1">
        <f t="array" ref="B2:B19">_xlfn.BYROW($A2:INDEX($A:$A,COUNTA($A:$A)),_xlfn.LAMBDA(_xlpm.studentID,SUM(IFERROR(_xlfn.XLOOKUP(IF(_xlfn.XLOOKUP(B$1,'ST2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Questions'!$A$2:$A$21,'ST2 Questions'!$B$2:$B$21),0))))</f>
        <v>0</v>
      </c>
      <c r="C2" cm="1">
        <f t="array" ref="C2:C19">_xlfn.BYROW($A2:INDEX($A:$A,COUNTA($A:$A)),_xlfn.LAMBDA(_xlpm.studentID,SUM(IFERROR(_xlfn.XLOOKUP(IF(_xlfn.XLOOKUP(C$1,'ST2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Questions'!$A$2:$A$21,'ST2 Questions'!$B$2:$B$21),0))))</f>
        <v>0</v>
      </c>
      <c r="D2" cm="1">
        <f t="array" ref="D2:D19">_xlfn.BYROW($A2:INDEX($A:$A,COUNTA($A:$A)),_xlfn.LAMBDA(_xlpm.studentID,SUM(IFERROR(_xlfn.XLOOKUP(IF(_xlfn.XLOOKUP(D$1,'ST2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Questions'!$A$2:$A$21,'ST2 Questions'!$B$2:$B$21),0))))</f>
        <v>0</v>
      </c>
      <c r="E2" cm="1">
        <f t="array" ref="E2:E19">_xlfn.BYROW($A2:INDEX($A:$A,COUNTA($A:$A)),_xlfn.LAMBDA(_xlpm.studentID,SUM(IFERROR(_xlfn.XLOOKUP(IF(_xlfn.XLOOKUP(E$1,'ST2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Questions'!$A$2:$A$21,'ST2 Questions'!$B$2:$B$21),0))))</f>
        <v>0</v>
      </c>
      <c r="F2" cm="1">
        <f t="array" ref="F2:F19">_xlfn.BYROW($A2:INDEX($A:$A,COUNTA($A:$A)),_xlfn.LAMBDA(_xlpm.studentID,SUM(IFERROR(_xlfn.XLOOKUP(IF(_xlfn.XLOOKUP(F$1,'ST2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Questions'!$A$2:$A$21,'ST2 Questions'!$B$2:$B$21),0))))</f>
        <v>0</v>
      </c>
      <c r="G2" cm="1">
        <f t="array" ref="G2:G19">_xlfn.BYROW($A2:INDEX($A:$A,COUNTA($A:$A)),_xlfn.LAMBDA(_xlpm.studentID,SUM(IFERROR(_xlfn.XLOOKUP(IF(_xlfn.XLOOKUP(G$1,'ST2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Questions'!$A$2:$A$21,'ST2 Questions'!$B$2:$B$21),0))))</f>
        <v>0</v>
      </c>
    </row>
    <row r="3" spans="1:19" x14ac:dyDescent="0.3">
      <c r="A3">
        <v>2010992002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S3" t="s">
        <v>0</v>
      </c>
    </row>
    <row r="4" spans="1:19" x14ac:dyDescent="0.3">
      <c r="A4">
        <v>2010992004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19" x14ac:dyDescent="0.3">
      <c r="A5">
        <v>2010992005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S5" t="s">
        <v>1</v>
      </c>
    </row>
    <row r="6" spans="1:19" x14ac:dyDescent="0.3">
      <c r="A6">
        <v>2010992006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19" x14ac:dyDescent="0.3">
      <c r="A7">
        <v>2010992008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9" x14ac:dyDescent="0.3">
      <c r="A8">
        <v>2010992009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9" x14ac:dyDescent="0.3">
      <c r="A9">
        <v>2010992010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9" x14ac:dyDescent="0.3">
      <c r="A10">
        <v>2010992011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9" x14ac:dyDescent="0.3">
      <c r="A11">
        <v>2010992012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9" x14ac:dyDescent="0.3">
      <c r="A12">
        <v>2010992014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9" x14ac:dyDescent="0.3">
      <c r="A13">
        <v>2010992015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9" x14ac:dyDescent="0.3">
      <c r="A14">
        <v>2010992016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9" x14ac:dyDescent="0.3">
      <c r="A15">
        <v>2010992017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9" x14ac:dyDescent="0.3">
      <c r="A16">
        <v>2010992018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59D2-0EAB-4101-8B52-918B022222BF}">
  <sheetPr codeName="Sheet15"/>
  <dimension ref="A1:N19"/>
  <sheetViews>
    <sheetView zoomScaleNormal="100"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14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4" x14ac:dyDescent="0.3">
      <c r="A2">
        <v>2010990089</v>
      </c>
      <c r="B2" cm="1">
        <f t="array" ref="B2:B19">_xlfn.BYROW($A2:INDEX($A:$A,COUNTA($A:$A)),_xlfn.LAMBDA(_xlpm.studentID,SUM(IFERROR(_xlfn.XLOOKUP(IF(_xlfn.XLOOKUP(B$1,'ST2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Student Marks'!$B$1:$U$1,_xlfn.XLOOKUP(_xlpm.studentID,
'ST2 Student Marks'!$A$1:INDEX('ST2 Student Marks'!$A:$A,COUNTA('ST2 Student Marks'!$A:$A)),'ST2 Student Marks'!$B$1:INDEX('ST2 Student Marks'!$U:$U,COUNTA('ST2 Student Marks'!$U:$U)))),0))))</f>
        <v>0</v>
      </c>
      <c r="C2" cm="1">
        <f t="array" ref="C2:C19">_xlfn.BYROW($A2:INDEX($A:$A,COUNTA($A:$A)),_xlfn.LAMBDA(_xlpm.studentID,SUM(IFERROR(_xlfn.XLOOKUP(IF(_xlfn.XLOOKUP(C$1,'ST2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Student Marks'!$B$1:$U$1,_xlfn.XLOOKUP(_xlpm.studentID,
'ST2 Student Marks'!$A$1:INDEX('ST2 Student Marks'!$A:$A,COUNTA('ST2 Student Marks'!$A:$A)),'ST2 Student Marks'!$B$1:INDEX('ST2 Student Marks'!$U:$U,COUNTA('ST2 Student Marks'!$U:$U)))),0))))</f>
        <v>0</v>
      </c>
      <c r="D2" cm="1">
        <f t="array" ref="D2:D19">_xlfn.BYROW($A2:INDEX($A:$A,COUNTA($A:$A)),_xlfn.LAMBDA(_xlpm.studentID,SUM(IFERROR(_xlfn.XLOOKUP(IF(_xlfn.XLOOKUP(D$1,'ST2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Student Marks'!$B$1:$U$1,_xlfn.XLOOKUP(_xlpm.studentID,
'ST2 Student Marks'!$A$1:INDEX('ST2 Student Marks'!$A:$A,COUNTA('ST2 Student Marks'!$A:$A)),'ST2 Student Marks'!$B$1:INDEX('ST2 Student Marks'!$U:$U,COUNTA('ST2 Student Marks'!$U:$U)))),0))))</f>
        <v>0</v>
      </c>
      <c r="E2" cm="1">
        <f t="array" ref="E2:E19">_xlfn.BYROW($A2:INDEX($A:$A,COUNTA($A:$A)),_xlfn.LAMBDA(_xlpm.studentID,SUM(IFERROR(_xlfn.XLOOKUP(IF(_xlfn.XLOOKUP(E$1,'ST2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Student Marks'!$B$1:$U$1,_xlfn.XLOOKUP(_xlpm.studentID,
'ST2 Student Marks'!$A$1:INDEX('ST2 Student Marks'!$A:$A,COUNTA('ST2 Student Marks'!$A:$A)),'ST2 Student Marks'!$B$1:INDEX('ST2 Student Marks'!$U:$U,COUNTA('ST2 Student Marks'!$U:$U)))),0))))</f>
        <v>0</v>
      </c>
      <c r="F2" cm="1">
        <f t="array" ref="F2:F19">_xlfn.BYROW($A2:INDEX($A:$A,COUNTA($A:$A)),_xlfn.LAMBDA(_xlpm.studentID,SUM(IFERROR(_xlfn.XLOOKUP(IF(_xlfn.XLOOKUP(F$1,'ST2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Student Marks'!$B$1:$U$1,_xlfn.XLOOKUP(_xlpm.studentID,
'ST2 Student Marks'!$A$1:INDEX('ST2 Student Marks'!$A:$A,COUNTA('ST2 Student Marks'!$A:$A)),'ST2 Student Marks'!$B$1:INDEX('ST2 Student Marks'!$U:$U,COUNTA('ST2 Student Marks'!$U:$U)))),0))))</f>
        <v>0</v>
      </c>
      <c r="G2" cm="1">
        <f t="array" ref="G2:G19">_xlfn.BYROW($A2:INDEX($A:$A,COUNTA($A:$A)),_xlfn.LAMBDA(_xlpm.studentID,SUM(IFERROR(_xlfn.XLOOKUP(IF(_xlfn.XLOOKUP(G$1,'ST2 Questions'!$C$1:$H$1,
'ST2 Questions'!$C$2:$H$21)=TRUE,TRANSPOSE(_xlfn.XLOOKUP(_xlpm.studentID,
'ST2 Question Map'!$A$2:INDEX('ST2 Question Map'!$A:$A,COUNTA('ST2 Question Map'!$A:$A)),'ST2 Question Map'!$B$2:INDEX('ST2 Question Map'!$U:$U,COUNTA('ST2 Question Map'!$U:$U))))),'ST2 Student Marks'!$B$1:$U$1,_xlfn.XLOOKUP(_xlpm.studentID,
'ST2 Student Marks'!$A$1:INDEX('ST2 Student Marks'!$A:$A,COUNTA('ST2 Student Marks'!$A:$A)),'ST2 Student Marks'!$B$1:INDEX('ST2 Student Marks'!$U:$U,COUNTA('ST2 Student Marks'!$U:$U)))),0))))</f>
        <v>0</v>
      </c>
    </row>
    <row r="3" spans="1:14" x14ac:dyDescent="0.3">
      <c r="A3">
        <v>2010992002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14" ht="14.7" customHeight="1" x14ac:dyDescent="0.3">
      <c r="A4">
        <v>2010992004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N4" s="1"/>
    </row>
    <row r="5" spans="1:14" x14ac:dyDescent="0.3">
      <c r="A5">
        <v>2010992005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14" x14ac:dyDescent="0.3">
      <c r="A6">
        <v>2010992006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14" x14ac:dyDescent="0.3">
      <c r="A7">
        <v>2010992008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4" x14ac:dyDescent="0.3">
      <c r="A8">
        <v>2010992009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4" x14ac:dyDescent="0.3">
      <c r="A9">
        <v>2010992010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4" x14ac:dyDescent="0.3">
      <c r="A10">
        <v>2010992011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4" x14ac:dyDescent="0.3">
      <c r="A11">
        <v>2010992012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4" x14ac:dyDescent="0.3">
      <c r="A12">
        <v>2010992014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4" x14ac:dyDescent="0.3">
      <c r="A13">
        <v>2010992015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4" x14ac:dyDescent="0.3">
      <c r="A14">
        <v>2010992016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4" x14ac:dyDescent="0.3">
      <c r="A15">
        <v>2010992017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4" x14ac:dyDescent="0.3">
      <c r="A16">
        <v>2010992018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40F6-F9AB-4EEA-89BD-45F8540957FE}">
  <sheetPr codeName="Sheet16"/>
  <dimension ref="A1:G19"/>
  <sheetViews>
    <sheetView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_xlfn.BYROW($A2:INDEX($A:$A,COUNTA($A:$A)),_xlfn.LAMBDA(_xlpm.studentID,IFERROR(_xlfn.XLOOKUP(_xlpm.studentID,'ST2 Student Attained CO Score'!$A:$A,
'ST2 Student Attained CO Score'!B:B)/
_xlfn.XLOOKUP(_xlpm.studentID,'ST2 Student MO CO Score'!$A:$A,
'ST2 Student MO CO Score'!B:B)*100,"NA")))</f>
        <v>NA</v>
      </c>
      <c r="C2" t="str" cm="1">
        <f t="array" ref="C2:C19">_xlfn.BYROW($A2:INDEX($A:$A,COUNTA($A:$A)),_xlfn.LAMBDA(_xlpm.studentID,IFERROR(_xlfn.XLOOKUP(_xlpm.studentID,'ST2 Student Attained CO Score'!$A:$A,
'ST2 Student Attained CO Score'!C:C)/
_xlfn.XLOOKUP(_xlpm.studentID,'ST2 Student MO CO Score'!$A:$A,
'ST2 Student MO CO Score'!C:C)*100,"NA")))</f>
        <v>NA</v>
      </c>
      <c r="D2" t="str" cm="1">
        <f t="array" ref="D2:D19">_xlfn.BYROW($A2:INDEX($A:$A,COUNTA($A:$A)),_xlfn.LAMBDA(_xlpm.studentID,IFERROR(_xlfn.XLOOKUP(_xlpm.studentID,'ST2 Student Attained CO Score'!$A:$A,
'ST2 Student Attained CO Score'!D:D)/
_xlfn.XLOOKUP(_xlpm.studentID,'ST2 Student MO CO Score'!$A:$A,
'ST2 Student MO CO Score'!D:D)*100,"NA")))</f>
        <v>NA</v>
      </c>
      <c r="E2" t="str" cm="1">
        <f t="array" ref="E2:E19">_xlfn.BYROW($A2:INDEX($A:$A,COUNTA($A:$A)),_xlfn.LAMBDA(_xlpm.studentID,IFERROR(_xlfn.XLOOKUP(_xlpm.studentID,'ST2 Student Attained CO Score'!$A:$A,
'ST2 Student Attained CO Score'!E:E)/
_xlfn.XLOOKUP(_xlpm.studentID,'ST2 Student MO CO Score'!$A:$A,
'ST2 Student MO CO Score'!E:E)*100,"NA")))</f>
        <v>NA</v>
      </c>
      <c r="F2" t="str" cm="1">
        <f t="array" ref="F2:F19">_xlfn.BYROW($A2:INDEX($A:$A,COUNTA($A:$A)),_xlfn.LAMBDA(_xlpm.studentID,IFERROR(_xlfn.XLOOKUP(_xlpm.studentID,'ST2 Student Attained CO Score'!$A:$A,
'ST2 Student Attained CO Score'!F:F)/
_xlfn.XLOOKUP(_xlpm.studentID,'ST2 Student MO CO Score'!$A:$A,
'ST2 Student MO CO Score'!F:F)*100,"NA")))</f>
        <v>NA</v>
      </c>
      <c r="G2" t="str" cm="1">
        <f t="array" ref="G2:G19">_xlfn.BYROW($A2:INDEX($A:$A,COUNTA($A:$A)),_xlfn.LAMBDA(_xlpm.studentID,IFERROR(_xlfn.XLOOKUP(_xlpm.studentID,'ST2 Student Attained CO Score'!$A:$A,
'ST2 Student Attained CO Score'!G:G)/
_xlfn.XLOOKUP(_xlpm.studentID,'ST2 Student MO CO Score'!$A:$A,
'ST2 Student MO CO Score'!G:G)*100,"NA")))</f>
        <v>NA</v>
      </c>
    </row>
    <row r="3" spans="1:7" x14ac:dyDescent="0.3">
      <c r="A3">
        <v>2010992002</v>
      </c>
      <c r="B3" t="str">
        <v>NA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</row>
    <row r="4" spans="1:7" x14ac:dyDescent="0.3">
      <c r="A4">
        <v>2010992004</v>
      </c>
      <c r="B4" t="str">
        <v>NA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>
        <v>2010992005</v>
      </c>
      <c r="B5" t="str">
        <v>NA</v>
      </c>
      <c r="C5" t="str">
        <v>NA</v>
      </c>
      <c r="D5" t="str">
        <v>NA</v>
      </c>
      <c r="E5" t="str">
        <v>NA</v>
      </c>
      <c r="F5" t="str">
        <v>NA</v>
      </c>
      <c r="G5" t="str">
        <v>NA</v>
      </c>
    </row>
    <row r="6" spans="1:7" x14ac:dyDescent="0.3">
      <c r="A6">
        <v>2010992006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>
        <v>2010992008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>
        <v>2010992009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>
        <v>2010992010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>
        <v>2010992011</v>
      </c>
      <c r="B10" t="str">
        <v>NA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>
        <v>2010992012</v>
      </c>
      <c r="B11" t="str">
        <v>NA</v>
      </c>
      <c r="C11" t="str">
        <v>NA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>
        <v>2010992014</v>
      </c>
      <c r="B12" t="str">
        <v>NA</v>
      </c>
      <c r="C12" t="str">
        <v>NA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>
        <v>2010992015</v>
      </c>
      <c r="B13" t="str">
        <v>NA</v>
      </c>
      <c r="C13" t="str">
        <v>NA</v>
      </c>
      <c r="D13" t="str">
        <v>NA</v>
      </c>
      <c r="E13" t="str">
        <v>NA</v>
      </c>
      <c r="F13" t="str">
        <v>NA</v>
      </c>
      <c r="G13" t="str">
        <v>NA</v>
      </c>
    </row>
    <row r="14" spans="1:7" x14ac:dyDescent="0.3">
      <c r="A14">
        <v>2010992016</v>
      </c>
      <c r="B14" t="str">
        <v>NA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>
        <v>2010992017</v>
      </c>
      <c r="B15" t="str">
        <v>NA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>
        <v>2010992018</v>
      </c>
      <c r="B16" t="str">
        <v>NA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</row>
    <row r="17" spans="1:7" x14ac:dyDescent="0.3">
      <c r="A17">
        <v>2010992019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>
        <v>2010992163</v>
      </c>
      <c r="B18" t="str">
        <v>NA</v>
      </c>
      <c r="C18" t="str">
        <v>NA</v>
      </c>
      <c r="D18" t="str">
        <v>NA</v>
      </c>
      <c r="E18" t="str">
        <v>NA</v>
      </c>
      <c r="F18" t="str">
        <v>NA</v>
      </c>
      <c r="G18" t="str">
        <v>NA</v>
      </c>
    </row>
    <row r="19" spans="1:7" x14ac:dyDescent="0.3">
      <c r="A19">
        <v>2010992202</v>
      </c>
      <c r="B19" t="str">
        <v>NA</v>
      </c>
      <c r="C19" t="str">
        <v>NA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D850-D508-4E9D-8A6E-0407B0266B88}">
  <sheetPr codeName="Sheet17"/>
  <dimension ref="A1:G19"/>
  <sheetViews>
    <sheetView workbookViewId="0">
      <selection activeCell="F3" sqref="F3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INDEX('ST2 Result'!B:B, 1):INDEX('ST2 Result'!B:B, COUNTA('ST2 Result'!B:B) )</f>
        <v>Admission No. (Roll No.)</v>
      </c>
      <c r="B1" t="str" cm="1">
        <f t="array" ref="B1:G1">'ST2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_xlfn.BYROW('ST2 Student Attainment percent'!B2:INDEX('ST2 Student Attainment percent'!B:B,COUNTA('ST2 Student Attainment percent'!B:B)),_xlfn.LAMBDA(_xlpm.score,_xlfn.IFS(_xlpm.score="NA","NA",_xlpm.score&gt;'OBE Data'!$B$2-1,3,_xlpm.score&gt;'OBE Data'!$B$3-1,2,_xlpm.score&gt;'OBE Data'!$B$4-1,1,_xlpm.score&lt;'OBE Data'!$B$4,0)))</f>
        <v>NA</v>
      </c>
      <c r="C2" t="str" cm="1">
        <f t="array" ref="C2:C19">_xlfn.BYROW('ST2 Student Attainment percent'!C2:INDEX('ST2 Student Attainment percent'!C:C,COUNTA('ST2 Student Attainment percent'!C:C)),_xlfn.LAMBDA(_xlpm.score,_xlfn.IFS(_xlpm.score="NA","NA",_xlpm.score&gt;'OBE Data'!$B$2-1,3,_xlpm.score&gt;'OBE Data'!$B$3-1,2,_xlpm.score&gt;'OBE Data'!$B$4-1,1,_xlpm.score&lt;'OBE Data'!$B$4,0)))</f>
        <v>NA</v>
      </c>
      <c r="D2" t="str" cm="1">
        <f t="array" ref="D2:D19">_xlfn.BYROW('ST2 Student Attainment percent'!D2:INDEX('ST2 Student Attainment percent'!D:D,COUNTA('ST2 Student Attainment percent'!D:D)),_xlfn.LAMBDA(_xlpm.score,_xlfn.IFS(_xlpm.score="NA","NA",_xlpm.score&gt;'OBE Data'!$B$2-1,3,_xlpm.score&gt;'OBE Data'!$B$3-1,2,_xlpm.score&gt;'OBE Data'!$B$4-1,1,_xlpm.score&lt;'OBE Data'!$B$4,0)))</f>
        <v>NA</v>
      </c>
      <c r="E2" t="str" cm="1">
        <f t="array" ref="E2:E19">_xlfn.BYROW('ST2 Student Attainment percent'!E2:INDEX('ST2 Student Attainment percent'!E:E,COUNTA('ST2 Student Attainment percent'!E:E)),_xlfn.LAMBDA(_xlpm.score,_xlfn.IFS(_xlpm.score="NA","NA",_xlpm.score&gt;'OBE Data'!$B$2-1,3,_xlpm.score&gt;'OBE Data'!$B$3-1,2,_xlpm.score&gt;'OBE Data'!$B$4-1,1,_xlpm.score&lt;'OBE Data'!$B$4,0)))</f>
        <v>NA</v>
      </c>
      <c r="F2" t="str" cm="1">
        <f t="array" ref="F2:F19">_xlfn.BYROW('ST2 Student Attainment percent'!F2:INDEX('ST2 Student Attainment percent'!F:F,COUNTA('ST2 Student Attainment percent'!F:F)),_xlfn.LAMBDA(_xlpm.score,_xlfn.IFS(_xlpm.score="NA","NA",_xlpm.score&gt;'OBE Data'!$B$2-1,3,_xlpm.score&gt;'OBE Data'!$B$3-1,2,_xlpm.score&gt;'OBE Data'!$B$4-1,1,_xlpm.score&lt;'OBE Data'!$B$4,0)))</f>
        <v>NA</v>
      </c>
      <c r="G2" t="str" cm="1">
        <f t="array" ref="G2:G19">_xlfn.BYROW('ST2 Student Attainment percent'!G2:INDEX('ST2 Student Attainment percent'!G:G,COUNTA('ST2 Student Attainment percent'!G:G)),_xlfn.LAMBDA(_xlpm.score,_xlfn.IFS(_xlpm.score="NA","NA",_xlpm.score&gt;'OBE Data'!$B$2-1,3,_xlpm.score&gt;'OBE Data'!$B$3-1,2,_xlpm.score&gt;'OBE Data'!$B$4-1,1,_xlpm.score&lt;'OBE Data'!$B$4,0)))</f>
        <v>NA</v>
      </c>
    </row>
    <row r="3" spans="1:7" x14ac:dyDescent="0.3">
      <c r="A3">
        <v>2010992002</v>
      </c>
      <c r="B3" t="str">
        <v>NA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</row>
    <row r="4" spans="1:7" x14ac:dyDescent="0.3">
      <c r="A4">
        <v>2010992004</v>
      </c>
      <c r="B4" t="str">
        <v>NA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>
        <v>2010992005</v>
      </c>
      <c r="B5" t="str">
        <v>NA</v>
      </c>
      <c r="C5" t="str">
        <v>NA</v>
      </c>
      <c r="D5" t="str">
        <v>NA</v>
      </c>
      <c r="E5" t="str">
        <v>NA</v>
      </c>
      <c r="F5" t="str">
        <v>NA</v>
      </c>
      <c r="G5" t="str">
        <v>NA</v>
      </c>
    </row>
    <row r="6" spans="1:7" x14ac:dyDescent="0.3">
      <c r="A6">
        <v>2010992006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>
        <v>2010992008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>
        <v>2010992009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>
        <v>2010992010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>
        <v>2010992011</v>
      </c>
      <c r="B10" t="str">
        <v>NA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>
        <v>2010992012</v>
      </c>
      <c r="B11" t="str">
        <v>NA</v>
      </c>
      <c r="C11" t="str">
        <v>NA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>
        <v>2010992014</v>
      </c>
      <c r="B12" t="str">
        <v>NA</v>
      </c>
      <c r="C12" t="str">
        <v>NA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>
        <v>2010992015</v>
      </c>
      <c r="B13" t="str">
        <v>NA</v>
      </c>
      <c r="C13" t="str">
        <v>NA</v>
      </c>
      <c r="D13" t="str">
        <v>NA</v>
      </c>
      <c r="E13" t="str">
        <v>NA</v>
      </c>
      <c r="F13" t="str">
        <v>NA</v>
      </c>
      <c r="G13" t="str">
        <v>NA</v>
      </c>
    </row>
    <row r="14" spans="1:7" x14ac:dyDescent="0.3">
      <c r="A14">
        <v>2010992016</v>
      </c>
      <c r="B14" t="str">
        <v>NA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>
        <v>2010992017</v>
      </c>
      <c r="B15" t="str">
        <v>NA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>
        <v>2010992018</v>
      </c>
      <c r="B16" t="str">
        <v>NA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</row>
    <row r="17" spans="1:7" x14ac:dyDescent="0.3">
      <c r="A17">
        <v>2010992019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>
        <v>2010992163</v>
      </c>
      <c r="B18" t="str">
        <v>NA</v>
      </c>
      <c r="C18" t="str">
        <v>NA</v>
      </c>
      <c r="D18" t="str">
        <v>NA</v>
      </c>
      <c r="E18" t="str">
        <v>NA</v>
      </c>
      <c r="F18" t="str">
        <v>NA</v>
      </c>
      <c r="G18" t="str">
        <v>NA</v>
      </c>
    </row>
    <row r="19" spans="1:7" x14ac:dyDescent="0.3">
      <c r="A19">
        <v>2010992202</v>
      </c>
      <c r="B19" t="str">
        <v>NA</v>
      </c>
      <c r="C19" t="str">
        <v>NA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45D1-C371-4B37-AD40-D2BE9603ECC6}">
  <sheetPr codeName="Sheet18"/>
  <dimension ref="A1:G19"/>
  <sheetViews>
    <sheetView topLeftCell="A10" workbookViewId="0">
      <selection activeCell="C2" sqref="C2:G2"/>
    </sheetView>
  </sheetViews>
  <sheetFormatPr defaultRowHeight="14.4" x14ac:dyDescent="0.3"/>
  <sheetData>
    <row r="1" spans="1:7" x14ac:dyDescent="0.3">
      <c r="A1" t="str" cm="1">
        <f t="array" ref="A1:A19">INDEX('ST2 Result'!B:B, 1):INDEX('ST2 Result'!B:B, COUNTA('ST2 Result'!B:B) )</f>
        <v>Admission No. (Roll No.)</v>
      </c>
      <c r="B1" t="str" cm="1">
        <f t="array" ref="B1:G1">'ST2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_xlfn.BYROW('ST2 Student Attainment percent'!B2:INDEX('ST2 Student Attainment percent'!B:B,COUNTA('ST2 Student Attainment percent'!B:B)),_xlfn.LAMBDA(_xlpm.score,_xlfn.IFS(_xlpm.score="CO questions Not Attempted","CO questions Not Attempted",_xlpm.score&gt;='OBE Data'!$B$5,"Y",_xlpm.score&lt;'OBE Data'!$B$5,"N")))</f>
        <v>Y</v>
      </c>
      <c r="C2" t="str" cm="1">
        <f t="array" ref="C2:C19">_xlfn.BYROW('ST2 Student Attainment percent'!C2:INDEX('ST2 Student Attainment percent'!C:C,COUNTA('ST2 Student Attainment percent'!C:C)),_xlfn.LAMBDA(_xlpm.score,_xlfn.IFS(_xlpm.score="NA","NA",_xlpm.score&gt;='OBE Data'!$B$5,"Y",_xlpm.score&lt;'OBE Data'!$B$5,"N")))</f>
        <v>NA</v>
      </c>
      <c r="D2" t="str" cm="1">
        <f t="array" ref="D2:D19">_xlfn.BYROW('ST2 Student Attainment percent'!D2:INDEX('ST2 Student Attainment percent'!D:D,COUNTA('ST2 Student Attainment percent'!D:D)),_xlfn.LAMBDA(_xlpm.score,_xlfn.IFS(_xlpm.score="NA","NA",_xlpm.score&gt;='OBE Data'!$B$5,"Y",_xlpm.score&lt;'OBE Data'!$B$5,"N")))</f>
        <v>NA</v>
      </c>
      <c r="E2" t="str" cm="1">
        <f t="array" ref="E2:E19">_xlfn.BYROW('ST2 Student Attainment percent'!E2:INDEX('ST2 Student Attainment percent'!E:E,COUNTA('ST2 Student Attainment percent'!E:E)),_xlfn.LAMBDA(_xlpm.score,_xlfn.IFS(_xlpm.score="NA","NA",_xlpm.score&gt;='OBE Data'!$B$5,"Y",_xlpm.score&lt;'OBE Data'!$B$5,"N")))</f>
        <v>NA</v>
      </c>
      <c r="F2" t="str" cm="1">
        <f t="array" ref="F2:F19">_xlfn.BYROW('ST2 Student Attainment percent'!F2:INDEX('ST2 Student Attainment percent'!F:F,COUNTA('ST2 Student Attainment percent'!F:F)),_xlfn.LAMBDA(_xlpm.score,_xlfn.IFS(_xlpm.score="NA","NA",_xlpm.score&gt;='OBE Data'!$B$5,"Y",_xlpm.score&lt;'OBE Data'!$B$5,"N")))</f>
        <v>NA</v>
      </c>
      <c r="G2" t="str" cm="1">
        <f t="array" ref="G2:G19">_xlfn.BYROW('ST2 Student Attainment percent'!G2:INDEX('ST2 Student Attainment percent'!G:G,COUNTA('ST2 Student Attainment percent'!G:G)),_xlfn.LAMBDA(_xlpm.score,_xlfn.IFS(_xlpm.score="NA","NA",_xlpm.score&gt;='OBE Data'!$B$5,"Y",_xlpm.score&lt;'OBE Data'!$B$5,"N")))</f>
        <v>NA</v>
      </c>
    </row>
    <row r="3" spans="1:7" x14ac:dyDescent="0.3">
      <c r="A3">
        <v>2010992002</v>
      </c>
      <c r="B3" t="str">
        <v>Y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</row>
    <row r="4" spans="1:7" x14ac:dyDescent="0.3">
      <c r="A4">
        <v>2010992004</v>
      </c>
      <c r="B4" t="str">
        <v>Y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>
        <v>2010992005</v>
      </c>
      <c r="B5" t="str">
        <v>Y</v>
      </c>
      <c r="C5" t="str">
        <v>NA</v>
      </c>
      <c r="D5" t="str">
        <v>NA</v>
      </c>
      <c r="E5" t="str">
        <v>NA</v>
      </c>
      <c r="F5" t="str">
        <v>NA</v>
      </c>
      <c r="G5" t="str">
        <v>NA</v>
      </c>
    </row>
    <row r="6" spans="1:7" x14ac:dyDescent="0.3">
      <c r="A6">
        <v>2010992006</v>
      </c>
      <c r="B6" t="str">
        <v>Y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>
        <v>2010992008</v>
      </c>
      <c r="B7" t="str">
        <v>Y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>
        <v>2010992009</v>
      </c>
      <c r="B8" t="str">
        <v>Y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>
        <v>2010992010</v>
      </c>
      <c r="B9" t="str">
        <v>Y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>
        <v>2010992011</v>
      </c>
      <c r="B10" t="str">
        <v>Y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>
        <v>2010992012</v>
      </c>
      <c r="B11" t="str">
        <v>Y</v>
      </c>
      <c r="C11" t="str">
        <v>NA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>
        <v>2010992014</v>
      </c>
      <c r="B12" t="str">
        <v>Y</v>
      </c>
      <c r="C12" t="str">
        <v>NA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>
        <v>2010992015</v>
      </c>
      <c r="B13" t="str">
        <v>Y</v>
      </c>
      <c r="C13" t="str">
        <v>NA</v>
      </c>
      <c r="D13" t="str">
        <v>NA</v>
      </c>
      <c r="E13" t="str">
        <v>NA</v>
      </c>
      <c r="F13" t="str">
        <v>NA</v>
      </c>
      <c r="G13" t="str">
        <v>NA</v>
      </c>
    </row>
    <row r="14" spans="1:7" x14ac:dyDescent="0.3">
      <c r="A14">
        <v>2010992016</v>
      </c>
      <c r="B14" t="str">
        <v>Y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>
        <v>2010992017</v>
      </c>
      <c r="B15" t="str">
        <v>Y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>
        <v>2010992018</v>
      </c>
      <c r="B16" t="str">
        <v>Y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</row>
    <row r="17" spans="1:7" x14ac:dyDescent="0.3">
      <c r="A17">
        <v>2010992019</v>
      </c>
      <c r="B17" t="str">
        <v>Y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>
        <v>2010992163</v>
      </c>
      <c r="B18" t="str">
        <v>Y</v>
      </c>
      <c r="C18" t="str">
        <v>NA</v>
      </c>
      <c r="D18" t="str">
        <v>NA</v>
      </c>
      <c r="E18" t="str">
        <v>NA</v>
      </c>
      <c r="F18" t="str">
        <v>NA</v>
      </c>
      <c r="G18" t="str">
        <v>NA</v>
      </c>
    </row>
    <row r="19" spans="1:7" x14ac:dyDescent="0.3">
      <c r="A19">
        <v>2010992202</v>
      </c>
      <c r="B19" t="str">
        <v>Y</v>
      </c>
      <c r="C19" t="str">
        <v>NA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BB72-1039-4A91-B08C-54B943F54281}">
  <dimension ref="A1:H21"/>
  <sheetViews>
    <sheetView topLeftCell="A16" workbookViewId="0">
      <selection activeCell="A2" sqref="A2"/>
    </sheetView>
  </sheetViews>
  <sheetFormatPr defaultRowHeight="14.4" x14ac:dyDescent="0.3"/>
  <sheetData>
    <row r="1" spans="1:8" x14ac:dyDescent="0.3">
      <c r="A1" t="str" cm="1">
        <f t="array" ref="A1:H21">'[1]ST3 Question Map'!$A$1:$H$21</f>
        <v>Q_Id</v>
      </c>
      <c r="B1" t="str">
        <v>Max Marks</v>
      </c>
      <c r="C1" t="str">
        <v>CO1</v>
      </c>
      <c r="D1" t="str">
        <v>CO2</v>
      </c>
      <c r="E1" t="str">
        <v>CO3</v>
      </c>
      <c r="F1" t="str">
        <v>CO4</v>
      </c>
      <c r="G1" t="str">
        <v>CO5</v>
      </c>
      <c r="H1" t="str">
        <v>CO6</v>
      </c>
    </row>
    <row r="2" spans="1:8" x14ac:dyDescent="0.3">
      <c r="A2" t="str">
        <v>1a</v>
      </c>
      <c r="B2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 spans="1:8" x14ac:dyDescent="0.3">
      <c r="A3" t="str">
        <v>1b</v>
      </c>
      <c r="B3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 spans="1:8" x14ac:dyDescent="0.3">
      <c r="A4" t="str">
        <v>1c</v>
      </c>
      <c r="B4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 spans="1:8" x14ac:dyDescent="0.3">
      <c r="A5" t="str">
        <v>1d</v>
      </c>
      <c r="B5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 spans="1:8" x14ac:dyDescent="0.3">
      <c r="A6" t="str">
        <v>1e</v>
      </c>
      <c r="B6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 spans="1:8" x14ac:dyDescent="0.3">
      <c r="A7" t="str">
        <v>Q2</v>
      </c>
      <c r="B7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 spans="1:8" x14ac:dyDescent="0.3">
      <c r="A8" t="str">
        <v>Q3</v>
      </c>
      <c r="B8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 spans="1:8" x14ac:dyDescent="0.3">
      <c r="A9" t="str">
        <v>Q4</v>
      </c>
      <c r="B9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 spans="1:8" x14ac:dyDescent="0.3">
      <c r="A10" t="str">
        <v>Q5</v>
      </c>
      <c r="B10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 spans="1:8" x14ac:dyDescent="0.3">
      <c r="A11" t="str">
        <v>Q6</v>
      </c>
      <c r="B11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 spans="1:8" x14ac:dyDescent="0.3">
      <c r="A12" t="str">
        <v>Q7</v>
      </c>
      <c r="B12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 spans="1:8" x14ac:dyDescent="0.3">
      <c r="A13" t="str">
        <v>Q8</v>
      </c>
      <c r="B13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 spans="1:8" x14ac:dyDescent="0.3">
      <c r="A14" t="str">
        <v>Q9</v>
      </c>
      <c r="B14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 spans="1:8" x14ac:dyDescent="0.3">
      <c r="A15" t="str">
        <v>Q10</v>
      </c>
      <c r="B15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 spans="1:8" x14ac:dyDescent="0.3">
      <c r="A16" t="str">
        <v>Q11</v>
      </c>
      <c r="B16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 spans="1:8" x14ac:dyDescent="0.3">
      <c r="A17" t="str">
        <v>Q12</v>
      </c>
      <c r="B17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 spans="1:8" x14ac:dyDescent="0.3">
      <c r="A18" t="str">
        <v>Q13</v>
      </c>
      <c r="B18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 spans="1:8" x14ac:dyDescent="0.3">
      <c r="A19" t="str">
        <v>Q14</v>
      </c>
      <c r="B19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3">
      <c r="A20" t="str">
        <v>Q15</v>
      </c>
      <c r="B20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 spans="1:8" x14ac:dyDescent="0.3">
      <c r="A21" t="str">
        <v>Q16</v>
      </c>
      <c r="B21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D711-AA0E-45CD-968C-64DE0C342B03}">
  <dimension ref="A1:AK19"/>
  <sheetViews>
    <sheetView topLeftCell="O1" workbookViewId="0">
      <selection activeCell="AI1" sqref="AI1:AI1048576"/>
    </sheetView>
  </sheetViews>
  <sheetFormatPr defaultRowHeight="14.4" x14ac:dyDescent="0.3"/>
  <cols>
    <col min="2" max="2" width="21.6640625" bestFit="1" customWidth="1"/>
  </cols>
  <sheetData>
    <row r="1" spans="1:37" x14ac:dyDescent="0.3">
      <c r="A1" t="str" cm="1">
        <f t="array" ref="A1:AK19">INDEX('[1]ST3 Result'!$A:$AK, 1, 1):INDEX('[1]ST3 Result'!$AK:$AK,COUNTA('[1]ST3 Result'!$AK:$AK))</f>
        <v>Sr.no</v>
      </c>
      <c r="B1" t="str">
        <v>Admission No. (Roll No.)</v>
      </c>
      <c r="C1" t="str">
        <v>Name of Student</v>
      </c>
      <c r="D1" t="str">
        <v>Division(Section)</v>
      </c>
      <c r="E1" t="str">
        <v>Course Code</v>
      </c>
      <c r="F1" t="str">
        <v>Course Name</v>
      </c>
      <c r="G1" t="str">
        <v>Lecture Type (Theory/Practical)</v>
      </c>
      <c r="H1" t="str">
        <v>Program Name</v>
      </c>
      <c r="I1" t="str">
        <v>Department Name</v>
      </c>
      <c r="J1" t="str">
        <v>Class Name (Batch)</v>
      </c>
      <c r="K1" t="str">
        <v>Semester Name</v>
      </c>
      <c r="L1" t="str">
        <v>Exam Name (ETE/ST/FA)</v>
      </c>
      <c r="M1" t="str">
        <v>1a</v>
      </c>
      <c r="N1" t="str">
        <v>1b</v>
      </c>
      <c r="O1" t="str">
        <v>1c</v>
      </c>
      <c r="P1" t="str">
        <v>1d</v>
      </c>
      <c r="Q1" t="str">
        <v>1e</v>
      </c>
      <c r="R1" t="str">
        <v>Q2</v>
      </c>
      <c r="S1" t="str">
        <v>Q3</v>
      </c>
      <c r="T1" t="str">
        <v>Q4</v>
      </c>
      <c r="U1" t="str">
        <v>Q5</v>
      </c>
      <c r="V1" t="str">
        <v>Q6</v>
      </c>
      <c r="W1" t="str">
        <v>Q7</v>
      </c>
      <c r="X1" t="str">
        <v>Q8</v>
      </c>
      <c r="Y1" t="str">
        <v>Q9</v>
      </c>
      <c r="Z1" t="str">
        <v>Q10</v>
      </c>
      <c r="AA1" t="str">
        <v>Q11</v>
      </c>
      <c r="AB1" t="str">
        <v>Q12</v>
      </c>
      <c r="AC1" t="str">
        <v>Q13</v>
      </c>
      <c r="AD1" t="str">
        <v>Q14</v>
      </c>
      <c r="AE1" t="str">
        <v>Q15</v>
      </c>
      <c r="AF1" t="str">
        <v>Q16</v>
      </c>
      <c r="AG1" t="str">
        <v>Assignment</v>
      </c>
      <c r="AH1" t="str">
        <v>FA1</v>
      </c>
      <c r="AI1" t="str">
        <v>FA2</v>
      </c>
      <c r="AJ1" t="str">
        <v>Total Marks</v>
      </c>
      <c r="AK1" t="str">
        <v>max Marks</v>
      </c>
    </row>
    <row r="2" spans="1:37" x14ac:dyDescent="0.3">
      <c r="A2">
        <v>1</v>
      </c>
      <c r="B2">
        <v>2010990089</v>
      </c>
      <c r="C2" t="str">
        <v>ANSH GARG</v>
      </c>
      <c r="D2">
        <v>0</v>
      </c>
      <c r="E2" t="str">
        <v>EC112</v>
      </c>
      <c r="F2" t="str">
        <v>Network Analysis and Synthesis</v>
      </c>
      <c r="G2" t="str">
        <v>Theory</v>
      </c>
      <c r="H2" t="str">
        <v>B.E</v>
      </c>
      <c r="I2" t="str">
        <v>ECE</v>
      </c>
      <c r="J2">
        <v>2020</v>
      </c>
      <c r="K2">
        <v>3</v>
      </c>
      <c r="L2" t="str">
        <v>ST3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 t="str">
        <v>U</v>
      </c>
      <c r="S2" t="str">
        <v>U</v>
      </c>
      <c r="T2" t="str">
        <v>U</v>
      </c>
      <c r="U2" t="str">
        <v>U</v>
      </c>
      <c r="V2" t="str">
        <v>U</v>
      </c>
      <c r="W2" t="str">
        <v>U</v>
      </c>
      <c r="X2" t="str">
        <v>U</v>
      </c>
      <c r="Y2" t="str">
        <v>U</v>
      </c>
      <c r="Z2" t="str">
        <v>U</v>
      </c>
      <c r="AA2" t="str">
        <v>U</v>
      </c>
      <c r="AB2" t="str">
        <v>U</v>
      </c>
      <c r="AC2" t="str">
        <v>U</v>
      </c>
      <c r="AD2" t="str">
        <v>U</v>
      </c>
      <c r="AE2" t="str">
        <v>U</v>
      </c>
      <c r="AF2" t="str">
        <v>U</v>
      </c>
      <c r="AG2" t="str">
        <v>U</v>
      </c>
      <c r="AH2" t="str">
        <v>U</v>
      </c>
      <c r="AI2" t="str">
        <v>U</v>
      </c>
      <c r="AJ2">
        <v>0</v>
      </c>
      <c r="AK2">
        <v>0</v>
      </c>
    </row>
    <row r="3" spans="1:37" x14ac:dyDescent="0.3">
      <c r="A3">
        <v>2</v>
      </c>
      <c r="B3">
        <v>2010992002</v>
      </c>
      <c r="C3" t="str">
        <v>PANSY VERMA</v>
      </c>
      <c r="D3">
        <v>0</v>
      </c>
      <c r="E3" t="str">
        <v>EC112</v>
      </c>
      <c r="F3" t="str">
        <v>Network Analysis and Synthesis</v>
      </c>
      <c r="G3" t="str">
        <v>Theory</v>
      </c>
      <c r="H3" t="str">
        <v>B.E</v>
      </c>
      <c r="I3" t="str">
        <v>ECE</v>
      </c>
      <c r="J3">
        <v>2020</v>
      </c>
      <c r="K3">
        <v>3</v>
      </c>
      <c r="L3" t="str">
        <v>ST3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 t="str">
        <v>U</v>
      </c>
      <c r="S3" t="str">
        <v>U</v>
      </c>
      <c r="T3" t="str">
        <v>U</v>
      </c>
      <c r="U3" t="str">
        <v>U</v>
      </c>
      <c r="V3" t="str">
        <v>U</v>
      </c>
      <c r="W3" t="str">
        <v>U</v>
      </c>
      <c r="X3" t="str">
        <v>U</v>
      </c>
      <c r="Y3" t="str">
        <v>U</v>
      </c>
      <c r="Z3" t="str">
        <v>U</v>
      </c>
      <c r="AA3" t="str">
        <v>U</v>
      </c>
      <c r="AB3" t="str">
        <v>U</v>
      </c>
      <c r="AC3" t="str">
        <v>U</v>
      </c>
      <c r="AD3" t="str">
        <v>U</v>
      </c>
      <c r="AE3" t="str">
        <v>U</v>
      </c>
      <c r="AF3" t="str">
        <v>U</v>
      </c>
      <c r="AG3" t="str">
        <v>U</v>
      </c>
      <c r="AH3" t="str">
        <v>U</v>
      </c>
      <c r="AI3" t="str">
        <v>U</v>
      </c>
      <c r="AJ3">
        <v>0</v>
      </c>
      <c r="AK3">
        <v>0</v>
      </c>
    </row>
    <row r="4" spans="1:37" x14ac:dyDescent="0.3">
      <c r="A4">
        <v>3</v>
      </c>
      <c r="B4">
        <v>2010992004</v>
      </c>
      <c r="C4" t="str">
        <v>UTKARSH BHATT</v>
      </c>
      <c r="D4">
        <v>0</v>
      </c>
      <c r="E4" t="str">
        <v>EC112</v>
      </c>
      <c r="F4" t="str">
        <v>Network Analysis and Synthesis</v>
      </c>
      <c r="G4" t="str">
        <v>Theory</v>
      </c>
      <c r="H4" t="str">
        <v>B.E</v>
      </c>
      <c r="I4" t="str">
        <v>ECE</v>
      </c>
      <c r="J4">
        <v>2020</v>
      </c>
      <c r="K4">
        <v>3</v>
      </c>
      <c r="L4" t="str">
        <v>ST3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  <c r="V4" t="str">
        <v>U</v>
      </c>
      <c r="W4" t="str">
        <v>U</v>
      </c>
      <c r="X4" t="str">
        <v>U</v>
      </c>
      <c r="Y4" t="str">
        <v>U</v>
      </c>
      <c r="Z4" t="str">
        <v>U</v>
      </c>
      <c r="AA4" t="str">
        <v>U</v>
      </c>
      <c r="AB4" t="str">
        <v>U</v>
      </c>
      <c r="AC4" t="str">
        <v>U</v>
      </c>
      <c r="AD4" t="str">
        <v>U</v>
      </c>
      <c r="AE4" t="str">
        <v>U</v>
      </c>
      <c r="AF4" t="str">
        <v>U</v>
      </c>
      <c r="AG4" t="str">
        <v>U</v>
      </c>
      <c r="AH4" t="str">
        <v>U</v>
      </c>
      <c r="AI4" t="str">
        <v>U</v>
      </c>
      <c r="AJ4">
        <v>0</v>
      </c>
      <c r="AK4">
        <v>0</v>
      </c>
    </row>
    <row r="5" spans="1:37" x14ac:dyDescent="0.3">
      <c r="A5">
        <v>4</v>
      </c>
      <c r="B5">
        <v>2010992005</v>
      </c>
      <c r="C5" t="str">
        <v>RATANABH SHARMA</v>
      </c>
      <c r="D5">
        <v>0</v>
      </c>
      <c r="E5" t="str">
        <v>EC112</v>
      </c>
      <c r="F5" t="str">
        <v>Network Analysis and Synthesis</v>
      </c>
      <c r="G5" t="str">
        <v>Theory</v>
      </c>
      <c r="H5" t="str">
        <v>B.E</v>
      </c>
      <c r="I5" t="str">
        <v>ECE</v>
      </c>
      <c r="J5">
        <v>2020</v>
      </c>
      <c r="K5">
        <v>3</v>
      </c>
      <c r="L5" t="str">
        <v>ST3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  <c r="V5" t="str">
        <v>U</v>
      </c>
      <c r="W5" t="str">
        <v>U</v>
      </c>
      <c r="X5" t="str">
        <v>U</v>
      </c>
      <c r="Y5" t="str">
        <v>U</v>
      </c>
      <c r="Z5" t="str">
        <v>U</v>
      </c>
      <c r="AA5" t="str">
        <v>U</v>
      </c>
      <c r="AB5" t="str">
        <v>U</v>
      </c>
      <c r="AC5" t="str">
        <v>U</v>
      </c>
      <c r="AD5" t="str">
        <v>U</v>
      </c>
      <c r="AE5" t="str">
        <v>U</v>
      </c>
      <c r="AF5" t="str">
        <v>U</v>
      </c>
      <c r="AG5" t="str">
        <v>U</v>
      </c>
      <c r="AH5" t="str">
        <v>U</v>
      </c>
      <c r="AI5" t="str">
        <v>U</v>
      </c>
      <c r="AJ5">
        <v>0</v>
      </c>
      <c r="AK5">
        <v>0</v>
      </c>
    </row>
    <row r="6" spans="1:37" x14ac:dyDescent="0.3">
      <c r="A6">
        <v>5</v>
      </c>
      <c r="B6">
        <v>2010992006</v>
      </c>
      <c r="C6" t="str">
        <v>AYUSH SHARMA</v>
      </c>
      <c r="D6">
        <v>0</v>
      </c>
      <c r="E6" t="str">
        <v>EC112</v>
      </c>
      <c r="F6" t="str">
        <v>Network Analysis and Synthesis</v>
      </c>
      <c r="G6" t="str">
        <v>Theory</v>
      </c>
      <c r="H6" t="str">
        <v>B.E</v>
      </c>
      <c r="I6" t="str">
        <v>ECE</v>
      </c>
      <c r="J6">
        <v>2020</v>
      </c>
      <c r="K6">
        <v>3</v>
      </c>
      <c r="L6" t="str">
        <v>ST3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  <c r="V6" t="str">
        <v>U</v>
      </c>
      <c r="W6" t="str">
        <v>U</v>
      </c>
      <c r="X6" t="str">
        <v>U</v>
      </c>
      <c r="Y6" t="str">
        <v>U</v>
      </c>
      <c r="Z6" t="str">
        <v>U</v>
      </c>
      <c r="AA6" t="str">
        <v>U</v>
      </c>
      <c r="AB6" t="str">
        <v>U</v>
      </c>
      <c r="AC6" t="str">
        <v>U</v>
      </c>
      <c r="AD6" t="str">
        <v>U</v>
      </c>
      <c r="AE6" t="str">
        <v>U</v>
      </c>
      <c r="AF6" t="str">
        <v>U</v>
      </c>
      <c r="AG6" t="str">
        <v>U</v>
      </c>
      <c r="AH6" t="str">
        <v>U</v>
      </c>
      <c r="AI6" t="str">
        <v>U</v>
      </c>
      <c r="AJ6">
        <v>0</v>
      </c>
      <c r="AK6">
        <v>0</v>
      </c>
    </row>
    <row r="7" spans="1:37" x14ac:dyDescent="0.3">
      <c r="A7">
        <v>6</v>
      </c>
      <c r="B7">
        <v>2010992008</v>
      </c>
      <c r="C7" t="str">
        <v>NAVDEEP SINGH</v>
      </c>
      <c r="D7">
        <v>0</v>
      </c>
      <c r="E7" t="str">
        <v>EC112</v>
      </c>
      <c r="F7" t="str">
        <v>Network Analysis and Synthesis</v>
      </c>
      <c r="G7" t="str">
        <v>Theory</v>
      </c>
      <c r="H7" t="str">
        <v>B.E</v>
      </c>
      <c r="I7" t="str">
        <v>ECE</v>
      </c>
      <c r="J7">
        <v>2020</v>
      </c>
      <c r="K7">
        <v>3</v>
      </c>
      <c r="L7" t="str">
        <v>ST3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  <c r="Y7" t="str">
        <v>U</v>
      </c>
      <c r="Z7" t="str">
        <v>U</v>
      </c>
      <c r="AA7" t="str">
        <v>U</v>
      </c>
      <c r="AB7" t="str">
        <v>U</v>
      </c>
      <c r="AC7" t="str">
        <v>U</v>
      </c>
      <c r="AD7" t="str">
        <v>U</v>
      </c>
      <c r="AE7" t="str">
        <v>U</v>
      </c>
      <c r="AF7" t="str">
        <v>U</v>
      </c>
      <c r="AG7" t="str">
        <v>U</v>
      </c>
      <c r="AH7" t="str">
        <v>U</v>
      </c>
      <c r="AI7" t="str">
        <v>U</v>
      </c>
      <c r="AJ7">
        <v>0</v>
      </c>
      <c r="AK7">
        <v>0</v>
      </c>
    </row>
    <row r="8" spans="1:37" x14ac:dyDescent="0.3">
      <c r="A8">
        <v>7</v>
      </c>
      <c r="B8">
        <v>2010992009</v>
      </c>
      <c r="C8" t="str">
        <v>RIYA</v>
      </c>
      <c r="D8">
        <v>0</v>
      </c>
      <c r="E8" t="str">
        <v>EC112</v>
      </c>
      <c r="F8" t="str">
        <v>Network Analysis and Synthesis</v>
      </c>
      <c r="G8" t="str">
        <v>Theory</v>
      </c>
      <c r="H8" t="str">
        <v>B.E</v>
      </c>
      <c r="I8" t="str">
        <v>ECE</v>
      </c>
      <c r="J8">
        <v>2020</v>
      </c>
      <c r="K8">
        <v>3</v>
      </c>
      <c r="L8" t="str">
        <v>ST3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  <c r="V8" t="str">
        <v>U</v>
      </c>
      <c r="W8" t="str">
        <v>U</v>
      </c>
      <c r="X8" t="str">
        <v>U</v>
      </c>
      <c r="Y8" t="str">
        <v>U</v>
      </c>
      <c r="Z8" t="str">
        <v>U</v>
      </c>
      <c r="AA8" t="str">
        <v>U</v>
      </c>
      <c r="AB8" t="str">
        <v>U</v>
      </c>
      <c r="AC8" t="str">
        <v>U</v>
      </c>
      <c r="AD8" t="str">
        <v>U</v>
      </c>
      <c r="AE8" t="str">
        <v>U</v>
      </c>
      <c r="AF8" t="str">
        <v>U</v>
      </c>
      <c r="AG8" t="str">
        <v>U</v>
      </c>
      <c r="AH8" t="str">
        <v>U</v>
      </c>
      <c r="AI8" t="str">
        <v>U</v>
      </c>
      <c r="AJ8">
        <v>0</v>
      </c>
      <c r="AK8">
        <v>0</v>
      </c>
    </row>
    <row r="9" spans="1:37" x14ac:dyDescent="0.3">
      <c r="A9">
        <v>8</v>
      </c>
      <c r="B9">
        <v>2010992010</v>
      </c>
      <c r="C9" t="str">
        <v>RISHABH TANDON</v>
      </c>
      <c r="D9">
        <v>0</v>
      </c>
      <c r="E9" t="str">
        <v>EC112</v>
      </c>
      <c r="F9" t="str">
        <v>Network Analysis and Synthesis</v>
      </c>
      <c r="G9" t="str">
        <v>Theory</v>
      </c>
      <c r="H9" t="str">
        <v>B.E</v>
      </c>
      <c r="I9" t="str">
        <v>ECE</v>
      </c>
      <c r="J9">
        <v>2020</v>
      </c>
      <c r="K9">
        <v>3</v>
      </c>
      <c r="L9" t="str">
        <v>ST3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  <c r="V9" t="str">
        <v>U</v>
      </c>
      <c r="W9" t="str">
        <v>U</v>
      </c>
      <c r="X9" t="str">
        <v>U</v>
      </c>
      <c r="Y9" t="str">
        <v>U</v>
      </c>
      <c r="Z9" t="str">
        <v>U</v>
      </c>
      <c r="AA9" t="str">
        <v>U</v>
      </c>
      <c r="AB9" t="str">
        <v>U</v>
      </c>
      <c r="AC9" t="str">
        <v>U</v>
      </c>
      <c r="AD9" t="str">
        <v>U</v>
      </c>
      <c r="AE9" t="str">
        <v>U</v>
      </c>
      <c r="AF9" t="str">
        <v>U</v>
      </c>
      <c r="AG9" t="str">
        <v>U</v>
      </c>
      <c r="AH9" t="str">
        <v>U</v>
      </c>
      <c r="AI9" t="str">
        <v>U</v>
      </c>
      <c r="AJ9">
        <v>0</v>
      </c>
      <c r="AK9">
        <v>0</v>
      </c>
    </row>
    <row r="10" spans="1:37" x14ac:dyDescent="0.3">
      <c r="A10">
        <v>9</v>
      </c>
      <c r="B10">
        <v>2010992011</v>
      </c>
      <c r="C10" t="str">
        <v>HEERENDRA SINGH CHAUHAN</v>
      </c>
      <c r="D10">
        <v>0</v>
      </c>
      <c r="E10" t="str">
        <v>EC112</v>
      </c>
      <c r="F10" t="str">
        <v>Network Analysis and Synthesis</v>
      </c>
      <c r="G10" t="str">
        <v>Theory</v>
      </c>
      <c r="H10" t="str">
        <v>B.E</v>
      </c>
      <c r="I10" t="str">
        <v>ECE</v>
      </c>
      <c r="J10">
        <v>2020</v>
      </c>
      <c r="K10">
        <v>3</v>
      </c>
      <c r="L10" t="str">
        <v>ST3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  <c r="V10" t="str">
        <v>U</v>
      </c>
      <c r="W10" t="str">
        <v>U</v>
      </c>
      <c r="X10" t="str">
        <v>U</v>
      </c>
      <c r="Y10" t="str">
        <v>U</v>
      </c>
      <c r="Z10" t="str">
        <v>U</v>
      </c>
      <c r="AA10" t="str">
        <v>U</v>
      </c>
      <c r="AB10" t="str">
        <v>U</v>
      </c>
      <c r="AC10" t="str">
        <v>U</v>
      </c>
      <c r="AD10" t="str">
        <v>U</v>
      </c>
      <c r="AE10" t="str">
        <v>U</v>
      </c>
      <c r="AF10" t="str">
        <v>U</v>
      </c>
      <c r="AG10" t="str">
        <v>U</v>
      </c>
      <c r="AH10" t="str">
        <v>U</v>
      </c>
      <c r="AI10" t="str">
        <v>U</v>
      </c>
      <c r="AJ10">
        <v>0</v>
      </c>
      <c r="AK10">
        <v>0</v>
      </c>
    </row>
    <row r="11" spans="1:37" x14ac:dyDescent="0.3">
      <c r="A11">
        <v>10</v>
      </c>
      <c r="B11">
        <v>2010992012</v>
      </c>
      <c r="C11" t="str">
        <v>AKSHAT</v>
      </c>
      <c r="D11">
        <v>0</v>
      </c>
      <c r="E11" t="str">
        <v>EC112</v>
      </c>
      <c r="F11" t="str">
        <v>Network Analysis and Synthesis</v>
      </c>
      <c r="G11" t="str">
        <v>Theory</v>
      </c>
      <c r="H11" t="str">
        <v>B.E</v>
      </c>
      <c r="I11" t="str">
        <v>ECE</v>
      </c>
      <c r="J11">
        <v>2020</v>
      </c>
      <c r="K11">
        <v>3</v>
      </c>
      <c r="L11" t="str">
        <v>ST3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 t="str">
        <v>U</v>
      </c>
      <c r="S11" t="str">
        <v>U</v>
      </c>
      <c r="T11" t="str">
        <v>U</v>
      </c>
      <c r="U11" t="str">
        <v>U</v>
      </c>
      <c r="V11" t="str">
        <v>U</v>
      </c>
      <c r="W11" t="str">
        <v>U</v>
      </c>
      <c r="X11" t="str">
        <v>U</v>
      </c>
      <c r="Y11" t="str">
        <v>U</v>
      </c>
      <c r="Z11" t="str">
        <v>U</v>
      </c>
      <c r="AA11" t="str">
        <v>U</v>
      </c>
      <c r="AB11" t="str">
        <v>U</v>
      </c>
      <c r="AC11" t="str">
        <v>U</v>
      </c>
      <c r="AD11" t="str">
        <v>U</v>
      </c>
      <c r="AE11" t="str">
        <v>U</v>
      </c>
      <c r="AF11" t="str">
        <v>U</v>
      </c>
      <c r="AG11" t="str">
        <v>U</v>
      </c>
      <c r="AH11" t="str">
        <v>U</v>
      </c>
      <c r="AI11" t="str">
        <v>U</v>
      </c>
      <c r="AJ11">
        <v>0</v>
      </c>
      <c r="AK11">
        <v>0</v>
      </c>
    </row>
    <row r="12" spans="1:37" x14ac:dyDescent="0.3">
      <c r="A12">
        <v>11</v>
      </c>
      <c r="B12">
        <v>2010992014</v>
      </c>
      <c r="C12" t="str">
        <v>HARSHIT CHAHAL</v>
      </c>
      <c r="D12">
        <v>0</v>
      </c>
      <c r="E12" t="str">
        <v>EC112</v>
      </c>
      <c r="F12" t="str">
        <v>Network Analysis and Synthesis</v>
      </c>
      <c r="G12" t="str">
        <v>Theory</v>
      </c>
      <c r="H12" t="str">
        <v>B.E</v>
      </c>
      <c r="I12" t="str">
        <v>ECE</v>
      </c>
      <c r="J12">
        <v>2020</v>
      </c>
      <c r="K12">
        <v>3</v>
      </c>
      <c r="L12" t="str">
        <v>ST3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  <c r="V12" t="str">
        <v>U</v>
      </c>
      <c r="W12" t="str">
        <v>U</v>
      </c>
      <c r="X12" t="str">
        <v>U</v>
      </c>
      <c r="Y12" t="str">
        <v>U</v>
      </c>
      <c r="Z12" t="str">
        <v>U</v>
      </c>
      <c r="AA12" t="str">
        <v>U</v>
      </c>
      <c r="AB12" t="str">
        <v>U</v>
      </c>
      <c r="AC12" t="str">
        <v>U</v>
      </c>
      <c r="AD12" t="str">
        <v>U</v>
      </c>
      <c r="AE12" t="str">
        <v>U</v>
      </c>
      <c r="AF12" t="str">
        <v>U</v>
      </c>
      <c r="AG12" t="str">
        <v>U</v>
      </c>
      <c r="AH12" t="str">
        <v>U</v>
      </c>
      <c r="AI12" t="str">
        <v>U</v>
      </c>
      <c r="AJ12">
        <v>0</v>
      </c>
      <c r="AK12">
        <v>0</v>
      </c>
    </row>
    <row r="13" spans="1:37" x14ac:dyDescent="0.3">
      <c r="A13">
        <v>12</v>
      </c>
      <c r="B13">
        <v>2010992015</v>
      </c>
      <c r="C13" t="str">
        <v>URVANSH NAHATA</v>
      </c>
      <c r="D13">
        <v>0</v>
      </c>
      <c r="E13" t="str">
        <v>EC112</v>
      </c>
      <c r="F13" t="str">
        <v>Network Analysis and Synthesis</v>
      </c>
      <c r="G13" t="str">
        <v>Theory</v>
      </c>
      <c r="H13" t="str">
        <v>B.E</v>
      </c>
      <c r="I13" t="str">
        <v>ECE</v>
      </c>
      <c r="J13">
        <v>2020</v>
      </c>
      <c r="K13">
        <v>3</v>
      </c>
      <c r="L13" t="str">
        <v>ST3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 t="str">
        <v>U</v>
      </c>
      <c r="S13" t="str">
        <v>U</v>
      </c>
      <c r="T13" t="str">
        <v>U</v>
      </c>
      <c r="U13" t="str">
        <v>U</v>
      </c>
      <c r="V13" t="str">
        <v>U</v>
      </c>
      <c r="W13" t="str">
        <v>U</v>
      </c>
      <c r="X13" t="str">
        <v>U</v>
      </c>
      <c r="Y13" t="str">
        <v>U</v>
      </c>
      <c r="Z13" t="str">
        <v>U</v>
      </c>
      <c r="AA13" t="str">
        <v>U</v>
      </c>
      <c r="AB13" t="str">
        <v>U</v>
      </c>
      <c r="AC13" t="str">
        <v>U</v>
      </c>
      <c r="AD13" t="str">
        <v>U</v>
      </c>
      <c r="AE13" t="str">
        <v>U</v>
      </c>
      <c r="AF13" t="str">
        <v>U</v>
      </c>
      <c r="AG13" t="str">
        <v>U</v>
      </c>
      <c r="AH13" t="str">
        <v>U</v>
      </c>
      <c r="AI13" t="str">
        <v>U</v>
      </c>
      <c r="AJ13">
        <v>0</v>
      </c>
      <c r="AK13">
        <v>0</v>
      </c>
    </row>
    <row r="14" spans="1:37" x14ac:dyDescent="0.3">
      <c r="A14">
        <v>13</v>
      </c>
      <c r="B14">
        <v>2010992016</v>
      </c>
      <c r="C14" t="str">
        <v>VARUN</v>
      </c>
      <c r="D14">
        <v>0</v>
      </c>
      <c r="E14" t="str">
        <v>EC112</v>
      </c>
      <c r="F14" t="str">
        <v>Network Analysis and Synthesis</v>
      </c>
      <c r="G14" t="str">
        <v>Theory</v>
      </c>
      <c r="H14" t="str">
        <v>B.E</v>
      </c>
      <c r="I14" t="str">
        <v>ECE</v>
      </c>
      <c r="J14">
        <v>2020</v>
      </c>
      <c r="K14">
        <v>3</v>
      </c>
      <c r="L14" t="str">
        <v>ST3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 t="str">
        <v>U</v>
      </c>
      <c r="S14" t="str">
        <v>U</v>
      </c>
      <c r="T14" t="str">
        <v>U</v>
      </c>
      <c r="U14" t="str">
        <v>U</v>
      </c>
      <c r="V14" t="str">
        <v>U</v>
      </c>
      <c r="W14" t="str">
        <v>U</v>
      </c>
      <c r="X14" t="str">
        <v>U</v>
      </c>
      <c r="Y14" t="str">
        <v>U</v>
      </c>
      <c r="Z14" t="str">
        <v>U</v>
      </c>
      <c r="AA14" t="str">
        <v>U</v>
      </c>
      <c r="AB14" t="str">
        <v>U</v>
      </c>
      <c r="AC14" t="str">
        <v>U</v>
      </c>
      <c r="AD14" t="str">
        <v>U</v>
      </c>
      <c r="AE14" t="str">
        <v>U</v>
      </c>
      <c r="AF14" t="str">
        <v>U</v>
      </c>
      <c r="AG14" t="str">
        <v>U</v>
      </c>
      <c r="AH14" t="str">
        <v>U</v>
      </c>
      <c r="AI14" t="str">
        <v>U</v>
      </c>
      <c r="AJ14">
        <v>0</v>
      </c>
      <c r="AK14">
        <v>0</v>
      </c>
    </row>
    <row r="15" spans="1:37" x14ac:dyDescent="0.3">
      <c r="A15">
        <v>14</v>
      </c>
      <c r="B15">
        <v>2010992017</v>
      </c>
      <c r="C15" t="str">
        <v>MRIDUL AGGARWAL</v>
      </c>
      <c r="D15">
        <v>0</v>
      </c>
      <c r="E15" t="str">
        <v>EC112</v>
      </c>
      <c r="F15" t="str">
        <v>Network Analysis and Synthesis</v>
      </c>
      <c r="G15" t="str">
        <v>Theory</v>
      </c>
      <c r="H15" t="str">
        <v>B.E</v>
      </c>
      <c r="I15" t="str">
        <v>ECE</v>
      </c>
      <c r="J15">
        <v>2020</v>
      </c>
      <c r="K15">
        <v>3</v>
      </c>
      <c r="L15" t="str">
        <v>ST3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  <c r="V15" t="str">
        <v>U</v>
      </c>
      <c r="W15" t="str">
        <v>U</v>
      </c>
      <c r="X15" t="str">
        <v>U</v>
      </c>
      <c r="Y15" t="str">
        <v>U</v>
      </c>
      <c r="Z15" t="str">
        <v>U</v>
      </c>
      <c r="AA15" t="str">
        <v>U</v>
      </c>
      <c r="AB15" t="str">
        <v>U</v>
      </c>
      <c r="AC15" t="str">
        <v>U</v>
      </c>
      <c r="AD15" t="str">
        <v>U</v>
      </c>
      <c r="AE15" t="str">
        <v>U</v>
      </c>
      <c r="AF15" t="str">
        <v>U</v>
      </c>
      <c r="AG15" t="str">
        <v>U</v>
      </c>
      <c r="AH15" t="str">
        <v>U</v>
      </c>
      <c r="AI15" t="str">
        <v>U</v>
      </c>
      <c r="AJ15">
        <v>0</v>
      </c>
      <c r="AK15">
        <v>0</v>
      </c>
    </row>
    <row r="16" spans="1:37" x14ac:dyDescent="0.3">
      <c r="A16">
        <v>15</v>
      </c>
      <c r="B16">
        <v>2010992018</v>
      </c>
      <c r="C16" t="str">
        <v>SHAKSHI SINGH</v>
      </c>
      <c r="D16">
        <v>0</v>
      </c>
      <c r="E16" t="str">
        <v>EC112</v>
      </c>
      <c r="F16" t="str">
        <v>Network Analysis and Synthesis</v>
      </c>
      <c r="G16" t="str">
        <v>Theory</v>
      </c>
      <c r="H16" t="str">
        <v>B.E</v>
      </c>
      <c r="I16" t="str">
        <v>ECE</v>
      </c>
      <c r="J16">
        <v>2020</v>
      </c>
      <c r="K16">
        <v>3</v>
      </c>
      <c r="L16" t="str">
        <v>ST3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 t="str">
        <v>U</v>
      </c>
      <c r="S16" t="str">
        <v>U</v>
      </c>
      <c r="T16" t="str">
        <v>U</v>
      </c>
      <c r="U16" t="str">
        <v>U</v>
      </c>
      <c r="V16" t="str">
        <v>U</v>
      </c>
      <c r="W16" t="str">
        <v>U</v>
      </c>
      <c r="X16" t="str">
        <v>U</v>
      </c>
      <c r="Y16" t="str">
        <v>U</v>
      </c>
      <c r="Z16" t="str">
        <v>U</v>
      </c>
      <c r="AA16" t="str">
        <v>U</v>
      </c>
      <c r="AB16" t="str">
        <v>U</v>
      </c>
      <c r="AC16" t="str">
        <v>U</v>
      </c>
      <c r="AD16" t="str">
        <v>U</v>
      </c>
      <c r="AE16" t="str">
        <v>U</v>
      </c>
      <c r="AF16" t="str">
        <v>U</v>
      </c>
      <c r="AG16" t="str">
        <v>U</v>
      </c>
      <c r="AH16" t="str">
        <v>U</v>
      </c>
      <c r="AI16" t="str">
        <v>U</v>
      </c>
      <c r="AJ16">
        <v>0</v>
      </c>
      <c r="AK16">
        <v>0</v>
      </c>
    </row>
    <row r="17" spans="1:37" x14ac:dyDescent="0.3">
      <c r="A17">
        <v>16</v>
      </c>
      <c r="B17">
        <v>2010992019</v>
      </c>
      <c r="C17" t="str">
        <v>KHAN MUBASHIR RASOOL</v>
      </c>
      <c r="D17">
        <v>0</v>
      </c>
      <c r="E17" t="str">
        <v>EC112</v>
      </c>
      <c r="F17" t="str">
        <v>Network Analysis and Synthesis</v>
      </c>
      <c r="G17" t="str">
        <v>Theory</v>
      </c>
      <c r="H17" t="str">
        <v>B.E</v>
      </c>
      <c r="I17" t="str">
        <v>ECE</v>
      </c>
      <c r="J17">
        <v>2020</v>
      </c>
      <c r="K17">
        <v>3</v>
      </c>
      <c r="L17" t="str">
        <v>ST3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  <c r="V17" t="str">
        <v>U</v>
      </c>
      <c r="W17" t="str">
        <v>U</v>
      </c>
      <c r="X17" t="str">
        <v>U</v>
      </c>
      <c r="Y17" t="str">
        <v>U</v>
      </c>
      <c r="Z17" t="str">
        <v>U</v>
      </c>
      <c r="AA17" t="str">
        <v>U</v>
      </c>
      <c r="AB17" t="str">
        <v>U</v>
      </c>
      <c r="AC17" t="str">
        <v>U</v>
      </c>
      <c r="AD17" t="str">
        <v>U</v>
      </c>
      <c r="AE17" t="str">
        <v>U</v>
      </c>
      <c r="AF17" t="str">
        <v>U</v>
      </c>
      <c r="AG17" t="str">
        <v>U</v>
      </c>
      <c r="AH17" t="str">
        <v>U</v>
      </c>
      <c r="AI17" t="str">
        <v>U</v>
      </c>
      <c r="AJ17">
        <v>0</v>
      </c>
      <c r="AK17">
        <v>0</v>
      </c>
    </row>
    <row r="18" spans="1:37" x14ac:dyDescent="0.3">
      <c r="A18">
        <v>17</v>
      </c>
      <c r="B18">
        <v>2010992163</v>
      </c>
      <c r="C18" t="str">
        <v>TAMANA SIAG</v>
      </c>
      <c r="D18">
        <v>0</v>
      </c>
      <c r="E18" t="str">
        <v>EC112</v>
      </c>
      <c r="F18" t="str">
        <v>Network Analysis and Synthesis</v>
      </c>
      <c r="G18" t="str">
        <v>Theory</v>
      </c>
      <c r="H18" t="str">
        <v>B.E</v>
      </c>
      <c r="I18" t="str">
        <v>ECE</v>
      </c>
      <c r="J18">
        <v>2020</v>
      </c>
      <c r="K18">
        <v>3</v>
      </c>
      <c r="L18" t="str">
        <v>ST3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 t="str">
        <v>U</v>
      </c>
      <c r="S18" t="str">
        <v>U</v>
      </c>
      <c r="T18" t="str">
        <v>U</v>
      </c>
      <c r="U18" t="str">
        <v>U</v>
      </c>
      <c r="V18" t="str">
        <v>U</v>
      </c>
      <c r="W18" t="str">
        <v>U</v>
      </c>
      <c r="X18" t="str">
        <v>U</v>
      </c>
      <c r="Y18" t="str">
        <v>U</v>
      </c>
      <c r="Z18" t="str">
        <v>U</v>
      </c>
      <c r="AA18" t="str">
        <v>U</v>
      </c>
      <c r="AB18" t="str">
        <v>U</v>
      </c>
      <c r="AC18" t="str">
        <v>U</v>
      </c>
      <c r="AD18" t="str">
        <v>U</v>
      </c>
      <c r="AE18" t="str">
        <v>U</v>
      </c>
      <c r="AF18" t="str">
        <v>U</v>
      </c>
      <c r="AG18" t="str">
        <v>U</v>
      </c>
      <c r="AH18" t="str">
        <v>U</v>
      </c>
      <c r="AI18" t="str">
        <v>U</v>
      </c>
      <c r="AJ18">
        <v>0</v>
      </c>
      <c r="AK18">
        <v>0</v>
      </c>
    </row>
    <row r="19" spans="1:37" x14ac:dyDescent="0.3">
      <c r="A19">
        <v>18</v>
      </c>
      <c r="B19">
        <v>2010992202</v>
      </c>
      <c r="C19" t="str">
        <v>EKAMJOT SINGH MAINGI</v>
      </c>
      <c r="D19">
        <v>0</v>
      </c>
      <c r="E19" t="str">
        <v>EC112</v>
      </c>
      <c r="F19" t="str">
        <v>Network Analysis and Synthesis</v>
      </c>
      <c r="G19" t="str">
        <v>Theory</v>
      </c>
      <c r="H19" t="str">
        <v>B.E</v>
      </c>
      <c r="I19" t="str">
        <v>ECE</v>
      </c>
      <c r="J19">
        <v>2020</v>
      </c>
      <c r="K19">
        <v>3</v>
      </c>
      <c r="L19" t="str">
        <v>ST3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 t="str">
        <v>U</v>
      </c>
      <c r="S19" t="str">
        <v>U</v>
      </c>
      <c r="T19" t="str">
        <v>U</v>
      </c>
      <c r="U19" t="str">
        <v>U</v>
      </c>
      <c r="V19" t="str">
        <v>U</v>
      </c>
      <c r="W19" t="str">
        <v>U</v>
      </c>
      <c r="X19" t="str">
        <v>U</v>
      </c>
      <c r="Y19" t="str">
        <v>U</v>
      </c>
      <c r="Z19" t="str">
        <v>U</v>
      </c>
      <c r="AA19" t="str">
        <v>U</v>
      </c>
      <c r="AB19" t="str">
        <v>U</v>
      </c>
      <c r="AC19" t="str">
        <v>U</v>
      </c>
      <c r="AD19" t="str">
        <v>U</v>
      </c>
      <c r="AE19" t="str">
        <v>U</v>
      </c>
      <c r="AF19" t="str">
        <v>U</v>
      </c>
      <c r="AG19" t="str">
        <v>U</v>
      </c>
      <c r="AH19" t="str">
        <v>U</v>
      </c>
      <c r="AI19" t="str">
        <v>U</v>
      </c>
      <c r="AJ19">
        <v>0</v>
      </c>
      <c r="AK1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FAB1-D3E9-4DA0-9CD8-1C051091FA7E}">
  <dimension ref="A1:U19"/>
  <sheetViews>
    <sheetView topLeftCell="K1" workbookViewId="0">
      <selection activeCell="X1" sqref="V1:X1048576"/>
    </sheetView>
  </sheetViews>
  <sheetFormatPr defaultRowHeight="14.4" x14ac:dyDescent="0.3"/>
  <cols>
    <col min="1" max="1" width="11" bestFit="1" customWidth="1"/>
    <col min="17" max="17" width="10.33203125" bestFit="1" customWidth="1"/>
  </cols>
  <sheetData>
    <row r="1" spans="1:21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B19">INDEX('ST3 Result'!M:M, 1):INDEX('ST3 Result'!M:M, COUNTA('ST3 Result'!M:M) )</f>
        <v>1a</v>
      </c>
      <c r="C1" t="str" cm="1">
        <f t="array" ref="C1:C19">INDEX('ST3 Result'!N:N, 1):INDEX('ST3 Result'!N:N, COUNTA('ST3 Result'!N:N) )</f>
        <v>1b</v>
      </c>
      <c r="D1" t="str" cm="1">
        <f t="array" ref="D1:D19">INDEX('ST3 Result'!O:O, 1):INDEX('ST3 Result'!O:O, COUNTA('ST3 Result'!O:O) )</f>
        <v>1c</v>
      </c>
      <c r="E1" t="str" cm="1">
        <f t="array" ref="E1:E19">INDEX('ST3 Result'!P:P, 1):INDEX('ST3 Result'!P:P, COUNTA('ST3 Result'!P:P) )</f>
        <v>1d</v>
      </c>
      <c r="F1" t="str" cm="1">
        <f t="array" ref="F1:F19">INDEX('ST3 Result'!Q:Q, 1):INDEX('ST3 Result'!Q:Q, COUNTA('ST3 Result'!Q:Q) )</f>
        <v>1e</v>
      </c>
      <c r="G1" t="str" cm="1">
        <f t="array" ref="G1:G19">INDEX('ST3 Result'!R:R, 1):INDEX('ST3 Result'!R:R, COUNTA('ST3 Result'!R:R) )</f>
        <v>Q2</v>
      </c>
      <c r="H1" t="str" cm="1">
        <f t="array" ref="H1:H19">INDEX('ST3 Result'!S:S, 1):INDEX('ST3 Result'!S:S, COUNTA('ST3 Result'!S:S) )</f>
        <v>Q3</v>
      </c>
      <c r="I1" t="str" cm="1">
        <f t="array" ref="I1:I19">INDEX('ST3 Result'!T:T, 1):INDEX('ST3 Result'!T:T, COUNTA('ST3 Result'!T:T) )</f>
        <v>Q4</v>
      </c>
      <c r="J1" t="str" cm="1">
        <f t="array" ref="J1:J19">INDEX('ST3 Result'!U:U, 1):INDEX('ST3 Result'!U:U, COUNTA('ST3 Result'!U:U) )</f>
        <v>Q5</v>
      </c>
      <c r="K1" t="str" cm="1">
        <f t="array" ref="K1:K19">INDEX('ST3 Result'!V:V, 1):INDEX('ST3 Result'!V:V, COUNTA('ST3 Result'!V:V) )</f>
        <v>Q6</v>
      </c>
      <c r="L1" t="str" cm="1">
        <f t="array" ref="L1:L19">INDEX('ST3 Result'!W:W, 1):INDEX('ST3 Result'!W:W, COUNTA('ST3 Result'!W:W) )</f>
        <v>Q7</v>
      </c>
      <c r="M1" t="str" cm="1">
        <f t="array" ref="M1:M19">INDEX('ST3 Result'!X:X, 1):INDEX('ST3 Result'!X:X, COUNTA('ST3 Result'!X:X) )</f>
        <v>Q8</v>
      </c>
      <c r="N1" t="str" cm="1">
        <f t="array" ref="N1:N19">INDEX('ST3 Result'!Y:Y, 1):INDEX('ST3 Result'!Y:Y, COUNTA('ST3 Result'!Y:Y) )</f>
        <v>Q9</v>
      </c>
      <c r="O1" t="str" cm="1">
        <f t="array" ref="O1:O19">INDEX('ST3 Result'!Z:Z, 1):INDEX('ST3 Result'!Z:Z, COUNTA('ST3 Result'!Z:Z) )</f>
        <v>Q10</v>
      </c>
      <c r="P1" t="str" cm="1">
        <f t="array" ref="P1:P19">INDEX('ST3 Result'!AA:AA, 1):INDEX('ST3 Result'!AA:AA, COUNTA('ST3 Result'!AA:AA) )</f>
        <v>Q11</v>
      </c>
      <c r="Q1" t="str" cm="1">
        <f t="array" ref="Q1:Q19">INDEX('ST3 Result'!AB:AB, 1):INDEX('ST3 Result'!AB:AB, COUNTA('ST3 Result'!AB:AB) )</f>
        <v>Q12</v>
      </c>
      <c r="R1" t="str" cm="1">
        <f t="array" ref="R1:R19">INDEX('ST3 Result'!AC:AC, 1):INDEX('ST3 Result'!AC:AC, COUNTA('ST3 Result'!AC:AC) )</f>
        <v>Q13</v>
      </c>
      <c r="S1" t="str" cm="1">
        <f t="array" ref="S1:S19">INDEX('ST3 Result'!AD:AD, 1):INDEX('ST3 Result'!AD:AD, COUNTA('ST3 Result'!AD:AD) )</f>
        <v>Q14</v>
      </c>
      <c r="T1" t="str" cm="1">
        <f t="array" ref="T1:T19">INDEX('ST3 Result'!AE:AE, 1):INDEX('ST3 Result'!AE:AE, COUNTA('ST3 Result'!AE:AE) )</f>
        <v>Q15</v>
      </c>
      <c r="U1" t="str" cm="1">
        <f t="array" ref="U1:U19">INDEX('ST3 Result'!AF:AF, 1):INDEX('ST3 Result'!AF:AF, COUNTA('ST3 Result'!AF:AF) )</f>
        <v>Q16</v>
      </c>
    </row>
    <row r="2" spans="1:21" x14ac:dyDescent="0.3">
      <c r="A2">
        <v>2010990089</v>
      </c>
      <c r="B2" t="str">
        <v>U</v>
      </c>
      <c r="C2" t="str">
        <v>U</v>
      </c>
      <c r="D2" t="str">
        <v>U</v>
      </c>
      <c r="E2" t="str">
        <v>U</v>
      </c>
      <c r="F2" t="str">
        <v>U</v>
      </c>
      <c r="G2" t="str">
        <v>U</v>
      </c>
      <c r="H2" t="str">
        <v>U</v>
      </c>
      <c r="I2" t="str">
        <v>U</v>
      </c>
      <c r="J2" t="str">
        <v>U</v>
      </c>
      <c r="K2" t="str">
        <v>U</v>
      </c>
      <c r="L2" t="str">
        <v>U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 t="str">
        <v>U</v>
      </c>
      <c r="S2" t="str">
        <v>U</v>
      </c>
      <c r="T2" t="str">
        <v>U</v>
      </c>
      <c r="U2" t="str">
        <v>U</v>
      </c>
    </row>
    <row r="3" spans="1:21" x14ac:dyDescent="0.3">
      <c r="A3">
        <v>2010992002</v>
      </c>
      <c r="B3" t="str">
        <v>U</v>
      </c>
      <c r="C3" t="str">
        <v>U</v>
      </c>
      <c r="D3" t="str">
        <v>U</v>
      </c>
      <c r="E3" t="str">
        <v>U</v>
      </c>
      <c r="F3" t="str">
        <v>U</v>
      </c>
      <c r="G3" t="str">
        <v>U</v>
      </c>
      <c r="H3" t="str">
        <v>U</v>
      </c>
      <c r="I3" t="str">
        <v>U</v>
      </c>
      <c r="J3" t="str">
        <v>U</v>
      </c>
      <c r="K3" t="str">
        <v>U</v>
      </c>
      <c r="L3" t="str">
        <v>U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 t="str">
        <v>U</v>
      </c>
      <c r="S3" t="str">
        <v>U</v>
      </c>
      <c r="T3" t="str">
        <v>U</v>
      </c>
      <c r="U3" t="str">
        <v>U</v>
      </c>
    </row>
    <row r="4" spans="1:21" x14ac:dyDescent="0.3">
      <c r="A4">
        <v>2010992004</v>
      </c>
      <c r="B4" t="str">
        <v>U</v>
      </c>
      <c r="C4" t="str">
        <v>U</v>
      </c>
      <c r="D4" t="str">
        <v>U</v>
      </c>
      <c r="E4" t="str">
        <v>U</v>
      </c>
      <c r="F4" t="str">
        <v>U</v>
      </c>
      <c r="G4" t="str">
        <v>U</v>
      </c>
      <c r="H4" t="str">
        <v>U</v>
      </c>
      <c r="I4" t="str">
        <v>U</v>
      </c>
      <c r="J4" t="str">
        <v>U</v>
      </c>
      <c r="K4" t="str">
        <v>U</v>
      </c>
      <c r="L4" t="str">
        <v>U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</row>
    <row r="5" spans="1:21" x14ac:dyDescent="0.3">
      <c r="A5">
        <v>2010992005</v>
      </c>
      <c r="B5" t="str">
        <v>U</v>
      </c>
      <c r="C5" t="str">
        <v>U</v>
      </c>
      <c r="D5" t="str">
        <v>U</v>
      </c>
      <c r="E5" t="str">
        <v>U</v>
      </c>
      <c r="F5" t="str">
        <v>U</v>
      </c>
      <c r="G5" t="str">
        <v>U</v>
      </c>
      <c r="H5" t="str">
        <v>U</v>
      </c>
      <c r="I5" t="str">
        <v>U</v>
      </c>
      <c r="J5" t="str">
        <v>U</v>
      </c>
      <c r="K5" t="str">
        <v>U</v>
      </c>
      <c r="L5" t="str">
        <v>U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</row>
    <row r="6" spans="1:21" x14ac:dyDescent="0.3">
      <c r="A6">
        <v>2010992006</v>
      </c>
      <c r="B6" t="str">
        <v>U</v>
      </c>
      <c r="C6" t="str">
        <v>U</v>
      </c>
      <c r="D6" t="str">
        <v>U</v>
      </c>
      <c r="E6" t="str">
        <v>U</v>
      </c>
      <c r="F6" t="str">
        <v>U</v>
      </c>
      <c r="G6" t="str">
        <v>U</v>
      </c>
      <c r="H6" t="str">
        <v>U</v>
      </c>
      <c r="I6" t="str">
        <v>U</v>
      </c>
      <c r="J6" t="str">
        <v>U</v>
      </c>
      <c r="K6" t="str">
        <v>U</v>
      </c>
      <c r="L6" t="str">
        <v>U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</row>
    <row r="7" spans="1:21" x14ac:dyDescent="0.3">
      <c r="A7">
        <v>2010992008</v>
      </c>
      <c r="B7" t="str">
        <v>U</v>
      </c>
      <c r="C7" t="str">
        <v>U</v>
      </c>
      <c r="D7" t="str">
        <v>U</v>
      </c>
      <c r="E7" t="str">
        <v>U</v>
      </c>
      <c r="F7" t="str">
        <v>U</v>
      </c>
      <c r="G7" t="str">
        <v>U</v>
      </c>
      <c r="H7" t="str">
        <v>U</v>
      </c>
      <c r="I7" t="str">
        <v>U</v>
      </c>
      <c r="J7" t="str">
        <v>U</v>
      </c>
      <c r="K7" t="str">
        <v>U</v>
      </c>
      <c r="L7" t="str">
        <v>U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</row>
    <row r="8" spans="1:21" x14ac:dyDescent="0.3">
      <c r="A8">
        <v>2010992009</v>
      </c>
      <c r="B8" t="str">
        <v>U</v>
      </c>
      <c r="C8" t="str">
        <v>U</v>
      </c>
      <c r="D8" t="str">
        <v>U</v>
      </c>
      <c r="E8" t="str">
        <v>U</v>
      </c>
      <c r="F8" t="str">
        <v>U</v>
      </c>
      <c r="G8" t="str">
        <v>U</v>
      </c>
      <c r="H8" t="str">
        <v>U</v>
      </c>
      <c r="I8" t="str">
        <v>U</v>
      </c>
      <c r="J8" t="str">
        <v>U</v>
      </c>
      <c r="K8" t="str">
        <v>U</v>
      </c>
      <c r="L8" t="str">
        <v>U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</row>
    <row r="9" spans="1:21" x14ac:dyDescent="0.3">
      <c r="A9">
        <v>2010992010</v>
      </c>
      <c r="B9" t="str">
        <v>U</v>
      </c>
      <c r="C9" t="str">
        <v>U</v>
      </c>
      <c r="D9" t="str">
        <v>U</v>
      </c>
      <c r="E9" t="str">
        <v>U</v>
      </c>
      <c r="F9" t="str">
        <v>U</v>
      </c>
      <c r="G9" t="str">
        <v>U</v>
      </c>
      <c r="H9" t="str">
        <v>U</v>
      </c>
      <c r="I9" t="str">
        <v>U</v>
      </c>
      <c r="J9" t="str">
        <v>U</v>
      </c>
      <c r="K9" t="str">
        <v>U</v>
      </c>
      <c r="L9" t="str">
        <v>U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</row>
    <row r="10" spans="1:21" x14ac:dyDescent="0.3">
      <c r="A10">
        <v>2010992011</v>
      </c>
      <c r="B10" t="str">
        <v>U</v>
      </c>
      <c r="C10" t="str">
        <v>U</v>
      </c>
      <c r="D10" t="str">
        <v>U</v>
      </c>
      <c r="E10" t="str">
        <v>U</v>
      </c>
      <c r="F10" t="str">
        <v>U</v>
      </c>
      <c r="G10" t="str">
        <v>U</v>
      </c>
      <c r="H10" t="str">
        <v>U</v>
      </c>
      <c r="I10" t="str">
        <v>U</v>
      </c>
      <c r="J10" t="str">
        <v>U</v>
      </c>
      <c r="K10" t="str">
        <v>U</v>
      </c>
      <c r="L10" t="str">
        <v>U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</row>
    <row r="11" spans="1:21" x14ac:dyDescent="0.3">
      <c r="A11">
        <v>2010992012</v>
      </c>
      <c r="B11" t="str">
        <v>U</v>
      </c>
      <c r="C11" t="str">
        <v>U</v>
      </c>
      <c r="D11" t="str">
        <v>U</v>
      </c>
      <c r="E11" t="str">
        <v>U</v>
      </c>
      <c r="F11" t="str">
        <v>U</v>
      </c>
      <c r="G11" t="str">
        <v>U</v>
      </c>
      <c r="H11" t="str">
        <v>U</v>
      </c>
      <c r="I11" t="str">
        <v>U</v>
      </c>
      <c r="J11" t="str">
        <v>U</v>
      </c>
      <c r="K11" t="str">
        <v>U</v>
      </c>
      <c r="L11" t="str">
        <v>U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 t="str">
        <v>U</v>
      </c>
      <c r="S11" t="str">
        <v>U</v>
      </c>
      <c r="T11" t="str">
        <v>U</v>
      </c>
      <c r="U11" t="str">
        <v>U</v>
      </c>
    </row>
    <row r="12" spans="1:21" x14ac:dyDescent="0.3">
      <c r="A12">
        <v>2010992014</v>
      </c>
      <c r="B12" t="str">
        <v>U</v>
      </c>
      <c r="C12" t="str">
        <v>U</v>
      </c>
      <c r="D12" t="str">
        <v>U</v>
      </c>
      <c r="E12" t="str">
        <v>U</v>
      </c>
      <c r="F12" t="str">
        <v>U</v>
      </c>
      <c r="G12" t="str">
        <v>U</v>
      </c>
      <c r="H12" t="str">
        <v>U</v>
      </c>
      <c r="I12" t="str">
        <v>U</v>
      </c>
      <c r="J12" t="str">
        <v>U</v>
      </c>
      <c r="K12" t="str">
        <v>U</v>
      </c>
      <c r="L12" t="str">
        <v>U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</row>
    <row r="13" spans="1:21" x14ac:dyDescent="0.3">
      <c r="A13">
        <v>2010992015</v>
      </c>
      <c r="B13" t="str">
        <v>U</v>
      </c>
      <c r="C13" t="str">
        <v>U</v>
      </c>
      <c r="D13" t="str">
        <v>U</v>
      </c>
      <c r="E13" t="str">
        <v>U</v>
      </c>
      <c r="F13" t="str">
        <v>U</v>
      </c>
      <c r="G13" t="str">
        <v>U</v>
      </c>
      <c r="H13" t="str">
        <v>U</v>
      </c>
      <c r="I13" t="str">
        <v>U</v>
      </c>
      <c r="J13" t="str">
        <v>U</v>
      </c>
      <c r="K13" t="str">
        <v>U</v>
      </c>
      <c r="L13" t="str">
        <v>U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 t="str">
        <v>U</v>
      </c>
      <c r="S13" t="str">
        <v>U</v>
      </c>
      <c r="T13" t="str">
        <v>U</v>
      </c>
      <c r="U13" t="str">
        <v>U</v>
      </c>
    </row>
    <row r="14" spans="1:21" x14ac:dyDescent="0.3">
      <c r="A14">
        <v>2010992016</v>
      </c>
      <c r="B14" t="str">
        <v>U</v>
      </c>
      <c r="C14" t="str">
        <v>U</v>
      </c>
      <c r="D14" t="str">
        <v>U</v>
      </c>
      <c r="E14" t="str">
        <v>U</v>
      </c>
      <c r="F14" t="str">
        <v>U</v>
      </c>
      <c r="G14" t="str">
        <v>U</v>
      </c>
      <c r="H14" t="str">
        <v>U</v>
      </c>
      <c r="I14" t="str">
        <v>U</v>
      </c>
      <c r="J14" t="str">
        <v>U</v>
      </c>
      <c r="K14" t="str">
        <v>U</v>
      </c>
      <c r="L14" t="str">
        <v>U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 t="str">
        <v>U</v>
      </c>
      <c r="S14" t="str">
        <v>U</v>
      </c>
      <c r="T14" t="str">
        <v>U</v>
      </c>
      <c r="U14" t="str">
        <v>U</v>
      </c>
    </row>
    <row r="15" spans="1:21" x14ac:dyDescent="0.3">
      <c r="A15">
        <v>2010992017</v>
      </c>
      <c r="B15" t="str">
        <v>U</v>
      </c>
      <c r="C15" t="str">
        <v>U</v>
      </c>
      <c r="D15" t="str">
        <v>U</v>
      </c>
      <c r="E15" t="str">
        <v>U</v>
      </c>
      <c r="F15" t="str">
        <v>U</v>
      </c>
      <c r="G15" t="str">
        <v>U</v>
      </c>
      <c r="H15" t="str">
        <v>U</v>
      </c>
      <c r="I15" t="str">
        <v>U</v>
      </c>
      <c r="J15" t="str">
        <v>U</v>
      </c>
      <c r="K15" t="str">
        <v>U</v>
      </c>
      <c r="L15" t="str">
        <v>U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</row>
    <row r="16" spans="1:21" x14ac:dyDescent="0.3">
      <c r="A16">
        <v>2010992018</v>
      </c>
      <c r="B16" t="str">
        <v>U</v>
      </c>
      <c r="C16" t="str">
        <v>U</v>
      </c>
      <c r="D16" t="str">
        <v>U</v>
      </c>
      <c r="E16" t="str">
        <v>U</v>
      </c>
      <c r="F16" t="str">
        <v>U</v>
      </c>
      <c r="G16" t="str">
        <v>U</v>
      </c>
      <c r="H16" t="str">
        <v>U</v>
      </c>
      <c r="I16" t="str">
        <v>U</v>
      </c>
      <c r="J16" t="str">
        <v>U</v>
      </c>
      <c r="K16" t="str">
        <v>U</v>
      </c>
      <c r="L16" t="str">
        <v>U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 t="str">
        <v>U</v>
      </c>
      <c r="S16" t="str">
        <v>U</v>
      </c>
      <c r="T16" t="str">
        <v>U</v>
      </c>
      <c r="U16" t="str">
        <v>U</v>
      </c>
    </row>
    <row r="17" spans="1:21" x14ac:dyDescent="0.3">
      <c r="A17">
        <v>2010992019</v>
      </c>
      <c r="B17" t="str">
        <v>U</v>
      </c>
      <c r="C17" t="str">
        <v>U</v>
      </c>
      <c r="D17" t="str">
        <v>U</v>
      </c>
      <c r="E17" t="str">
        <v>U</v>
      </c>
      <c r="F17" t="str">
        <v>U</v>
      </c>
      <c r="G17" t="str">
        <v>U</v>
      </c>
      <c r="H17" t="str">
        <v>U</v>
      </c>
      <c r="I17" t="str">
        <v>U</v>
      </c>
      <c r="J17" t="str">
        <v>U</v>
      </c>
      <c r="K17" t="str">
        <v>U</v>
      </c>
      <c r="L17" t="str">
        <v>U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</row>
    <row r="18" spans="1:21" x14ac:dyDescent="0.3">
      <c r="A18">
        <v>2010992163</v>
      </c>
      <c r="B18" t="str">
        <v>U</v>
      </c>
      <c r="C18" t="str">
        <v>U</v>
      </c>
      <c r="D18" t="str">
        <v>U</v>
      </c>
      <c r="E18" t="str">
        <v>U</v>
      </c>
      <c r="F18" t="str">
        <v>U</v>
      </c>
      <c r="G18" t="str">
        <v>U</v>
      </c>
      <c r="H18" t="str">
        <v>U</v>
      </c>
      <c r="I18" t="str">
        <v>U</v>
      </c>
      <c r="J18" t="str">
        <v>U</v>
      </c>
      <c r="K18" t="str">
        <v>U</v>
      </c>
      <c r="L18" t="str">
        <v>U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 t="str">
        <v>U</v>
      </c>
      <c r="S18" t="str">
        <v>U</v>
      </c>
      <c r="T18" t="str">
        <v>U</v>
      </c>
      <c r="U18" t="str">
        <v>U</v>
      </c>
    </row>
    <row r="19" spans="1:21" x14ac:dyDescent="0.3">
      <c r="A19">
        <v>2010992202</v>
      </c>
      <c r="B19" t="str">
        <v>U</v>
      </c>
      <c r="C19" t="str">
        <v>U</v>
      </c>
      <c r="D19" t="str">
        <v>U</v>
      </c>
      <c r="E19" t="str">
        <v>U</v>
      </c>
      <c r="F19" t="str">
        <v>U</v>
      </c>
      <c r="G19" t="str">
        <v>U</v>
      </c>
      <c r="H19" t="str">
        <v>U</v>
      </c>
      <c r="I19" t="str">
        <v>U</v>
      </c>
      <c r="J19" t="str">
        <v>U</v>
      </c>
      <c r="K19" t="str">
        <v>U</v>
      </c>
      <c r="L19" t="str">
        <v>U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 t="str">
        <v>U</v>
      </c>
      <c r="S19" t="str">
        <v>U</v>
      </c>
      <c r="T19" t="str">
        <v>U</v>
      </c>
      <c r="U19" t="str">
        <v>U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6441-BC79-448A-AEF4-363C66854197}">
  <dimension ref="A1:U19"/>
  <sheetViews>
    <sheetView topLeftCell="C1" workbookViewId="0">
      <selection activeCell="E19" sqref="E19"/>
    </sheetView>
  </sheetViews>
  <sheetFormatPr defaultRowHeight="14.4" x14ac:dyDescent="0.3"/>
  <cols>
    <col min="1" max="1" width="21" bestFit="1" customWidth="1"/>
    <col min="2" max="2" width="11.6640625" bestFit="1" customWidth="1"/>
  </cols>
  <sheetData>
    <row r="1" spans="1:21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U1">TRANSPOSE('ST3 Questions'!A2:A21)</f>
        <v>1a</v>
      </c>
      <c r="C1" t="str">
        <v>1b</v>
      </c>
      <c r="D1" t="str">
        <v>1c</v>
      </c>
      <c r="E1" t="str">
        <v>1d</v>
      </c>
      <c r="F1" t="str">
        <v>1e</v>
      </c>
      <c r="G1" t="str">
        <v>Q2</v>
      </c>
      <c r="H1" t="str">
        <v>Q3</v>
      </c>
      <c r="I1" t="str">
        <v>Q4</v>
      </c>
      <c r="J1" t="str">
        <v>Q5</v>
      </c>
      <c r="K1" t="str">
        <v>Q6</v>
      </c>
      <c r="L1" t="str">
        <v>Q7</v>
      </c>
      <c r="M1" t="str">
        <v>Q8</v>
      </c>
      <c r="N1" t="str">
        <v>Q9</v>
      </c>
      <c r="O1" t="str">
        <v>Q10</v>
      </c>
      <c r="P1" t="str">
        <v>Q11</v>
      </c>
      <c r="Q1" t="str">
        <v>Q12</v>
      </c>
      <c r="R1" t="str">
        <v>Q13</v>
      </c>
      <c r="S1" t="str">
        <v>Q14</v>
      </c>
      <c r="T1" t="str">
        <v>Q15</v>
      </c>
      <c r="U1" t="str">
        <v>Q16</v>
      </c>
    </row>
    <row r="2" spans="1:21" x14ac:dyDescent="0.3">
      <c r="A2">
        <v>2010990089</v>
      </c>
      <c r="B2" t="str" cm="1">
        <f t="array" ref="B2:B19">IF(_xlfn.XLOOKUP($A2:INDEX($A:$A,COUNTA($A:$A)),'ST3 Student Marks'!$A$1:INDEX('ST3 Student Marks'!$A:$A,COUNTA('ST3 Student Marks'!$A:$A)),'ST3 Student Marks'!B$1:INDEX('ST3 Student Marks'!B:B,COUNTA('ST3 Student Marks'!B:B)))="U","Unattempted",'ST3 Student Marks'!B1)</f>
        <v>Unattempted</v>
      </c>
      <c r="C2" t="str" cm="1">
        <f t="array" ref="C2:C19">IF(_xlfn.XLOOKUP($A2:INDEX($A:$A,COUNTA($A:$A)),'ST3 Student Marks'!$A$1:INDEX('ST3 Student Marks'!$A:$A,COUNTA('ST3 Student Marks'!$A:$A)),'ST3 Student Marks'!C$1:INDEX('ST3 Student Marks'!C:C,COUNTA('ST3 Student Marks'!C:C)))="U","Unattempted",'ST3 Student Marks'!C1)</f>
        <v>Unattempted</v>
      </c>
      <c r="D2" t="str" cm="1">
        <f t="array" ref="D2:D19">IF(_xlfn.XLOOKUP($A2:INDEX($A:$A,COUNTA($A:$A)),'ST3 Student Marks'!$A$1:INDEX('ST3 Student Marks'!$A:$A,COUNTA('ST3 Student Marks'!$A:$A)),'ST3 Student Marks'!D$1:INDEX('ST3 Student Marks'!D:D,COUNTA('ST3 Student Marks'!D:D)))="U","Unattempted",'ST3 Student Marks'!D1)</f>
        <v>Unattempted</v>
      </c>
      <c r="E2" t="str" cm="1">
        <f t="array" ref="E2:E19">IF(_xlfn.XLOOKUP($A2:INDEX($A:$A,COUNTA($A:$A)),'ST3 Student Marks'!$A$1:INDEX('ST3 Student Marks'!$A:$A,COUNTA('ST3 Student Marks'!$A:$A)),'ST3 Student Marks'!E$1:INDEX('ST3 Student Marks'!E:E,COUNTA('ST3 Student Marks'!E:E)))="U","Unattempted",'ST3 Student Marks'!E1)</f>
        <v>Unattempted</v>
      </c>
      <c r="F2" t="str" cm="1">
        <f t="array" ref="F2:F19">IF(_xlfn.XLOOKUP($A2:INDEX($A:$A,COUNTA($A:$A)),'ST3 Student Marks'!$A$1:INDEX('ST3 Student Marks'!$A:$A,COUNTA('ST3 Student Marks'!$A:$A)),'ST3 Student Marks'!F$1:INDEX('ST3 Student Marks'!F:F,COUNTA('ST3 Student Marks'!F:F)))="U","Unattempted",'ST3 Student Marks'!F1)</f>
        <v>Unattempted</v>
      </c>
      <c r="G2" t="str" cm="1">
        <f t="array" ref="G2:G19">IF(_xlfn.XLOOKUP($A2:INDEX($A:$A,COUNTA($A:$A)),'ST3 Student Marks'!$A$1:INDEX('ST3 Student Marks'!$A:$A,COUNTA('ST3 Student Marks'!$A:$A)),'ST3 Student Marks'!G$1:INDEX('ST3 Student Marks'!G:G,COUNTA('ST3 Student Marks'!G:G)))="U","Unattempted",'ST3 Student Marks'!G1)</f>
        <v>Unattempted</v>
      </c>
      <c r="H2" t="str" cm="1">
        <f t="array" ref="H2:H19">IF(_xlfn.XLOOKUP($A2:INDEX($A:$A,COUNTA($A:$A)),'ST3 Student Marks'!$A$1:INDEX('ST3 Student Marks'!$A:$A,COUNTA('ST3 Student Marks'!$A:$A)),'ST3 Student Marks'!H$1:INDEX('ST3 Student Marks'!H:H,COUNTA('ST3 Student Marks'!H:H)))="U","Unattempted",'ST3 Student Marks'!H1)</f>
        <v>Unattempted</v>
      </c>
      <c r="I2" t="str" cm="1">
        <f t="array" ref="I2:I19">IF(_xlfn.XLOOKUP($A2:INDEX($A:$A,COUNTA($A:$A)),'ST3 Student Marks'!$A$1:INDEX('ST3 Student Marks'!$A:$A,COUNTA('ST3 Student Marks'!$A:$A)),'ST3 Student Marks'!I$1:INDEX('ST3 Student Marks'!I:I,COUNTA('ST3 Student Marks'!I:I)))="U","Unattempted",'ST3 Student Marks'!I1)</f>
        <v>Unattempted</v>
      </c>
      <c r="J2" t="str" cm="1">
        <f t="array" ref="J2:J19">IF(_xlfn.XLOOKUP($A2:INDEX($A:$A,COUNTA($A:$A)),'ST3 Student Marks'!$A$1:INDEX('ST3 Student Marks'!$A:$A,COUNTA('ST3 Student Marks'!$A:$A)),'ST3 Student Marks'!J$1:INDEX('ST3 Student Marks'!J:J,COUNTA('ST3 Student Marks'!J:J)))="U","Unattempted",'ST3 Student Marks'!J1)</f>
        <v>Unattempted</v>
      </c>
      <c r="K2" t="str" cm="1">
        <f t="array" ref="K2:K19">IF(_xlfn.XLOOKUP($A2:INDEX($A:$A,COUNTA($A:$A)),'ST3 Student Marks'!$A$1:INDEX('ST3 Student Marks'!$A:$A,COUNTA('ST3 Student Marks'!$A:$A)),'ST3 Student Marks'!K$1:INDEX('ST3 Student Marks'!K:K,COUNTA('ST3 Student Marks'!K:K)))="U","Unattempted",'ST3 Student Marks'!K1)</f>
        <v>Unattempted</v>
      </c>
      <c r="L2" t="str" cm="1">
        <f t="array" ref="L2:L19">IF(_xlfn.XLOOKUP($A2:INDEX($A:$A,COUNTA($A:$A)),'ST3 Student Marks'!$A$1:INDEX('ST3 Student Marks'!$A:$A,COUNTA('ST3 Student Marks'!$A:$A)),'ST3 Student Marks'!L$1:INDEX('ST3 Student Marks'!L:L,COUNTA('ST3 Student Marks'!L:L)))="U","Unattempted",'ST3 Student Marks'!L1)</f>
        <v>Unattempted</v>
      </c>
      <c r="M2" t="str" cm="1">
        <f t="array" ref="M2:M19">IF(_xlfn.XLOOKUP($A2:INDEX($A:$A,COUNTA($A:$A)),'ST3 Student Marks'!$A$1:INDEX('ST3 Student Marks'!$A:$A,COUNTA('ST3 Student Marks'!$A:$A)),'ST3 Student Marks'!M$1:INDEX('ST3 Student Marks'!M:M,COUNTA('ST3 Student Marks'!M:M)))="U","Unattempted",'ST3 Student Marks'!M1)</f>
        <v>Unattempted</v>
      </c>
      <c r="N2" t="str" cm="1">
        <f t="array" ref="N2:N19">IF(_xlfn.XLOOKUP($A2:INDEX($A:$A,COUNTA($A:$A)),'ST3 Student Marks'!$A$1:INDEX('ST3 Student Marks'!$A:$A,COUNTA('ST3 Student Marks'!$A:$A)),'ST3 Student Marks'!N$1:INDEX('ST3 Student Marks'!N:N,COUNTA('ST3 Student Marks'!N:N)))="U","Unattempted",'ST3 Student Marks'!N1)</f>
        <v>Unattempted</v>
      </c>
      <c r="O2" t="str" cm="1">
        <f t="array" ref="O2:O19">IF(_xlfn.XLOOKUP($A2:INDEX($A:$A,COUNTA($A:$A)),'ST3 Student Marks'!$A$1:INDEX('ST3 Student Marks'!$A:$A,COUNTA('ST3 Student Marks'!$A:$A)),'ST3 Student Marks'!O$1:INDEX('ST3 Student Marks'!O:O,COUNTA('ST3 Student Marks'!O:O)))="U","Unattempted",'ST3 Student Marks'!O1)</f>
        <v>Unattempted</v>
      </c>
      <c r="P2" t="str" cm="1">
        <f t="array" ref="P2:P19">IF(_xlfn.XLOOKUP($A2:INDEX($A:$A,COUNTA($A:$A)),'ST3 Student Marks'!$A$1:INDEX('ST3 Student Marks'!$A:$A,COUNTA('ST3 Student Marks'!$A:$A)),'ST3 Student Marks'!P$1:INDEX('ST3 Student Marks'!P:P,COUNTA('ST3 Student Marks'!P:P)))="U","Unattempted",'ST3 Student Marks'!P1)</f>
        <v>Unattempted</v>
      </c>
      <c r="Q2" t="str" cm="1">
        <f t="array" ref="Q2:Q19">IF(_xlfn.XLOOKUP($A2:INDEX($A:$A,COUNTA($A:$A)),'ST3 Student Marks'!$A$1:INDEX('ST3 Student Marks'!$A:$A,COUNTA('ST3 Student Marks'!$A:$A)),'ST3 Student Marks'!Q$1:INDEX('ST3 Student Marks'!Q:Q,COUNTA('ST3 Student Marks'!Q:Q)))="U","Unattempted",'ST3 Student Marks'!Q1)</f>
        <v>Unattempted</v>
      </c>
      <c r="R2" t="str" cm="1">
        <f t="array" ref="R2:R19">IF(_xlfn.XLOOKUP($A2:INDEX($A:$A,COUNTA($A:$A)),'ST3 Student Marks'!$A$1:INDEX('ST3 Student Marks'!$A:$A,COUNTA('ST3 Student Marks'!$A:$A)),'ST3 Student Marks'!R$1:INDEX('ST3 Student Marks'!R:R,COUNTA('ST3 Student Marks'!R:R)))="U","Unattempted",'ST3 Student Marks'!R1)</f>
        <v>Unattempted</v>
      </c>
      <c r="S2" t="str" cm="1">
        <f t="array" ref="S2:S19">IF(_xlfn.XLOOKUP($A2:INDEX($A:$A,COUNTA($A:$A)),'ST3 Student Marks'!$A$1:INDEX('ST3 Student Marks'!$A:$A,COUNTA('ST3 Student Marks'!$A:$A)),'ST3 Student Marks'!S$1:INDEX('ST3 Student Marks'!S:S,COUNTA('ST3 Student Marks'!S:S)))="U","Unattempted",'ST3 Student Marks'!S1)</f>
        <v>Unattempted</v>
      </c>
      <c r="T2" t="str" cm="1">
        <f t="array" ref="T2:T19">IF(_xlfn.XLOOKUP($A2:INDEX($A:$A,COUNTA($A:$A)),'ST3 Student Marks'!$A$1:INDEX('ST3 Student Marks'!$A:$A,COUNTA('ST3 Student Marks'!$A:$A)),'ST3 Student Marks'!T$1:INDEX('ST3 Student Marks'!T:T,COUNTA('ST3 Student Marks'!T:T)))="U","Unattempted",'ST3 Student Marks'!T1)</f>
        <v>Unattempted</v>
      </c>
      <c r="U2" t="str" cm="1">
        <f t="array" ref="U2:U19">IF(_xlfn.XLOOKUP($A2:INDEX($A:$A,COUNTA($A:$A)),'ST3 Student Marks'!$A$1:INDEX('ST3 Student Marks'!$A:$A,COUNTA('ST3 Student Marks'!$A:$A)),'ST3 Student Marks'!U$1:INDEX('ST3 Student Marks'!U:U,COUNTA('ST3 Student Marks'!U:U)))="U","Unattempted",'ST3 Student Marks'!U1)</f>
        <v>Unattempted</v>
      </c>
    </row>
    <row r="3" spans="1:21" ht="18" customHeight="1" x14ac:dyDescent="0.3">
      <c r="A3">
        <v>2010992002</v>
      </c>
      <c r="B3" t="str">
        <v>Unattempted</v>
      </c>
      <c r="C3" t="str">
        <v>Unattempted</v>
      </c>
      <c r="D3" t="str">
        <v>Unattempted</v>
      </c>
      <c r="E3" t="str">
        <v>Unattempted</v>
      </c>
      <c r="F3" t="str">
        <v>Unattempted</v>
      </c>
      <c r="G3" t="str">
        <v>Unattempted</v>
      </c>
      <c r="H3" t="str">
        <v>Unattempted</v>
      </c>
      <c r="I3" t="str">
        <v>Unattempted</v>
      </c>
      <c r="J3" t="str">
        <v>Unattempted</v>
      </c>
      <c r="K3" t="str">
        <v>Unattempted</v>
      </c>
      <c r="L3" t="str">
        <v>Unattempted</v>
      </c>
      <c r="M3" t="str">
        <v>Unattempted</v>
      </c>
      <c r="N3" t="str">
        <v>Unattempted</v>
      </c>
      <c r="O3" t="str">
        <v>Unattempted</v>
      </c>
      <c r="P3" t="str">
        <v>Unattempted</v>
      </c>
      <c r="Q3" t="str">
        <v>Unattempted</v>
      </c>
      <c r="R3" t="str">
        <v>Unattempted</v>
      </c>
      <c r="S3" s="1" t="str">
        <v>Unattempted</v>
      </c>
      <c r="T3" t="str">
        <v>Unattempted</v>
      </c>
      <c r="U3" t="str">
        <v>Unattempted</v>
      </c>
    </row>
    <row r="4" spans="1:21" x14ac:dyDescent="0.3">
      <c r="A4">
        <v>2010992004</v>
      </c>
      <c r="B4" t="str">
        <v>Unattempted</v>
      </c>
      <c r="C4" t="str">
        <v>Unattempted</v>
      </c>
      <c r="D4" t="str">
        <v>Unattempted</v>
      </c>
      <c r="E4" t="str">
        <v>Unattempted</v>
      </c>
      <c r="F4" t="str">
        <v>Unattempted</v>
      </c>
      <c r="G4" t="str">
        <v>Unattempted</v>
      </c>
      <c r="H4" t="str">
        <v>Unattempted</v>
      </c>
      <c r="I4" t="str">
        <v>Unattempted</v>
      </c>
      <c r="J4" t="str">
        <v>Unattempted</v>
      </c>
      <c r="K4" t="str">
        <v>Unattempted</v>
      </c>
      <c r="L4" t="str">
        <v>Unattempted</v>
      </c>
      <c r="M4" t="str">
        <v>Unattempted</v>
      </c>
      <c r="N4" t="str">
        <v>Unattempted</v>
      </c>
      <c r="O4" t="str">
        <v>Unattempted</v>
      </c>
      <c r="P4" t="str">
        <v>Unattempted</v>
      </c>
      <c r="Q4" t="str">
        <v>Unattempted</v>
      </c>
      <c r="R4" t="str">
        <v>Unattempted</v>
      </c>
      <c r="S4" t="str">
        <v>Unattempted</v>
      </c>
      <c r="T4" t="str">
        <v>Unattempted</v>
      </c>
      <c r="U4" t="str">
        <v>Unattempted</v>
      </c>
    </row>
    <row r="5" spans="1:21" x14ac:dyDescent="0.3">
      <c r="A5">
        <v>2010992005</v>
      </c>
      <c r="B5" t="str">
        <v>Unattempted</v>
      </c>
      <c r="C5" t="str">
        <v>Unattempted</v>
      </c>
      <c r="D5" t="str">
        <v>Unattempted</v>
      </c>
      <c r="E5" t="str">
        <v>Unattempted</v>
      </c>
      <c r="F5" t="str">
        <v>Unattempted</v>
      </c>
      <c r="G5" t="str">
        <v>Unattempted</v>
      </c>
      <c r="H5" t="str">
        <v>Unattempted</v>
      </c>
      <c r="I5" t="str">
        <v>Unattempted</v>
      </c>
      <c r="J5" t="str">
        <v>Unattempted</v>
      </c>
      <c r="K5" t="str">
        <v>Unattempted</v>
      </c>
      <c r="L5" t="str">
        <v>Unattempted</v>
      </c>
      <c r="M5" t="str">
        <v>Unattempted</v>
      </c>
      <c r="N5" t="str">
        <v>Unattempted</v>
      </c>
      <c r="O5" t="str">
        <v>Unattempted</v>
      </c>
      <c r="P5" t="str">
        <v>Unattempted</v>
      </c>
      <c r="Q5" t="str">
        <v>Unattempted</v>
      </c>
      <c r="R5" t="str">
        <v>Unattempted</v>
      </c>
      <c r="S5" t="str">
        <v>Unattempted</v>
      </c>
      <c r="T5" t="str">
        <v>Unattempted</v>
      </c>
      <c r="U5" t="str">
        <v>Unattempted</v>
      </c>
    </row>
    <row r="6" spans="1:21" x14ac:dyDescent="0.3">
      <c r="A6">
        <v>2010992006</v>
      </c>
      <c r="B6" t="str">
        <v>Unattempted</v>
      </c>
      <c r="C6" t="str">
        <v>Unattempted</v>
      </c>
      <c r="D6" t="str">
        <v>Unattempted</v>
      </c>
      <c r="E6" t="str">
        <v>Unattempted</v>
      </c>
      <c r="F6" t="str">
        <v>Unattempted</v>
      </c>
      <c r="G6" t="str">
        <v>Unattempted</v>
      </c>
      <c r="H6" t="str">
        <v>Unattempted</v>
      </c>
      <c r="I6" t="str">
        <v>Unattempted</v>
      </c>
      <c r="J6" t="str">
        <v>Unattempted</v>
      </c>
      <c r="K6" t="str">
        <v>Unattempted</v>
      </c>
      <c r="L6" t="str">
        <v>Unattempted</v>
      </c>
      <c r="M6" t="str">
        <v>Unattempted</v>
      </c>
      <c r="N6" t="str">
        <v>Unattempted</v>
      </c>
      <c r="O6" t="str">
        <v>Unattempted</v>
      </c>
      <c r="P6" t="str">
        <v>Unattempted</v>
      </c>
      <c r="Q6" t="str">
        <v>Unattempted</v>
      </c>
      <c r="R6" t="str">
        <v>Unattempted</v>
      </c>
      <c r="S6" t="str">
        <v>Unattempted</v>
      </c>
      <c r="T6" t="str">
        <v>Unattempted</v>
      </c>
      <c r="U6" t="str">
        <v>Unattempted</v>
      </c>
    </row>
    <row r="7" spans="1:21" x14ac:dyDescent="0.3">
      <c r="A7">
        <v>2010992008</v>
      </c>
      <c r="B7" t="str">
        <v>Unattempted</v>
      </c>
      <c r="C7" t="str">
        <v>Unattempted</v>
      </c>
      <c r="D7" t="str">
        <v>Unattempted</v>
      </c>
      <c r="E7" t="str">
        <v>Unattempted</v>
      </c>
      <c r="F7" t="str">
        <v>Unattempted</v>
      </c>
      <c r="G7" t="str">
        <v>Unattempted</v>
      </c>
      <c r="H7" t="str">
        <v>Unattempted</v>
      </c>
      <c r="I7" t="str">
        <v>Unattempted</v>
      </c>
      <c r="J7" t="str">
        <v>Unattempted</v>
      </c>
      <c r="K7" t="str">
        <v>Unattempted</v>
      </c>
      <c r="L7" t="str">
        <v>Unattempted</v>
      </c>
      <c r="M7" t="str">
        <v>Unattempted</v>
      </c>
      <c r="N7" t="str">
        <v>Unattempted</v>
      </c>
      <c r="O7" t="str">
        <v>Unattempted</v>
      </c>
      <c r="P7" t="str">
        <v>Unattempted</v>
      </c>
      <c r="Q7" t="str">
        <v>Unattempted</v>
      </c>
      <c r="R7" t="str">
        <v>Unattempted</v>
      </c>
      <c r="S7" t="str">
        <v>Unattempted</v>
      </c>
      <c r="T7" t="str">
        <v>Unattempted</v>
      </c>
      <c r="U7" t="str">
        <v>Unattempted</v>
      </c>
    </row>
    <row r="8" spans="1:21" x14ac:dyDescent="0.3">
      <c r="A8">
        <v>2010992009</v>
      </c>
      <c r="B8" t="str">
        <v>Unattempted</v>
      </c>
      <c r="C8" t="str">
        <v>Unattempted</v>
      </c>
      <c r="D8" t="str">
        <v>Unattempted</v>
      </c>
      <c r="E8" t="str">
        <v>Unattempted</v>
      </c>
      <c r="F8" t="str">
        <v>Unattempted</v>
      </c>
      <c r="G8" t="str">
        <v>Unattempted</v>
      </c>
      <c r="H8" t="str">
        <v>Unattempted</v>
      </c>
      <c r="I8" t="str">
        <v>Unattempted</v>
      </c>
      <c r="J8" t="str">
        <v>Unattempted</v>
      </c>
      <c r="K8" t="str">
        <v>Unattempted</v>
      </c>
      <c r="L8" t="str">
        <v>Unattempted</v>
      </c>
      <c r="M8" t="str">
        <v>Unattempted</v>
      </c>
      <c r="N8" t="str">
        <v>Unattempted</v>
      </c>
      <c r="O8" t="str">
        <v>Unattempted</v>
      </c>
      <c r="P8" t="str">
        <v>Unattempted</v>
      </c>
      <c r="Q8" t="str">
        <v>Unattempted</v>
      </c>
      <c r="R8" t="str">
        <v>Unattempted</v>
      </c>
      <c r="S8" t="str">
        <v>Unattempted</v>
      </c>
      <c r="T8" t="str">
        <v>Unattempted</v>
      </c>
      <c r="U8" t="str">
        <v>Unattempted</v>
      </c>
    </row>
    <row r="9" spans="1:21" x14ac:dyDescent="0.3">
      <c r="A9">
        <v>2010992010</v>
      </c>
      <c r="B9" t="str">
        <v>Unattempted</v>
      </c>
      <c r="C9" t="str">
        <v>Unattempted</v>
      </c>
      <c r="D9" t="str">
        <v>Unattempted</v>
      </c>
      <c r="E9" t="str">
        <v>Unattempted</v>
      </c>
      <c r="F9" t="str">
        <v>Unattempted</v>
      </c>
      <c r="G9" t="str">
        <v>Unattempted</v>
      </c>
      <c r="H9" t="str">
        <v>Unattempted</v>
      </c>
      <c r="I9" t="str">
        <v>Unattempted</v>
      </c>
      <c r="J9" t="str">
        <v>Unattempted</v>
      </c>
      <c r="K9" t="str">
        <v>Unattempted</v>
      </c>
      <c r="L9" t="str">
        <v>Unattempted</v>
      </c>
      <c r="M9" t="str">
        <v>Unattempted</v>
      </c>
      <c r="N9" t="str">
        <v>Unattempted</v>
      </c>
      <c r="O9" t="str">
        <v>Unattempted</v>
      </c>
      <c r="P9" t="str">
        <v>Unattempted</v>
      </c>
      <c r="Q9" t="str">
        <v>Unattempted</v>
      </c>
      <c r="R9" t="str">
        <v>Unattempted</v>
      </c>
      <c r="S9" t="str">
        <v>Unattempted</v>
      </c>
      <c r="T9" t="str">
        <v>Unattempted</v>
      </c>
      <c r="U9" t="str">
        <v>Unattempted</v>
      </c>
    </row>
    <row r="10" spans="1:21" x14ac:dyDescent="0.3">
      <c r="A10">
        <v>2010992011</v>
      </c>
      <c r="B10" t="str">
        <v>Unattempted</v>
      </c>
      <c r="C10" t="str">
        <v>Unattempted</v>
      </c>
      <c r="D10" t="str">
        <v>Unattempted</v>
      </c>
      <c r="E10" t="str">
        <v>Unattempted</v>
      </c>
      <c r="F10" t="str">
        <v>Unattempted</v>
      </c>
      <c r="G10" t="str">
        <v>Unattempted</v>
      </c>
      <c r="H10" t="str">
        <v>Unattempted</v>
      </c>
      <c r="I10" t="str">
        <v>Unattempted</v>
      </c>
      <c r="J10" t="str">
        <v>Unattempted</v>
      </c>
      <c r="K10" t="str">
        <v>Unattempted</v>
      </c>
      <c r="L10" t="str">
        <v>Unattempted</v>
      </c>
      <c r="M10" t="str">
        <v>Unattempted</v>
      </c>
      <c r="N10" t="str">
        <v>Unattempted</v>
      </c>
      <c r="O10" t="str">
        <v>Unattempted</v>
      </c>
      <c r="P10" t="str">
        <v>Unattempted</v>
      </c>
      <c r="Q10" t="str">
        <v>Unattempted</v>
      </c>
      <c r="R10" t="str">
        <v>Unattempted</v>
      </c>
      <c r="S10" t="str">
        <v>Unattempted</v>
      </c>
      <c r="T10" t="str">
        <v>Unattempted</v>
      </c>
      <c r="U10" t="str">
        <v>Unattempted</v>
      </c>
    </row>
    <row r="11" spans="1:21" x14ac:dyDescent="0.3">
      <c r="A11">
        <v>2010992012</v>
      </c>
      <c r="B11" t="str">
        <v>Unattempted</v>
      </c>
      <c r="C11" t="str">
        <v>Unattempted</v>
      </c>
      <c r="D11" t="str">
        <v>Unattempted</v>
      </c>
      <c r="E11" t="str">
        <v>Unattempted</v>
      </c>
      <c r="F11" t="str">
        <v>Unattempted</v>
      </c>
      <c r="G11" t="str">
        <v>Unattempted</v>
      </c>
      <c r="H11" t="str">
        <v>Unattempted</v>
      </c>
      <c r="I11" t="str">
        <v>Unattempted</v>
      </c>
      <c r="J11" t="str">
        <v>Unattempted</v>
      </c>
      <c r="K11" t="str">
        <v>Unattempted</v>
      </c>
      <c r="L11" t="str">
        <v>Unattempted</v>
      </c>
      <c r="M11" t="str">
        <v>Unattempted</v>
      </c>
      <c r="N11" t="str">
        <v>Unattempted</v>
      </c>
      <c r="O11" t="str">
        <v>Unattempted</v>
      </c>
      <c r="P11" t="str">
        <v>Unattempted</v>
      </c>
      <c r="Q11" t="str">
        <v>Unattempted</v>
      </c>
      <c r="R11" t="str">
        <v>Unattempted</v>
      </c>
      <c r="S11" t="str">
        <v>Unattempted</v>
      </c>
      <c r="T11" t="str">
        <v>Unattempted</v>
      </c>
      <c r="U11" t="str">
        <v>Unattempted</v>
      </c>
    </row>
    <row r="12" spans="1:21" x14ac:dyDescent="0.3">
      <c r="A12">
        <v>2010992014</v>
      </c>
      <c r="B12" t="str">
        <v>Unattempted</v>
      </c>
      <c r="C12" t="str">
        <v>Unattempted</v>
      </c>
      <c r="D12" t="str">
        <v>Unattempted</v>
      </c>
      <c r="E12" t="str">
        <v>Unattempted</v>
      </c>
      <c r="F12" t="str">
        <v>Unattempted</v>
      </c>
      <c r="G12" t="str">
        <v>Unattempted</v>
      </c>
      <c r="H12" t="str">
        <v>Unattempted</v>
      </c>
      <c r="I12" t="str">
        <v>Unattempted</v>
      </c>
      <c r="J12" t="str">
        <v>Unattempted</v>
      </c>
      <c r="K12" t="str">
        <v>Unattempted</v>
      </c>
      <c r="L12" t="str">
        <v>Unattempted</v>
      </c>
      <c r="M12" t="str">
        <v>Unattempted</v>
      </c>
      <c r="N12" t="str">
        <v>Unattempted</v>
      </c>
      <c r="O12" t="str">
        <v>Unattempted</v>
      </c>
      <c r="P12" t="str">
        <v>Unattempted</v>
      </c>
      <c r="Q12" t="str">
        <v>Unattempted</v>
      </c>
      <c r="R12" t="str">
        <v>Unattempted</v>
      </c>
      <c r="S12" t="str">
        <v>Unattempted</v>
      </c>
      <c r="T12" t="str">
        <v>Unattempted</v>
      </c>
      <c r="U12" t="str">
        <v>Unattempted</v>
      </c>
    </row>
    <row r="13" spans="1:21" x14ac:dyDescent="0.3">
      <c r="A13">
        <v>2010992015</v>
      </c>
      <c r="B13" t="str">
        <v>Unattempted</v>
      </c>
      <c r="C13" t="str">
        <v>Unattempted</v>
      </c>
      <c r="D13" t="str">
        <v>Unattempted</v>
      </c>
      <c r="E13" t="str">
        <v>Unattempted</v>
      </c>
      <c r="F13" t="str">
        <v>Unattempted</v>
      </c>
      <c r="G13" t="str">
        <v>Unattempted</v>
      </c>
      <c r="H13" t="str">
        <v>Unattempted</v>
      </c>
      <c r="I13" t="str">
        <v>Unattempted</v>
      </c>
      <c r="J13" t="str">
        <v>Unattempted</v>
      </c>
      <c r="K13" t="str">
        <v>Unattempted</v>
      </c>
      <c r="L13" t="str">
        <v>Unattempted</v>
      </c>
      <c r="M13" t="str">
        <v>Unattempted</v>
      </c>
      <c r="N13" t="str">
        <v>Unattempted</v>
      </c>
      <c r="O13" t="str">
        <v>Unattempted</v>
      </c>
      <c r="P13" t="str">
        <v>Unattempted</v>
      </c>
      <c r="Q13" t="str">
        <v>Unattempted</v>
      </c>
      <c r="R13" t="str">
        <v>Unattempted</v>
      </c>
      <c r="S13" t="str">
        <v>Unattempted</v>
      </c>
      <c r="T13" t="str">
        <v>Unattempted</v>
      </c>
      <c r="U13" t="str">
        <v>Unattempted</v>
      </c>
    </row>
    <row r="14" spans="1:21" x14ac:dyDescent="0.3">
      <c r="A14">
        <v>2010992016</v>
      </c>
      <c r="B14" t="str">
        <v>Unattempted</v>
      </c>
      <c r="C14" t="str">
        <v>Unattempted</v>
      </c>
      <c r="D14" t="str">
        <v>Unattempted</v>
      </c>
      <c r="E14" t="str">
        <v>Unattempted</v>
      </c>
      <c r="F14" t="str">
        <v>Unattempted</v>
      </c>
      <c r="G14" t="str">
        <v>Unattempted</v>
      </c>
      <c r="H14" t="str">
        <v>Unattempted</v>
      </c>
      <c r="I14" t="str">
        <v>Unattempted</v>
      </c>
      <c r="J14" t="str">
        <v>Unattempted</v>
      </c>
      <c r="K14" t="str">
        <v>Unattempted</v>
      </c>
      <c r="L14" t="str">
        <v>Unattempted</v>
      </c>
      <c r="M14" t="str">
        <v>Unattempted</v>
      </c>
      <c r="N14" t="str">
        <v>Unattempted</v>
      </c>
      <c r="O14" t="str">
        <v>Unattempted</v>
      </c>
      <c r="P14" t="str">
        <v>Unattempted</v>
      </c>
      <c r="Q14" t="str">
        <v>Unattempted</v>
      </c>
      <c r="R14" t="str">
        <v>Unattempted</v>
      </c>
      <c r="S14" t="str">
        <v>Unattempted</v>
      </c>
      <c r="T14" t="str">
        <v>Unattempted</v>
      </c>
      <c r="U14" t="str">
        <v>Unattempted</v>
      </c>
    </row>
    <row r="15" spans="1:21" x14ac:dyDescent="0.3">
      <c r="A15">
        <v>2010992017</v>
      </c>
      <c r="B15" t="str">
        <v>Unattempted</v>
      </c>
      <c r="C15" t="str">
        <v>Unattempted</v>
      </c>
      <c r="D15" t="str">
        <v>Unattempted</v>
      </c>
      <c r="E15" t="str">
        <v>Unattempted</v>
      </c>
      <c r="F15" t="str">
        <v>Unattempted</v>
      </c>
      <c r="G15" t="str">
        <v>Unattempted</v>
      </c>
      <c r="H15" t="str">
        <v>Unattempted</v>
      </c>
      <c r="I15" t="str">
        <v>Unattempted</v>
      </c>
      <c r="J15" t="str">
        <v>Unattempted</v>
      </c>
      <c r="K15" t="str">
        <v>Unattempted</v>
      </c>
      <c r="L15" t="str">
        <v>Unattempted</v>
      </c>
      <c r="M15" t="str">
        <v>Unattempted</v>
      </c>
      <c r="N15" t="str">
        <v>Unattempted</v>
      </c>
      <c r="O15" t="str">
        <v>Unattempted</v>
      </c>
      <c r="P15" t="str">
        <v>Unattempted</v>
      </c>
      <c r="Q15" t="str">
        <v>Unattempted</v>
      </c>
      <c r="R15" t="str">
        <v>Unattempted</v>
      </c>
      <c r="S15" t="str">
        <v>Unattempted</v>
      </c>
      <c r="T15" t="str">
        <v>Unattempted</v>
      </c>
      <c r="U15" t="str">
        <v>Unattempted</v>
      </c>
    </row>
    <row r="16" spans="1:21" x14ac:dyDescent="0.3">
      <c r="A16">
        <v>2010992018</v>
      </c>
      <c r="B16" t="str">
        <v>Unattempted</v>
      </c>
      <c r="C16" t="str">
        <v>Unattempted</v>
      </c>
      <c r="D16" t="str">
        <v>Unattempted</v>
      </c>
      <c r="E16" t="str">
        <v>Unattempted</v>
      </c>
      <c r="F16" t="str">
        <v>Unattempted</v>
      </c>
      <c r="G16" t="str">
        <v>Unattempted</v>
      </c>
      <c r="H16" t="str">
        <v>Unattempted</v>
      </c>
      <c r="I16" t="str">
        <v>Unattempted</v>
      </c>
      <c r="J16" t="str">
        <v>Unattempted</v>
      </c>
      <c r="K16" t="str">
        <v>Unattempted</v>
      </c>
      <c r="L16" t="str">
        <v>Unattempted</v>
      </c>
      <c r="M16" t="str">
        <v>Unattempted</v>
      </c>
      <c r="N16" t="str">
        <v>Unattempted</v>
      </c>
      <c r="O16" t="str">
        <v>Unattempted</v>
      </c>
      <c r="P16" t="str">
        <v>Unattempted</v>
      </c>
      <c r="Q16" t="str">
        <v>Unattempted</v>
      </c>
      <c r="R16" t="str">
        <v>Unattempted</v>
      </c>
      <c r="S16" t="str">
        <v>Unattempted</v>
      </c>
      <c r="T16" t="str">
        <v>Unattempted</v>
      </c>
      <c r="U16" t="str">
        <v>Unattempted</v>
      </c>
    </row>
    <row r="17" spans="1:21" x14ac:dyDescent="0.3">
      <c r="A17">
        <v>2010992019</v>
      </c>
      <c r="B17" t="str">
        <v>Unattempted</v>
      </c>
      <c r="C17" t="str">
        <v>Unattempted</v>
      </c>
      <c r="D17" t="str">
        <v>Unattempted</v>
      </c>
      <c r="E17" t="str">
        <v>Unattempted</v>
      </c>
      <c r="F17" t="str">
        <v>Unattempted</v>
      </c>
      <c r="G17" t="str">
        <v>Unattempted</v>
      </c>
      <c r="H17" t="str">
        <v>Unattempted</v>
      </c>
      <c r="I17" t="str">
        <v>Unattempted</v>
      </c>
      <c r="J17" t="str">
        <v>Unattempted</v>
      </c>
      <c r="K17" t="str">
        <v>Unattempted</v>
      </c>
      <c r="L17" t="str">
        <v>Unattempted</v>
      </c>
      <c r="M17" t="str">
        <v>Unattempted</v>
      </c>
      <c r="N17" t="str">
        <v>Unattempted</v>
      </c>
      <c r="O17" t="str">
        <v>Unattempted</v>
      </c>
      <c r="P17" t="str">
        <v>Unattempted</v>
      </c>
      <c r="Q17" t="str">
        <v>Unattempted</v>
      </c>
      <c r="R17" t="str">
        <v>Unattempted</v>
      </c>
      <c r="S17" t="str">
        <v>Unattempted</v>
      </c>
      <c r="T17" t="str">
        <v>Unattempted</v>
      </c>
      <c r="U17" t="str">
        <v>Unattempted</v>
      </c>
    </row>
    <row r="18" spans="1:21" x14ac:dyDescent="0.3">
      <c r="A18">
        <v>2010992163</v>
      </c>
      <c r="B18" t="str">
        <v>Unattempted</v>
      </c>
      <c r="C18" t="str">
        <v>Unattempted</v>
      </c>
      <c r="D18" t="str">
        <v>Unattempted</v>
      </c>
      <c r="E18" t="str">
        <v>Unattempted</v>
      </c>
      <c r="F18" t="str">
        <v>Unattempted</v>
      </c>
      <c r="G18" t="str">
        <v>Unattempted</v>
      </c>
      <c r="H18" t="str">
        <v>Unattempted</v>
      </c>
      <c r="I18" t="str">
        <v>Unattempted</v>
      </c>
      <c r="J18" t="str">
        <v>Unattempted</v>
      </c>
      <c r="K18" t="str">
        <v>Unattempted</v>
      </c>
      <c r="L18" t="str">
        <v>Unattempted</v>
      </c>
      <c r="M18" t="str">
        <v>Unattempted</v>
      </c>
      <c r="N18" t="str">
        <v>Unattempted</v>
      </c>
      <c r="O18" t="str">
        <v>Unattempted</v>
      </c>
      <c r="P18" t="str">
        <v>Unattempted</v>
      </c>
      <c r="Q18" t="str">
        <v>Unattempted</v>
      </c>
      <c r="R18" t="str">
        <v>Unattempted</v>
      </c>
      <c r="S18" t="str">
        <v>Unattempted</v>
      </c>
      <c r="T18" t="str">
        <v>Unattempted</v>
      </c>
      <c r="U18" t="str">
        <v>Unattempted</v>
      </c>
    </row>
    <row r="19" spans="1:21" x14ac:dyDescent="0.3">
      <c r="A19">
        <v>2010992202</v>
      </c>
      <c r="B19" t="str">
        <v>Unattempted</v>
      </c>
      <c r="C19" t="str">
        <v>Unattempted</v>
      </c>
      <c r="D19" t="str">
        <v>Unattempted</v>
      </c>
      <c r="E19" t="str">
        <v>Unattempted</v>
      </c>
      <c r="F19" t="str">
        <v>Unattempted</v>
      </c>
      <c r="G19" t="str">
        <v>Unattempted</v>
      </c>
      <c r="H19" t="str">
        <v>Unattempted</v>
      </c>
      <c r="I19" t="str">
        <v>Unattempted</v>
      </c>
      <c r="J19" t="str">
        <v>Unattempted</v>
      </c>
      <c r="K19" t="str">
        <v>Unattempted</v>
      </c>
      <c r="L19" t="str">
        <v>Unattempted</v>
      </c>
      <c r="M19" t="str">
        <v>Unattempted</v>
      </c>
      <c r="N19" t="str">
        <v>Unattempted</v>
      </c>
      <c r="O19" t="str">
        <v>Unattempted</v>
      </c>
      <c r="P19" t="str">
        <v>Unattempted</v>
      </c>
      <c r="Q19" t="str">
        <v>Unattempted</v>
      </c>
      <c r="R19" t="str">
        <v>Unattempted</v>
      </c>
      <c r="S19" t="str">
        <v>Unattempted</v>
      </c>
      <c r="T19" t="str">
        <v>Unattempted</v>
      </c>
      <c r="U19" t="str">
        <v>Unattempted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B858-205C-46AE-9F9C-1C1254CFB2DB}">
  <dimension ref="A1:T19"/>
  <sheetViews>
    <sheetView workbookViewId="0">
      <selection activeCell="B2" sqref="B2"/>
    </sheetView>
  </sheetViews>
  <sheetFormatPr defaultRowHeight="14.4" x14ac:dyDescent="0.3"/>
  <sheetData>
    <row r="1" spans="1:20" x14ac:dyDescent="0.3">
      <c r="A1" t="str" cm="1">
        <f t="array" ref="A1:T1">TRANSPOSE('ST1 Questions'!A2:A21)</f>
        <v>1a</v>
      </c>
      <c r="B1" t="str">
        <v>1b</v>
      </c>
      <c r="C1" t="str">
        <v>1c</v>
      </c>
      <c r="D1" t="str">
        <v>1d</v>
      </c>
      <c r="E1" t="str">
        <v>1e</v>
      </c>
      <c r="F1" t="str">
        <v>Q2</v>
      </c>
      <c r="G1" t="str">
        <v>Q3</v>
      </c>
      <c r="H1" t="str">
        <v>Q4</v>
      </c>
      <c r="I1" t="str">
        <v>Q5</v>
      </c>
      <c r="J1" t="str">
        <v>Q6</v>
      </c>
      <c r="K1" t="str">
        <v>Q7</v>
      </c>
      <c r="L1" t="str">
        <v>Q8</v>
      </c>
      <c r="M1" t="str">
        <v>Q9</v>
      </c>
      <c r="N1" t="str">
        <v>Q10</v>
      </c>
      <c r="O1" t="str">
        <v>Q11</v>
      </c>
      <c r="P1" t="str">
        <v>Q12</v>
      </c>
      <c r="Q1" t="str">
        <v>Q13</v>
      </c>
      <c r="R1" t="str">
        <v>Q14</v>
      </c>
      <c r="S1" t="str">
        <v>Q15</v>
      </c>
      <c r="T1" t="str">
        <v>Q16</v>
      </c>
    </row>
    <row r="2" spans="1:20" x14ac:dyDescent="0.3">
      <c r="A2" t="str" cm="1">
        <f t="array" ref="A2:S19">_xlfn.LET(
    _xlpm.student_ids, 'ST3 Question Map'!A2:INDEX('ST3 Question Map'!A:A,COUNTA('ST3 Question Map'!A:A)),
    _xlpm.answers, 'ST3 Question Map'!B2:INDEX('ST3 Question Map'!$T:$T,COUNTA('ST3 Question Map'!$T:$T)),
    _xlpm.num_students, ROWS(_xlpm.student_ids),
    _xlpm.num_questions, COLUMNS(_xlpm.answers),
    _xlfn.MAKEARRAY(_xlpm.num_students, _xlpm.num_questions, _xlfn.LAMBDA(_xlpm.r,_xlpm.c,
        _xlfn.LET(
            _xlpm.current_col, INDEX(_xlpm.answers, 0, _xlpm.c),
            _xlpm.filtered_list, _xlfn._xlws.FILTER(_xlpm.student_ids, (_xlpm.current_col&lt;&gt;"") * (NOT(ISNUMBER(SEARCH("Unattemp", _xlpm.current_col)))), ""),
            IFERROR(INDEX(_xlpm.filtered_list, _xlpm.r), "")
        )
    ))
)</f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spans="1:20" x14ac:dyDescent="0.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spans="1:20" x14ac:dyDescent="0.3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spans="1:20" x14ac:dyDescent="0.3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spans="1:20" x14ac:dyDescent="0.3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spans="1:20" x14ac:dyDescent="0.3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spans="1:20" x14ac:dyDescent="0.3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spans="1:20" x14ac:dyDescent="0.3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spans="1:20" x14ac:dyDescent="0.3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spans="1:20" x14ac:dyDescent="0.3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spans="1:20" x14ac:dyDescent="0.3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spans="1:20" x14ac:dyDescent="0.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spans="1:20" x14ac:dyDescent="0.3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spans="1:20" x14ac:dyDescent="0.3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spans="1:20" x14ac:dyDescent="0.3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spans="1:19" x14ac:dyDescent="0.3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spans="1:19" x14ac:dyDescent="0.3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spans="1:19" x14ac:dyDescent="0.3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F4A9-E048-48A2-95A4-A83DABE786BC}">
  <dimension ref="A1:F2"/>
  <sheetViews>
    <sheetView workbookViewId="0">
      <selection activeCell="A2" sqref="A2:F2"/>
    </sheetView>
  </sheetViews>
  <sheetFormatPr defaultRowHeight="14.4" x14ac:dyDescent="0.3"/>
  <cols>
    <col min="3" max="3" width="8.88671875" customWidth="1"/>
    <col min="10" max="10" width="11.44140625" bestFit="1" customWidth="1"/>
    <col min="18" max="21" width="11.44140625" bestFit="1" customWidth="1"/>
  </cols>
  <sheetData>
    <row r="1" spans="1:6" x14ac:dyDescent="0.3">
      <c r="A1" t="str" cm="1">
        <f t="array" ref="A1:F1">'ST1 Questions'!C1:H1</f>
        <v>CO1</v>
      </c>
      <c r="B1" t="str">
        <v>CO2</v>
      </c>
      <c r="C1" t="str">
        <v>CO3</v>
      </c>
      <c r="D1" t="str">
        <v>CO4</v>
      </c>
      <c r="E1" t="str">
        <v>CO5</v>
      </c>
      <c r="F1" t="str">
        <v>CO6</v>
      </c>
    </row>
    <row r="2" spans="1:6" x14ac:dyDescent="0.3">
      <c r="A2" t="str" cm="1">
        <f t="array" ref="A2">_xlfn.LET(
    _xlpm.TargetStudents,
    TRANSPOSE(
        _xlfn._xlws.FILTER(
            'ST3 Questions'!$A$2:INDEX('ST3 Questions'!$A:$A, COUNTA('ST3 Questions'!A:A)),
            _xlfn.XLOOKUP(
                A$1,
                'ST3 Questions'!$C$1:$H$1,
                'ST3 Questions'!$C$2:INDEX('ST3 Questions'!$H:$H, COUNTA('ST3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'ST3 Attemped Qs'!$A$1:$T$1,
                    'ST3 Attemped Qs'!$A$2:INDEX('ST3 Attemped Qs'!$T:$T, COUNTA('ST3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B2" t="str" cm="1">
        <f t="array" ref="B2">_xlfn.LET(
    _xlpm.TargetStudents,
    TRANSPOSE(
        _xlfn._xlws.FILTER(
            'ST3 Questions'!$A$2:INDEX('ST3 Questions'!$A:$A, COUNTA('ST3 Questions'!B:B)),
            _xlfn.XLOOKUP(
                B$1,
                'ST3 Questions'!$C$1:$H$1,
                'ST3 Questions'!$C$2:INDEX('ST3 Questions'!$H:$H, COUNTA('ST3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'ST3 Attemped Qs'!$A$1:$T$1,
                    'ST3 Attemped Qs'!$A$2:INDEX('ST3 Attemped Qs'!$T:$T, COUNTA('ST3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C2" t="str" cm="1">
        <f t="array" ref="C2">_xlfn.LET(
    _xlpm.TargetStudents,
    TRANSPOSE(
        _xlfn._xlws.FILTER(
            'ST3 Questions'!$A$2:INDEX('ST3 Questions'!$A:$A, COUNTA('ST3 Questions'!C:C)),
            _xlfn.XLOOKUP(
                C$1,
                'ST3 Questions'!$C$1:$H$1,
                'ST3 Questions'!$C$2:INDEX('ST3 Questions'!$H:$H, COUNTA('ST3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'ST3 Attemped Qs'!$A$1:$T$1,
                    'ST3 Attemped Qs'!$A$2:INDEX('ST3 Attemped Qs'!$T:$T, COUNTA('ST3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D2" t="str" cm="1">
        <f t="array" ref="D2">_xlfn.LET(
    _xlpm.TargetStudents,
    TRANSPOSE(
        _xlfn._xlws.FILTER(
            'ST3 Questions'!$A$2:INDEX('ST3 Questions'!$A:$A, COUNTA('ST3 Questions'!D:D)),
            _xlfn.XLOOKUP(
                D$1,
                'ST3 Questions'!$C$1:$H$1,
                'ST3 Questions'!$C$2:INDEX('ST3 Questions'!$H:$H, COUNTA('ST3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'ST3 Attemped Qs'!$A$1:$T$1,
                    'ST3 Attemped Qs'!$A$2:INDEX('ST3 Attemped Qs'!$T:$T, COUNTA('ST3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E2" t="str" cm="1">
        <f t="array" ref="E2">_xlfn.LET(
    _xlpm.TargetStudents,
    TRANSPOSE(
        _xlfn._xlws.FILTER(
            'ST3 Questions'!$A$2:INDEX('ST3 Questions'!$A:$A, COUNTA('ST3 Questions'!E:E)),
            _xlfn.XLOOKUP(
                E$1,
                'ST3 Questions'!$C$1:$H$1,
                'ST3 Questions'!$C$2:INDEX('ST3 Questions'!$H:$H, COUNTA('ST3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'ST3 Attemped Qs'!$A$1:$T$1,
                    'ST3 Attemped Qs'!$A$2:INDEX('ST3 Attemped Qs'!$T:$T, COUNTA('ST3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F2" t="str" cm="1">
        <f t="array" ref="F2">_xlfn.LET(
    _xlpm.TargetStudents,
    TRANSPOSE(
        _xlfn._xlws.FILTER(
            'ST3 Questions'!$A$2:INDEX('ST3 Questions'!$A:$A, COUNTA('ST3 Questions'!F:F)),
            _xlfn.XLOOKUP(
                F$1,
                'ST3 Questions'!$C$1:$H$1,
                'ST3 Questions'!$C$2:INDEX('ST3 Questions'!$H:$H, COUNTA('ST3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'ST3 Attemped Qs'!$A$1:$T$1,
                    'ST3 Attemped Qs'!$A$2:INDEX('ST3 Attemped Qs'!$T:$T, COUNTA('ST3 Attemped Qs'!$T:$T)),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573F-2B93-47D9-B777-97F6C4BD5655}">
  <dimension ref="A1:G19"/>
  <sheetViews>
    <sheetView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_xlfn.BYROW($A2:INDEX($A:$A,COUNTA($A:$A)),_xlfn.LAMBDA(_xlpm.studentID,SUM(IFERROR(_xlfn.XLOOKUP(IF(_xlfn.XLOOKUP(B$1,'ST3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Questions'!$A$2:$A$17,'ST3 Questions'!$B$2:$B$17),0))))</f>
        <v>0</v>
      </c>
      <c r="C2" cm="1">
        <f t="array" ref="C2:C19">_xlfn.BYROW($A2:INDEX($A:$A,COUNTA($A:$A)),_xlfn.LAMBDA(_xlpm.studentID,SUM(IFERROR(_xlfn.XLOOKUP(IF(_xlfn.XLOOKUP(C$1,'ST3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Questions'!$A$2:$A$17,'ST3 Questions'!$B$2:$B$17),0))))</f>
        <v>0</v>
      </c>
      <c r="D2" cm="1">
        <f t="array" ref="D2:D19">_xlfn.BYROW($A2:INDEX($A:$A,COUNTA($A:$A)),_xlfn.LAMBDA(_xlpm.studentID,SUM(IFERROR(_xlfn.XLOOKUP(IF(_xlfn.XLOOKUP(D$1,'ST3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Questions'!$A$2:$A$17,'ST3 Questions'!$B$2:$B$17),0))))</f>
        <v>0</v>
      </c>
      <c r="E2" cm="1">
        <f t="array" ref="E2:E19">_xlfn.BYROW($A2:INDEX($A:$A,COUNTA($A:$A)),_xlfn.LAMBDA(_xlpm.studentID,SUM(IFERROR(_xlfn.XLOOKUP(IF(_xlfn.XLOOKUP(E$1,'ST3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Questions'!$A$2:$A$17,'ST3 Questions'!$B$2:$B$17),0))))</f>
        <v>0</v>
      </c>
      <c r="F2" cm="1">
        <f t="array" ref="F2:F19">_xlfn.BYROW($A2:INDEX($A:$A,COUNTA($A:$A)),_xlfn.LAMBDA(_xlpm.studentID,SUM(IFERROR(_xlfn.XLOOKUP(IF(_xlfn.XLOOKUP(F$1,'ST3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Questions'!$A$2:$A$17,'ST3 Questions'!$B$2:$B$17),0))))</f>
        <v>0</v>
      </c>
      <c r="G2" cm="1">
        <f t="array" ref="G2:G19">_xlfn.BYROW($A2:INDEX($A:$A,COUNTA($A:$A)),_xlfn.LAMBDA(_xlpm.studentID,SUM(IFERROR(_xlfn.XLOOKUP(IF(_xlfn.XLOOKUP(G$1,'ST3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Questions'!$A$2:$A$17,'ST3 Questions'!$B$2:$B$17),0))))</f>
        <v>0</v>
      </c>
    </row>
    <row r="3" spans="1:7" x14ac:dyDescent="0.3">
      <c r="A3">
        <v>2010992002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2010992004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2010992005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2010992006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2010992008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2010992009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2010992010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2010992011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2010992012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2010992014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2010992015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2010992016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2010992017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2010992018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9C0D-D7D4-4215-9B9C-1C7DA2D3A46D}">
  <dimension ref="A1:N19"/>
  <sheetViews>
    <sheetView workbookViewId="0">
      <selection activeCell="G1" sqref="G1"/>
    </sheetView>
  </sheetViews>
  <sheetFormatPr defaultRowHeight="14.4" x14ac:dyDescent="0.3"/>
  <cols>
    <col min="1" max="1" width="21" bestFit="1" customWidth="1"/>
  </cols>
  <sheetData>
    <row r="1" spans="1:14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4" x14ac:dyDescent="0.3">
      <c r="A2">
        <v>2010990089</v>
      </c>
      <c r="B2" cm="1">
        <f t="array" ref="B2:B19">_xlfn.BYROW($A2:INDEX($A:$A,COUNTA($A:$A)),_xlfn.LAMBDA(_xlpm.studentID,SUM(IFERROR(_xlfn.XLOOKUP(IF(_xlfn.XLOOKUP(B$1,'ST3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Student Marks'!$B$1:$Q$1,_xlfn.XLOOKUP(_xlpm.studentID,
'ST3 Student Marks'!$A$1:INDEX('ST3 Student Marks'!$A:$A,COUNTA('ST3 Student Marks'!$A:$A)),'ST3 Student Marks'!$B$1:INDEX('ST3 Student Marks'!$Q:$Q,COUNTA('ST3 Student Marks'!$Q:$Q)))),0))))</f>
        <v>0</v>
      </c>
      <c r="C2" cm="1">
        <f t="array" ref="C2:C19">_xlfn.BYROW($A2:INDEX($A:$A,COUNTA($A:$A)),_xlfn.LAMBDA(_xlpm.studentID,SUM(IFERROR(_xlfn.XLOOKUP(IF(_xlfn.XLOOKUP(C$1,'ST3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Student Marks'!$B$1:$Q$1,_xlfn.XLOOKUP(_xlpm.studentID,
'ST3 Student Marks'!$A$1:INDEX('ST3 Student Marks'!$A:$A,COUNTA('ST3 Student Marks'!$A:$A)),'ST3 Student Marks'!$B$1:INDEX('ST3 Student Marks'!$Q:$Q,COUNTA('ST3 Student Marks'!$Q:$Q)))),0))))</f>
        <v>0</v>
      </c>
      <c r="D2" cm="1">
        <f t="array" ref="D2:D19">_xlfn.BYROW($A2:INDEX($A:$A,COUNTA($A:$A)),_xlfn.LAMBDA(_xlpm.studentID,SUM(IFERROR(_xlfn.XLOOKUP(IF(_xlfn.XLOOKUP(D$1,'ST3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Student Marks'!$B$1:$Q$1,_xlfn.XLOOKUP(_xlpm.studentID,
'ST3 Student Marks'!$A$1:INDEX('ST3 Student Marks'!$A:$A,COUNTA('ST3 Student Marks'!$A:$A)),'ST3 Student Marks'!$B$1:INDEX('ST3 Student Marks'!$Q:$Q,COUNTA('ST3 Student Marks'!$Q:$Q)))),0))))</f>
        <v>0</v>
      </c>
      <c r="E2" cm="1">
        <f t="array" ref="E2:E19">_xlfn.BYROW($A2:INDEX($A:$A,COUNTA($A:$A)),_xlfn.LAMBDA(_xlpm.studentID,SUM(IFERROR(_xlfn.XLOOKUP(IF(_xlfn.XLOOKUP(E$1,'ST3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Student Marks'!$B$1:$Q$1,_xlfn.XLOOKUP(_xlpm.studentID,
'ST3 Student Marks'!$A$1:INDEX('ST3 Student Marks'!$A:$A,COUNTA('ST3 Student Marks'!$A:$A)),'ST3 Student Marks'!$B$1:INDEX('ST3 Student Marks'!$Q:$Q,COUNTA('ST3 Student Marks'!$Q:$Q)))),0))))</f>
        <v>0</v>
      </c>
      <c r="F2" cm="1">
        <f t="array" ref="F2:F19">_xlfn.BYROW($A2:INDEX($A:$A,COUNTA($A:$A)),_xlfn.LAMBDA(_xlpm.studentID,SUM(IFERROR(_xlfn.XLOOKUP(IF(_xlfn.XLOOKUP(F$1,'ST3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Student Marks'!$B$1:$Q$1,_xlfn.XLOOKUP(_xlpm.studentID,
'ST3 Student Marks'!$A$1:INDEX('ST3 Student Marks'!$A:$A,COUNTA('ST3 Student Marks'!$A:$A)),'ST3 Student Marks'!$B$1:INDEX('ST3 Student Marks'!$Q:$Q,COUNTA('ST3 Student Marks'!$Q:$Q)))),0))))</f>
        <v>0</v>
      </c>
      <c r="G2" cm="1">
        <f t="array" ref="G2:G19">_xlfn.BYROW($A2:INDEX($A:$A,COUNTA($A:$A)),_xlfn.LAMBDA(_xlpm.studentID,SUM(IFERROR(_xlfn.XLOOKUP(IF(_xlfn.XLOOKUP(G$1,'ST3 Questions'!$C$1:$H$1,
'ST3 Questions'!$C$2:$H$17)=TRUE,TRANSPOSE(_xlfn.XLOOKUP(_xlpm.studentID,
'ST3 Question Map'!$A$2:INDEX('ST3 Question Map'!$A:$A,COUNTA('ST3 Question Map'!$A:$A)),'ST3 Question Map'!$B$2:INDEX('ST3 Question Map'!$Q:$Q,COUNTA('ST3 Question Map'!$Q:$Q))))),'ST3 Student Marks'!$B$1:$Q$1,_xlfn.XLOOKUP(_xlpm.studentID,
'ST3 Student Marks'!$A$1:INDEX('ST3 Student Marks'!$A:$A,COUNTA('ST3 Student Marks'!$A:$A)),'ST3 Student Marks'!$B$1:INDEX('ST3 Student Marks'!$Q:$Q,COUNTA('ST3 Student Marks'!$Q:$Q)))),0))))</f>
        <v>0</v>
      </c>
    </row>
    <row r="3" spans="1:14" x14ac:dyDescent="0.3">
      <c r="A3">
        <v>2010992002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14" ht="14.7" customHeight="1" x14ac:dyDescent="0.3">
      <c r="A4">
        <v>2010992004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N4" s="1"/>
    </row>
    <row r="5" spans="1:14" x14ac:dyDescent="0.3">
      <c r="A5">
        <v>2010992005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14" x14ac:dyDescent="0.3">
      <c r="A6">
        <v>2010992006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14" x14ac:dyDescent="0.3">
      <c r="A7">
        <v>2010992008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4" x14ac:dyDescent="0.3">
      <c r="A8">
        <v>2010992009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4" x14ac:dyDescent="0.3">
      <c r="A9">
        <v>2010992010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4" x14ac:dyDescent="0.3">
      <c r="A10">
        <v>2010992011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4" x14ac:dyDescent="0.3">
      <c r="A11">
        <v>2010992012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4" x14ac:dyDescent="0.3">
      <c r="A12">
        <v>2010992014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4" x14ac:dyDescent="0.3">
      <c r="A13">
        <v>2010992015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4" x14ac:dyDescent="0.3">
      <c r="A14">
        <v>2010992016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4" x14ac:dyDescent="0.3">
      <c r="A15">
        <v>2010992017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4" x14ac:dyDescent="0.3">
      <c r="A16">
        <v>2010992018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251D-B2B1-4FF6-931B-65E6ADDF5B67}">
  <dimension ref="A1:G19"/>
  <sheetViews>
    <sheetView workbookViewId="0">
      <selection activeCell="G1" sqref="G1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_xlfn.BYROW($A2:INDEX($A:$A,COUNTA($A:$A)),_xlfn.LAMBDA(_xlpm.studentID,IFERROR(_xlfn.XLOOKUP(_xlpm.studentID,'ST3 Student Attained CO Score'!$A:$A,
'ST3 Student Attained CO Score'!B:B)/
_xlfn.XLOOKUP(_xlpm.studentID,'ST3 Student MO CO Score'!$A:$A,
'ST3 Student MO CO Score'!B:B)*100,"NA")))</f>
        <v>NA</v>
      </c>
      <c r="C2" t="str" cm="1">
        <f t="array" ref="C2:C19">_xlfn.BYROW($A2:INDEX($A:$A,COUNTA($A:$A)),_xlfn.LAMBDA(_xlpm.studentID,IFERROR(_xlfn.XLOOKUP(_xlpm.studentID,'ST3 Student Attained CO Score'!$A:$A,
'ST3 Student Attained CO Score'!C:C)/
_xlfn.XLOOKUP(_xlpm.studentID,'ST3 Student MO CO Score'!$A:$A,
'ST3 Student MO CO Score'!C:C)*100,"NA")))</f>
        <v>NA</v>
      </c>
      <c r="D2" t="str" cm="1">
        <f t="array" ref="D2:D19">_xlfn.BYROW($A2:INDEX($A:$A,COUNTA($A:$A)),_xlfn.LAMBDA(_xlpm.studentID,IFERROR(_xlfn.XLOOKUP(_xlpm.studentID,'ST3 Student Attained CO Score'!$A:$A,
'ST3 Student Attained CO Score'!D:D)/
_xlfn.XLOOKUP(_xlpm.studentID,'ST3 Student MO CO Score'!$A:$A,
'ST3 Student MO CO Score'!D:D)*100,"NA")))</f>
        <v>NA</v>
      </c>
      <c r="E2" t="str" cm="1">
        <f t="array" ref="E2:E19">_xlfn.BYROW($A2:INDEX($A:$A,COUNTA($A:$A)),_xlfn.LAMBDA(_xlpm.studentID,IFERROR(_xlfn.XLOOKUP(_xlpm.studentID,'ST3 Student Attained CO Score'!$A:$A,
'ST3 Student Attained CO Score'!E:E)/
_xlfn.XLOOKUP(_xlpm.studentID,'ST3 Student MO CO Score'!$A:$A,
'ST3 Student MO CO Score'!E:E)*100,"NA")))</f>
        <v>NA</v>
      </c>
      <c r="F2" t="str" cm="1">
        <f t="array" ref="F2:F19">_xlfn.BYROW($A2:INDEX($A:$A,COUNTA($A:$A)),_xlfn.LAMBDA(_xlpm.studentID,IFERROR(_xlfn.XLOOKUP(_xlpm.studentID,'ST3 Student Attained CO Score'!$A:$A,
'ST3 Student Attained CO Score'!F:F)/
_xlfn.XLOOKUP(_xlpm.studentID,'ST3 Student MO CO Score'!$A:$A,
'ST3 Student MO CO Score'!F:F)*100,"NA")))</f>
        <v>NA</v>
      </c>
      <c r="G2" t="str" cm="1">
        <f t="array" ref="G2:G19">_xlfn.BYROW($A2:INDEX($A:$A,COUNTA($A:$A)),_xlfn.LAMBDA(_xlpm.studentID,IFERROR(_xlfn.XLOOKUP(_xlpm.studentID,'ST3 Student Attained CO Score'!$A:$A,
'ST3 Student Attained CO Score'!G:G)/
_xlfn.XLOOKUP(_xlpm.studentID,'ST3 Student MO CO Score'!$A:$A,
'ST3 Student MO CO Score'!G:G)*100,"NA")))</f>
        <v>NA</v>
      </c>
    </row>
    <row r="3" spans="1:7" x14ac:dyDescent="0.3">
      <c r="A3">
        <v>2010992002</v>
      </c>
      <c r="B3" t="str">
        <v>NA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</row>
    <row r="4" spans="1:7" x14ac:dyDescent="0.3">
      <c r="A4">
        <v>2010992004</v>
      </c>
      <c r="B4" t="str">
        <v>NA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>
        <v>2010992005</v>
      </c>
      <c r="B5" t="str">
        <v>NA</v>
      </c>
      <c r="C5" t="str">
        <v>NA</v>
      </c>
      <c r="D5" t="str">
        <v>NA</v>
      </c>
      <c r="E5" t="str">
        <v>NA</v>
      </c>
      <c r="F5" t="str">
        <v>NA</v>
      </c>
      <c r="G5" t="str">
        <v>NA</v>
      </c>
    </row>
    <row r="6" spans="1:7" x14ac:dyDescent="0.3">
      <c r="A6">
        <v>2010992006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>
        <v>2010992008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>
        <v>2010992009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>
        <v>2010992010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>
        <v>2010992011</v>
      </c>
      <c r="B10" t="str">
        <v>NA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>
        <v>2010992012</v>
      </c>
      <c r="B11" t="str">
        <v>NA</v>
      </c>
      <c r="C11" t="str">
        <v>NA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>
        <v>2010992014</v>
      </c>
      <c r="B12" t="str">
        <v>NA</v>
      </c>
      <c r="C12" t="str">
        <v>NA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>
        <v>2010992015</v>
      </c>
      <c r="B13" t="str">
        <v>NA</v>
      </c>
      <c r="C13" t="str">
        <v>NA</v>
      </c>
      <c r="D13" t="str">
        <v>NA</v>
      </c>
      <c r="E13" t="str">
        <v>NA</v>
      </c>
      <c r="F13" t="str">
        <v>NA</v>
      </c>
      <c r="G13" t="str">
        <v>NA</v>
      </c>
    </row>
    <row r="14" spans="1:7" x14ac:dyDescent="0.3">
      <c r="A14">
        <v>2010992016</v>
      </c>
      <c r="B14" t="str">
        <v>NA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>
        <v>2010992017</v>
      </c>
      <c r="B15" t="str">
        <v>NA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>
        <v>2010992018</v>
      </c>
      <c r="B16" t="str">
        <v>NA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</row>
    <row r="17" spans="1:7" x14ac:dyDescent="0.3">
      <c r="A17">
        <v>2010992019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>
        <v>2010992163</v>
      </c>
      <c r="B18" t="str">
        <v>NA</v>
      </c>
      <c r="C18" t="str">
        <v>NA</v>
      </c>
      <c r="D18" t="str">
        <v>NA</v>
      </c>
      <c r="E18" t="str">
        <v>NA</v>
      </c>
      <c r="F18" t="str">
        <v>NA</v>
      </c>
      <c r="G18" t="str">
        <v>NA</v>
      </c>
    </row>
    <row r="19" spans="1:7" x14ac:dyDescent="0.3">
      <c r="A19">
        <v>2010992202</v>
      </c>
      <c r="B19" t="str">
        <v>NA</v>
      </c>
      <c r="C19" t="str">
        <v>NA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6BB1-8061-42EA-8BBD-75A25C464A96}">
  <dimension ref="A1:G19"/>
  <sheetViews>
    <sheetView workbookViewId="0">
      <selection activeCell="G1" sqref="G1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INDEX('ST3 Result'!B:B, 1):INDEX('ST3 Result'!B:B, COUNTA('ST3 Result'!B:B) )</f>
        <v>Admission No. (Roll No.)</v>
      </c>
      <c r="B1" t="str" cm="1">
        <f t="array" ref="B1:G1">'ST3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_xlfn.BYROW('ST3 Student Attainment percent'!B2:INDEX('ST3 Student Attainment percent'!B:B,COUNTA('ST3 Student Attainment percent'!B:B)),_xlfn.LAMBDA(_xlpm.score,_xlfn.IFS(_xlpm.score="NA","NA",_xlpm.score&gt;'OBE Data'!$B$2-1,3,_xlpm.score&gt;'OBE Data'!$B$3-1,2,_xlpm.score&gt;'OBE Data'!$B$4-1,1,_xlpm.score&lt;'OBE Data'!$B$4,0)))</f>
        <v>NA</v>
      </c>
      <c r="C2" t="str" cm="1">
        <f t="array" ref="C2:C19">_xlfn.BYROW('ST3 Student Attainment percent'!C2:INDEX('ST3 Student Attainment percent'!C:C,COUNTA('ST3 Student Attainment percent'!C:C)),_xlfn.LAMBDA(_xlpm.score,_xlfn.IFS(_xlpm.score="NA","NA",_xlpm.score&gt;'OBE Data'!$B$2-1,3,_xlpm.score&gt;'OBE Data'!$B$3-1,2,_xlpm.score&gt;'OBE Data'!$B$4-1,1,_xlpm.score&lt;'OBE Data'!$B$4,0)))</f>
        <v>NA</v>
      </c>
      <c r="D2" t="str" cm="1">
        <f t="array" ref="D2:D19">_xlfn.BYROW('ST3 Student Attainment percent'!D2:INDEX('ST3 Student Attainment percent'!D:D,COUNTA('ST3 Student Attainment percent'!D:D)),_xlfn.LAMBDA(_xlpm.score,_xlfn.IFS(_xlpm.score="NA","NA",_xlpm.score&gt;'OBE Data'!$B$2-1,3,_xlpm.score&gt;'OBE Data'!$B$3-1,2,_xlpm.score&gt;'OBE Data'!$B$4-1,1,_xlpm.score&lt;'OBE Data'!$B$4,0)))</f>
        <v>NA</v>
      </c>
      <c r="E2" t="str" cm="1">
        <f t="array" ref="E2:E19">_xlfn.BYROW('ST3 Student Attainment percent'!E2:INDEX('ST3 Student Attainment percent'!E:E,COUNTA('ST3 Student Attainment percent'!E:E)),_xlfn.LAMBDA(_xlpm.score,_xlfn.IFS(_xlpm.score="NA","NA",_xlpm.score&gt;'OBE Data'!$B$2-1,3,_xlpm.score&gt;'OBE Data'!$B$3-1,2,_xlpm.score&gt;'OBE Data'!$B$4-1,1,_xlpm.score&lt;'OBE Data'!$B$4,0)))</f>
        <v>NA</v>
      </c>
      <c r="F2" t="str" cm="1">
        <f t="array" ref="F2:F19">_xlfn.BYROW('ST3 Student Attainment percent'!F2:INDEX('ST3 Student Attainment percent'!F:F,COUNTA('ST3 Student Attainment percent'!F:F)),_xlfn.LAMBDA(_xlpm.score,_xlfn.IFS(_xlpm.score="NA","NA",_xlpm.score&gt;'OBE Data'!$B$2-1,3,_xlpm.score&gt;'OBE Data'!$B$3-1,2,_xlpm.score&gt;'OBE Data'!$B$4-1,1,_xlpm.score&lt;'OBE Data'!$B$4,0)))</f>
        <v>NA</v>
      </c>
      <c r="G2" t="str" cm="1">
        <f t="array" ref="G2:G19">_xlfn.BYROW('ST3 Student Attainment percent'!G2:INDEX('ST3 Student Attainment percent'!G:G,COUNTA('ST3 Student Attainment percent'!G:G)),_xlfn.LAMBDA(_xlpm.score,_xlfn.IFS(_xlpm.score="NA","NA",_xlpm.score&gt;'OBE Data'!$B$2-1,3,_xlpm.score&gt;'OBE Data'!$B$3-1,2,_xlpm.score&gt;'OBE Data'!$B$4-1,1,_xlpm.score&lt;'OBE Data'!$B$4,0)))</f>
        <v>NA</v>
      </c>
    </row>
    <row r="3" spans="1:7" x14ac:dyDescent="0.3">
      <c r="A3">
        <v>2010992002</v>
      </c>
      <c r="B3" t="str">
        <v>NA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</row>
    <row r="4" spans="1:7" x14ac:dyDescent="0.3">
      <c r="A4">
        <v>2010992004</v>
      </c>
      <c r="B4" t="str">
        <v>NA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>
        <v>2010992005</v>
      </c>
      <c r="B5" t="str">
        <v>NA</v>
      </c>
      <c r="C5" t="str">
        <v>NA</v>
      </c>
      <c r="D5" t="str">
        <v>NA</v>
      </c>
      <c r="E5" t="str">
        <v>NA</v>
      </c>
      <c r="F5" t="str">
        <v>NA</v>
      </c>
      <c r="G5" t="str">
        <v>NA</v>
      </c>
    </row>
    <row r="6" spans="1:7" x14ac:dyDescent="0.3">
      <c r="A6">
        <v>2010992006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>
        <v>2010992008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>
        <v>2010992009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>
        <v>2010992010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>
        <v>2010992011</v>
      </c>
      <c r="B10" t="str">
        <v>NA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>
        <v>2010992012</v>
      </c>
      <c r="B11" t="str">
        <v>NA</v>
      </c>
      <c r="C11" t="str">
        <v>NA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>
        <v>2010992014</v>
      </c>
      <c r="B12" t="str">
        <v>NA</v>
      </c>
      <c r="C12" t="str">
        <v>NA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>
        <v>2010992015</v>
      </c>
      <c r="B13" t="str">
        <v>NA</v>
      </c>
      <c r="C13" t="str">
        <v>NA</v>
      </c>
      <c r="D13" t="str">
        <v>NA</v>
      </c>
      <c r="E13" t="str">
        <v>NA</v>
      </c>
      <c r="F13" t="str">
        <v>NA</v>
      </c>
      <c r="G13" t="str">
        <v>NA</v>
      </c>
    </row>
    <row r="14" spans="1:7" x14ac:dyDescent="0.3">
      <c r="A14">
        <v>2010992016</v>
      </c>
      <c r="B14" t="str">
        <v>NA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>
        <v>2010992017</v>
      </c>
      <c r="B15" t="str">
        <v>NA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>
        <v>2010992018</v>
      </c>
      <c r="B16" t="str">
        <v>NA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</row>
    <row r="17" spans="1:7" x14ac:dyDescent="0.3">
      <c r="A17">
        <v>2010992019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>
        <v>2010992163</v>
      </c>
      <c r="B18" t="str">
        <v>NA</v>
      </c>
      <c r="C18" t="str">
        <v>NA</v>
      </c>
      <c r="D18" t="str">
        <v>NA</v>
      </c>
      <c r="E18" t="str">
        <v>NA</v>
      </c>
      <c r="F18" t="str">
        <v>NA</v>
      </c>
      <c r="G18" t="str">
        <v>NA</v>
      </c>
    </row>
    <row r="19" spans="1:7" x14ac:dyDescent="0.3">
      <c r="A19">
        <v>2010992202</v>
      </c>
      <c r="B19" t="str">
        <v>NA</v>
      </c>
      <c r="C19" t="str">
        <v>NA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6ABA-DA3E-47D7-9763-643B2234398A}">
  <dimension ref="A1:G19"/>
  <sheetViews>
    <sheetView workbookViewId="0">
      <selection activeCell="G1" sqref="G1"/>
    </sheetView>
  </sheetViews>
  <sheetFormatPr defaultRowHeight="14.4" x14ac:dyDescent="0.3"/>
  <sheetData>
    <row r="1" spans="1:7" x14ac:dyDescent="0.3">
      <c r="A1" t="str" cm="1">
        <f t="array" ref="A1:A19">INDEX('ST3 Result'!B:B, 1):INDEX('ST3 Result'!B:B, COUNTA('ST3 Result'!B:B) )</f>
        <v>Admission No. (Roll No.)</v>
      </c>
      <c r="B1" t="str" cm="1">
        <f t="array" ref="B1:G1">'ST3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_xlfn.BYROW('ST3 Student Attainment percent'!B2:INDEX('ST3 Student Attainment percent'!B:B,COUNTA('ST3 Student Attainment percent'!B:B)),_xlfn.LAMBDA(_xlpm.score,_xlfn.IFS(_xlpm.score="NA","NA",_xlpm.score&gt;='OBE Data'!$B$5,"Y",_xlpm.score&lt;'OBE Data'!$B$5,"N")))</f>
        <v>NA</v>
      </c>
      <c r="C2" t="str" cm="1">
        <f t="array" ref="C2:C19">_xlfn.BYROW('ST3 Student Attainment percent'!C2:INDEX('ST3 Student Attainment percent'!C:C,COUNTA('ST3 Student Attainment percent'!C:C)),_xlfn.LAMBDA(_xlpm.score,_xlfn.IFS(_xlpm.score="NA","NA",_xlpm.score&gt;='OBE Data'!$B$5,"Y",_xlpm.score&lt;'OBE Data'!$B$5,"N")))</f>
        <v>NA</v>
      </c>
      <c r="D2" t="str" cm="1">
        <f t="array" ref="D2:D19">_xlfn.BYROW('ST3 Student Attainment percent'!D2:INDEX('ST3 Student Attainment percent'!D:D,COUNTA('ST3 Student Attainment percent'!D:D)),_xlfn.LAMBDA(_xlpm.score,_xlfn.IFS(_xlpm.score="NA","NA",_xlpm.score&gt;='OBE Data'!$B$5,"Y",_xlpm.score&lt;'OBE Data'!$B$5,"N")))</f>
        <v>NA</v>
      </c>
      <c r="E2" t="str" cm="1">
        <f t="array" ref="E2:E19">_xlfn.BYROW('ST3 Student Attainment percent'!E2:INDEX('ST3 Student Attainment percent'!E:E,COUNTA('ST3 Student Attainment percent'!E:E)),_xlfn.LAMBDA(_xlpm.score,_xlfn.IFS(_xlpm.score="NA","NA",_xlpm.score&gt;='OBE Data'!$B$5,"Y",_xlpm.score&lt;'OBE Data'!$B$5,"N")))</f>
        <v>NA</v>
      </c>
      <c r="F2" t="str" cm="1">
        <f t="array" ref="F2:F19">_xlfn.BYROW('ST3 Student Attainment percent'!F2:INDEX('ST3 Student Attainment percent'!F:F,COUNTA('ST3 Student Attainment percent'!F:F)),_xlfn.LAMBDA(_xlpm.score,_xlfn.IFS(_xlpm.score="NA","NA",_xlpm.score&gt;='OBE Data'!$B$5,"Y",_xlpm.score&lt;'OBE Data'!$B$5,"N")))</f>
        <v>NA</v>
      </c>
      <c r="G2" t="str" cm="1">
        <f t="array" ref="G2:G19">_xlfn.BYROW('ST3 Student Attainment percent'!G2:INDEX('ST3 Student Attainment percent'!G:G,COUNTA('ST3 Student Attainment percent'!G:G)),_xlfn.LAMBDA(_xlpm.score,_xlfn.IFS(_xlpm.score="NA","NA",_xlpm.score&gt;='OBE Data'!$B$5,"Y",_xlpm.score&lt;'OBE Data'!$B$5,"N")))</f>
        <v>NA</v>
      </c>
    </row>
    <row r="3" spans="1:7" x14ac:dyDescent="0.3">
      <c r="A3">
        <v>2010992002</v>
      </c>
      <c r="B3" t="str">
        <v>NA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</row>
    <row r="4" spans="1:7" x14ac:dyDescent="0.3">
      <c r="A4">
        <v>2010992004</v>
      </c>
      <c r="B4" t="str">
        <v>NA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>
        <v>2010992005</v>
      </c>
      <c r="B5" t="str">
        <v>NA</v>
      </c>
      <c r="C5" t="str">
        <v>NA</v>
      </c>
      <c r="D5" t="str">
        <v>NA</v>
      </c>
      <c r="E5" t="str">
        <v>NA</v>
      </c>
      <c r="F5" t="str">
        <v>NA</v>
      </c>
      <c r="G5" t="str">
        <v>NA</v>
      </c>
    </row>
    <row r="6" spans="1:7" x14ac:dyDescent="0.3">
      <c r="A6">
        <v>2010992006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>
        <v>2010992008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>
        <v>2010992009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>
        <v>2010992010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>
        <v>2010992011</v>
      </c>
      <c r="B10" t="str">
        <v>NA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>
        <v>2010992012</v>
      </c>
      <c r="B11" t="str">
        <v>NA</v>
      </c>
      <c r="C11" t="str">
        <v>NA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>
        <v>2010992014</v>
      </c>
      <c r="B12" t="str">
        <v>NA</v>
      </c>
      <c r="C12" t="str">
        <v>NA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>
        <v>2010992015</v>
      </c>
      <c r="B13" t="str">
        <v>NA</v>
      </c>
      <c r="C13" t="str">
        <v>NA</v>
      </c>
      <c r="D13" t="str">
        <v>NA</v>
      </c>
      <c r="E13" t="str">
        <v>NA</v>
      </c>
      <c r="F13" t="str">
        <v>NA</v>
      </c>
      <c r="G13" t="str">
        <v>NA</v>
      </c>
    </row>
    <row r="14" spans="1:7" x14ac:dyDescent="0.3">
      <c r="A14">
        <v>2010992016</v>
      </c>
      <c r="B14" t="str">
        <v>NA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>
        <v>2010992017</v>
      </c>
      <c r="B15" t="str">
        <v>NA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>
        <v>2010992018</v>
      </c>
      <c r="B16" t="str">
        <v>NA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</row>
    <row r="17" spans="1:7" x14ac:dyDescent="0.3">
      <c r="A17">
        <v>2010992019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>
        <v>2010992163</v>
      </c>
      <c r="B18" t="str">
        <v>NA</v>
      </c>
      <c r="C18" t="str">
        <v>NA</v>
      </c>
      <c r="D18" t="str">
        <v>NA</v>
      </c>
      <c r="E18" t="str">
        <v>NA</v>
      </c>
      <c r="F18" t="str">
        <v>NA</v>
      </c>
      <c r="G18" t="str">
        <v>NA</v>
      </c>
    </row>
    <row r="19" spans="1:7" x14ac:dyDescent="0.3">
      <c r="A19">
        <v>2010992202</v>
      </c>
      <c r="B19" t="str">
        <v>NA</v>
      </c>
      <c r="C19" t="str">
        <v>NA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592C-ECE9-4B88-AFCA-75EEFECE0C9A}">
  <sheetPr codeName="Sheet19"/>
  <dimension ref="A1:H24"/>
  <sheetViews>
    <sheetView workbookViewId="0"/>
  </sheetViews>
  <sheetFormatPr defaultRowHeight="14.4" x14ac:dyDescent="0.3"/>
  <sheetData>
    <row r="1" spans="1:8" x14ac:dyDescent="0.3">
      <c r="A1" t="str" cm="1">
        <f t="array" ref="A1:H24">'[1]ETE Question Map'!$A$1:$H$24</f>
        <v>Q_Id</v>
      </c>
      <c r="B1" t="str">
        <v>Max Marks</v>
      </c>
      <c r="C1" t="str">
        <v>CO1</v>
      </c>
      <c r="D1" t="str">
        <v>CO2</v>
      </c>
      <c r="E1" t="str">
        <v>CO3</v>
      </c>
      <c r="F1" t="str">
        <v>CO4</v>
      </c>
      <c r="G1" t="str">
        <v>CO5</v>
      </c>
      <c r="H1" t="str">
        <v>CO6</v>
      </c>
    </row>
    <row r="2" spans="1:8" x14ac:dyDescent="0.3">
      <c r="A2" t="str">
        <v>1a</v>
      </c>
      <c r="B2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 spans="1:8" x14ac:dyDescent="0.3">
      <c r="A3" t="str">
        <v>1b</v>
      </c>
      <c r="B3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 spans="1:8" x14ac:dyDescent="0.3">
      <c r="A4" t="str">
        <v>1c</v>
      </c>
      <c r="B4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 spans="1:8" x14ac:dyDescent="0.3">
      <c r="A5" t="str">
        <v>1d</v>
      </c>
      <c r="B5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 spans="1:8" x14ac:dyDescent="0.3">
      <c r="A6" t="str">
        <v>1e</v>
      </c>
      <c r="B6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 spans="1:8" x14ac:dyDescent="0.3">
      <c r="A7" t="str">
        <v>Q2</v>
      </c>
      <c r="B7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 spans="1:8" x14ac:dyDescent="0.3">
      <c r="A8" t="str">
        <v>Q3</v>
      </c>
      <c r="B8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 spans="1:8" x14ac:dyDescent="0.3">
      <c r="A9" t="str">
        <v>Q4</v>
      </c>
      <c r="B9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 spans="1:8" x14ac:dyDescent="0.3">
      <c r="A10" t="str">
        <v>Q5</v>
      </c>
      <c r="B10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 spans="1:8" x14ac:dyDescent="0.3">
      <c r="A11" t="str">
        <v>Q6</v>
      </c>
      <c r="B11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 spans="1:8" x14ac:dyDescent="0.3">
      <c r="A12" t="str">
        <v>Q7</v>
      </c>
      <c r="B12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 spans="1:8" x14ac:dyDescent="0.3">
      <c r="A13" t="str">
        <v>Q8</v>
      </c>
      <c r="B13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 spans="1:8" x14ac:dyDescent="0.3">
      <c r="A14" t="str">
        <v>Q9</v>
      </c>
      <c r="B14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 spans="1:8" x14ac:dyDescent="0.3">
      <c r="A15" t="str">
        <v>Q10</v>
      </c>
      <c r="B15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 spans="1:8" x14ac:dyDescent="0.3">
      <c r="A16" t="str">
        <v>Q11</v>
      </c>
      <c r="B16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 spans="1:8" x14ac:dyDescent="0.3">
      <c r="A17" t="str">
        <v>Q12</v>
      </c>
      <c r="B17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 spans="1:8" x14ac:dyDescent="0.3">
      <c r="A18" t="str">
        <v>Q13</v>
      </c>
      <c r="B18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 spans="1:8" x14ac:dyDescent="0.3">
      <c r="A19" t="str">
        <v>Q14</v>
      </c>
      <c r="B19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3">
      <c r="A20" t="str">
        <v>Q15</v>
      </c>
      <c r="B20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 spans="1:8" x14ac:dyDescent="0.3">
      <c r="A21" t="str">
        <v>Q16</v>
      </c>
      <c r="B21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</row>
    <row r="22" spans="1:8" x14ac:dyDescent="0.3">
      <c r="A22" t="str">
        <v>Assignment</v>
      </c>
      <c r="B22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</row>
    <row r="23" spans="1:8" x14ac:dyDescent="0.3">
      <c r="A23" t="str">
        <v>FA1</v>
      </c>
      <c r="B23">
        <v>30</v>
      </c>
      <c r="C23" t="b">
        <v>1</v>
      </c>
      <c r="D23" t="b">
        <v>1</v>
      </c>
      <c r="E23" t="b">
        <v>1</v>
      </c>
      <c r="F23" t="b">
        <v>0</v>
      </c>
      <c r="G23" t="b">
        <v>0</v>
      </c>
      <c r="H23" t="b">
        <v>0</v>
      </c>
    </row>
    <row r="24" spans="1:8" x14ac:dyDescent="0.3">
      <c r="A24" t="str">
        <v>FA2</v>
      </c>
      <c r="B24">
        <v>30</v>
      </c>
      <c r="C24" t="b">
        <v>1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C823-ACCF-4ACF-A2A8-473372EBE4A4}">
  <sheetPr codeName="Sheet20"/>
  <dimension ref="A1:AK19"/>
  <sheetViews>
    <sheetView topLeftCell="O1" workbookViewId="0"/>
  </sheetViews>
  <sheetFormatPr defaultRowHeight="14.4" x14ac:dyDescent="0.3"/>
  <cols>
    <col min="2" max="2" width="21" bestFit="1" customWidth="1"/>
  </cols>
  <sheetData>
    <row r="1" spans="1:37" x14ac:dyDescent="0.3">
      <c r="A1" t="str" cm="1">
        <f t="array" ref="A1:AK19">'[1]ETE Result'!$A1:INDEX('[1]ETE Result'!$AK:$AK,COUNTA('[1]ETE Result'!$AK:$AK))</f>
        <v>Sr.no</v>
      </c>
      <c r="B1" t="str">
        <v>Admission No. (Roll No.)</v>
      </c>
      <c r="C1" t="str">
        <v>Name of Student</v>
      </c>
      <c r="D1" t="str">
        <v>Division(Section)</v>
      </c>
      <c r="E1" t="str">
        <v>Course Code</v>
      </c>
      <c r="F1" t="str">
        <v>Course Name</v>
      </c>
      <c r="G1" t="str">
        <v>Lecture Type (Theory/Practical)</v>
      </c>
      <c r="H1" t="str">
        <v>Program Name</v>
      </c>
      <c r="I1" t="str">
        <v>Department Name</v>
      </c>
      <c r="J1" t="str">
        <v>Class Name (Batch)</v>
      </c>
      <c r="K1" t="str">
        <v>Semester Name</v>
      </c>
      <c r="L1" t="str">
        <v>Exam Name (ETE/ST/FA)</v>
      </c>
      <c r="M1" t="str">
        <v>1a</v>
      </c>
      <c r="N1" t="str">
        <v>1b</v>
      </c>
      <c r="O1" t="str">
        <v>1c</v>
      </c>
      <c r="P1" t="str">
        <v>1d</v>
      </c>
      <c r="Q1" t="str">
        <v>1e</v>
      </c>
      <c r="R1" t="str">
        <v>Q2</v>
      </c>
      <c r="S1" t="str">
        <v>Q3</v>
      </c>
      <c r="T1" t="str">
        <v>Q4</v>
      </c>
      <c r="U1" t="str">
        <v>Q5</v>
      </c>
      <c r="V1" t="str">
        <v>Q6</v>
      </c>
      <c r="W1" t="str">
        <v>Q7</v>
      </c>
      <c r="X1" t="str">
        <v>Q8</v>
      </c>
      <c r="Y1" t="str">
        <v>Q9</v>
      </c>
      <c r="Z1" t="str">
        <v>Q10</v>
      </c>
      <c r="AA1" t="str">
        <v>Q11</v>
      </c>
      <c r="AB1" t="str">
        <v>Q12</v>
      </c>
      <c r="AC1" t="str">
        <v>Q13</v>
      </c>
      <c r="AD1" t="str">
        <v>Q14</v>
      </c>
      <c r="AE1" t="str">
        <v>Q15</v>
      </c>
      <c r="AF1" t="str">
        <v>Q16</v>
      </c>
      <c r="AG1" t="str">
        <v>Assignment</v>
      </c>
      <c r="AH1" t="str">
        <v>FA1</v>
      </c>
      <c r="AI1" t="str">
        <v>FA2</v>
      </c>
      <c r="AJ1" t="str">
        <v>Total Marks</v>
      </c>
      <c r="AK1" t="str">
        <v>max Marks</v>
      </c>
    </row>
    <row r="2" spans="1:37" x14ac:dyDescent="0.3">
      <c r="A2">
        <v>1</v>
      </c>
      <c r="B2">
        <v>2010990089</v>
      </c>
      <c r="C2" t="str">
        <v>ANSH GARG</v>
      </c>
      <c r="D2">
        <v>0</v>
      </c>
      <c r="E2" t="str">
        <v>EC112</v>
      </c>
      <c r="F2" t="str">
        <v>Network Analysis and Synthesis</v>
      </c>
      <c r="G2" t="str">
        <v>Theory</v>
      </c>
      <c r="H2" t="str">
        <v>B.E</v>
      </c>
      <c r="I2" t="str">
        <v>ECE</v>
      </c>
      <c r="J2">
        <v>2020</v>
      </c>
      <c r="K2">
        <v>3</v>
      </c>
      <c r="L2" t="str">
        <v>ETE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 t="str">
        <v>U</v>
      </c>
      <c r="S2" t="str">
        <v>U</v>
      </c>
      <c r="T2" t="str">
        <v>U</v>
      </c>
      <c r="U2" t="str">
        <v>U</v>
      </c>
      <c r="V2" t="str">
        <v>U</v>
      </c>
      <c r="W2" t="str">
        <v>U</v>
      </c>
      <c r="X2" t="str">
        <v>U</v>
      </c>
      <c r="Y2" t="str">
        <v>U</v>
      </c>
      <c r="Z2" t="str">
        <v>U</v>
      </c>
      <c r="AA2" t="str">
        <v>U</v>
      </c>
      <c r="AB2" t="str">
        <v>U</v>
      </c>
      <c r="AC2" t="str">
        <v>U</v>
      </c>
      <c r="AD2" t="str">
        <v>U</v>
      </c>
      <c r="AE2" t="str">
        <v>U</v>
      </c>
      <c r="AF2" t="str">
        <v>U</v>
      </c>
      <c r="AG2" t="str">
        <v>U</v>
      </c>
      <c r="AH2">
        <v>25</v>
      </c>
      <c r="AI2">
        <v>20</v>
      </c>
      <c r="AJ2">
        <v>45</v>
      </c>
      <c r="AK2">
        <v>60</v>
      </c>
    </row>
    <row r="3" spans="1:37" x14ac:dyDescent="0.3">
      <c r="A3">
        <v>2</v>
      </c>
      <c r="B3">
        <v>2010992002</v>
      </c>
      <c r="C3" t="str">
        <v>PANSY VERMA</v>
      </c>
      <c r="D3">
        <v>0</v>
      </c>
      <c r="E3" t="str">
        <v>EC112</v>
      </c>
      <c r="F3" t="str">
        <v>Network Analysis and Synthesis</v>
      </c>
      <c r="G3" t="str">
        <v>Theory</v>
      </c>
      <c r="H3" t="str">
        <v>B.E</v>
      </c>
      <c r="I3" t="str">
        <v>ECE</v>
      </c>
      <c r="J3">
        <v>2020</v>
      </c>
      <c r="K3">
        <v>3</v>
      </c>
      <c r="L3" t="str">
        <v>ETE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 t="str">
        <v>U</v>
      </c>
      <c r="S3" t="str">
        <v>U</v>
      </c>
      <c r="T3" t="str">
        <v>U</v>
      </c>
      <c r="U3" t="str">
        <v>U</v>
      </c>
      <c r="V3" t="str">
        <v>U</v>
      </c>
      <c r="W3" t="str">
        <v>U</v>
      </c>
      <c r="X3" t="str">
        <v>U</v>
      </c>
      <c r="Y3" t="str">
        <v>U</v>
      </c>
      <c r="Z3" t="str">
        <v>U</v>
      </c>
      <c r="AA3" t="str">
        <v>U</v>
      </c>
      <c r="AB3" t="str">
        <v>U</v>
      </c>
      <c r="AC3" t="str">
        <v>U</v>
      </c>
      <c r="AD3" t="str">
        <v>U</v>
      </c>
      <c r="AE3" t="str">
        <v>U</v>
      </c>
      <c r="AF3" t="str">
        <v>U</v>
      </c>
      <c r="AG3" t="str">
        <v>U</v>
      </c>
      <c r="AH3">
        <v>25</v>
      </c>
      <c r="AI3">
        <v>22</v>
      </c>
      <c r="AJ3">
        <v>47</v>
      </c>
      <c r="AK3">
        <v>60</v>
      </c>
    </row>
    <row r="4" spans="1:37" x14ac:dyDescent="0.3">
      <c r="A4">
        <v>3</v>
      </c>
      <c r="B4">
        <v>2010992004</v>
      </c>
      <c r="C4" t="str">
        <v>UTKARSH BHATT</v>
      </c>
      <c r="D4">
        <v>0</v>
      </c>
      <c r="E4" t="str">
        <v>EC112</v>
      </c>
      <c r="F4" t="str">
        <v>Network Analysis and Synthesis</v>
      </c>
      <c r="G4" t="str">
        <v>Theory</v>
      </c>
      <c r="H4" t="str">
        <v>B.E</v>
      </c>
      <c r="I4" t="str">
        <v>ECE</v>
      </c>
      <c r="J4">
        <v>2020</v>
      </c>
      <c r="K4">
        <v>3</v>
      </c>
      <c r="L4" t="str">
        <v>ETE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  <c r="V4" t="str">
        <v>U</v>
      </c>
      <c r="W4" t="str">
        <v>U</v>
      </c>
      <c r="X4" t="str">
        <v>U</v>
      </c>
      <c r="Y4" t="str">
        <v>U</v>
      </c>
      <c r="Z4" t="str">
        <v>U</v>
      </c>
      <c r="AA4" t="str">
        <v>U</v>
      </c>
      <c r="AB4" t="str">
        <v>U</v>
      </c>
      <c r="AC4" t="str">
        <v>U</v>
      </c>
      <c r="AD4" t="str">
        <v>U</v>
      </c>
      <c r="AE4" t="str">
        <v>U</v>
      </c>
      <c r="AF4" t="str">
        <v>U</v>
      </c>
      <c r="AG4" t="str">
        <v>U</v>
      </c>
      <c r="AH4">
        <v>26</v>
      </c>
      <c r="AI4">
        <v>20</v>
      </c>
      <c r="AJ4">
        <v>46</v>
      </c>
      <c r="AK4">
        <v>60</v>
      </c>
    </row>
    <row r="5" spans="1:37" x14ac:dyDescent="0.3">
      <c r="A5">
        <v>4</v>
      </c>
      <c r="B5">
        <v>2010992005</v>
      </c>
      <c r="C5" t="str">
        <v>RATANABH SHARMA</v>
      </c>
      <c r="D5">
        <v>0</v>
      </c>
      <c r="E5" t="str">
        <v>EC112</v>
      </c>
      <c r="F5" t="str">
        <v>Network Analysis and Synthesis</v>
      </c>
      <c r="G5" t="str">
        <v>Theory</v>
      </c>
      <c r="H5" t="str">
        <v>B.E</v>
      </c>
      <c r="I5" t="str">
        <v>ECE</v>
      </c>
      <c r="J5">
        <v>2020</v>
      </c>
      <c r="K5">
        <v>3</v>
      </c>
      <c r="L5" t="str">
        <v>ETE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  <c r="V5" t="str">
        <v>U</v>
      </c>
      <c r="W5" t="str">
        <v>U</v>
      </c>
      <c r="X5" t="str">
        <v>U</v>
      </c>
      <c r="Y5" t="str">
        <v>U</v>
      </c>
      <c r="Z5" t="str">
        <v>U</v>
      </c>
      <c r="AA5" t="str">
        <v>U</v>
      </c>
      <c r="AB5" t="str">
        <v>U</v>
      </c>
      <c r="AC5" t="str">
        <v>U</v>
      </c>
      <c r="AD5" t="str">
        <v>U</v>
      </c>
      <c r="AE5" t="str">
        <v>U</v>
      </c>
      <c r="AF5" t="str">
        <v>U</v>
      </c>
      <c r="AG5" t="str">
        <v>U</v>
      </c>
      <c r="AH5">
        <v>25</v>
      </c>
      <c r="AI5">
        <v>18</v>
      </c>
      <c r="AJ5">
        <v>43</v>
      </c>
      <c r="AK5">
        <v>60</v>
      </c>
    </row>
    <row r="6" spans="1:37" x14ac:dyDescent="0.3">
      <c r="A6">
        <v>5</v>
      </c>
      <c r="B6">
        <v>2010992006</v>
      </c>
      <c r="C6" t="str">
        <v>AYUSH SHARMA</v>
      </c>
      <c r="D6">
        <v>0</v>
      </c>
      <c r="E6" t="str">
        <v>EC112</v>
      </c>
      <c r="F6" t="str">
        <v>Network Analysis and Synthesis</v>
      </c>
      <c r="G6" t="str">
        <v>Theory</v>
      </c>
      <c r="H6" t="str">
        <v>B.E</v>
      </c>
      <c r="I6" t="str">
        <v>ECE</v>
      </c>
      <c r="J6">
        <v>2020</v>
      </c>
      <c r="K6">
        <v>3</v>
      </c>
      <c r="L6" t="str">
        <v>ETE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  <c r="V6" t="str">
        <v>U</v>
      </c>
      <c r="W6" t="str">
        <v>U</v>
      </c>
      <c r="X6" t="str">
        <v>U</v>
      </c>
      <c r="Y6" t="str">
        <v>U</v>
      </c>
      <c r="Z6" t="str">
        <v>U</v>
      </c>
      <c r="AA6" t="str">
        <v>U</v>
      </c>
      <c r="AB6" t="str">
        <v>U</v>
      </c>
      <c r="AC6" t="str">
        <v>U</v>
      </c>
      <c r="AD6" t="str">
        <v>U</v>
      </c>
      <c r="AE6" t="str">
        <v>U</v>
      </c>
      <c r="AF6" t="str">
        <v>U</v>
      </c>
      <c r="AG6" t="str">
        <v>U</v>
      </c>
      <c r="AH6">
        <v>26</v>
      </c>
      <c r="AI6">
        <v>22</v>
      </c>
      <c r="AJ6">
        <v>48</v>
      </c>
      <c r="AK6">
        <v>60</v>
      </c>
    </row>
    <row r="7" spans="1:37" x14ac:dyDescent="0.3">
      <c r="A7">
        <v>6</v>
      </c>
      <c r="B7">
        <v>2010992008</v>
      </c>
      <c r="C7" t="str">
        <v>NAVDEEP SINGH</v>
      </c>
      <c r="D7">
        <v>0</v>
      </c>
      <c r="E7" t="str">
        <v>EC112</v>
      </c>
      <c r="F7" t="str">
        <v>Network Analysis and Synthesis</v>
      </c>
      <c r="G7" t="str">
        <v>Theory</v>
      </c>
      <c r="H7" t="str">
        <v>B.E</v>
      </c>
      <c r="I7" t="str">
        <v>ECE</v>
      </c>
      <c r="J7">
        <v>2020</v>
      </c>
      <c r="K7">
        <v>3</v>
      </c>
      <c r="L7" t="str">
        <v>ETE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  <c r="Y7" t="str">
        <v>U</v>
      </c>
      <c r="Z7" t="str">
        <v>U</v>
      </c>
      <c r="AA7" t="str">
        <v>U</v>
      </c>
      <c r="AB7" t="str">
        <v>U</v>
      </c>
      <c r="AC7" t="str">
        <v>U</v>
      </c>
      <c r="AD7" t="str">
        <v>U</v>
      </c>
      <c r="AE7" t="str">
        <v>U</v>
      </c>
      <c r="AF7" t="str">
        <v>U</v>
      </c>
      <c r="AG7" t="str">
        <v>U</v>
      </c>
      <c r="AH7">
        <v>28</v>
      </c>
      <c r="AI7">
        <v>20</v>
      </c>
      <c r="AJ7">
        <v>48</v>
      </c>
      <c r="AK7">
        <v>60</v>
      </c>
    </row>
    <row r="8" spans="1:37" x14ac:dyDescent="0.3">
      <c r="A8">
        <v>7</v>
      </c>
      <c r="B8">
        <v>2010992009</v>
      </c>
      <c r="C8" t="str">
        <v>RIYA</v>
      </c>
      <c r="D8">
        <v>0</v>
      </c>
      <c r="E8" t="str">
        <v>EC112</v>
      </c>
      <c r="F8" t="str">
        <v>Network Analysis and Synthesis</v>
      </c>
      <c r="G8" t="str">
        <v>Theory</v>
      </c>
      <c r="H8" t="str">
        <v>B.E</v>
      </c>
      <c r="I8" t="str">
        <v>ECE</v>
      </c>
      <c r="J8">
        <v>2020</v>
      </c>
      <c r="K8">
        <v>3</v>
      </c>
      <c r="L8" t="str">
        <v>ETE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  <c r="V8" t="str">
        <v>U</v>
      </c>
      <c r="W8" t="str">
        <v>U</v>
      </c>
      <c r="X8" t="str">
        <v>U</v>
      </c>
      <c r="Y8" t="str">
        <v>U</v>
      </c>
      <c r="Z8" t="str">
        <v>U</v>
      </c>
      <c r="AA8" t="str">
        <v>U</v>
      </c>
      <c r="AB8" t="str">
        <v>U</v>
      </c>
      <c r="AC8" t="str">
        <v>U</v>
      </c>
      <c r="AD8" t="str">
        <v>U</v>
      </c>
      <c r="AE8" t="str">
        <v>U</v>
      </c>
      <c r="AF8" t="str">
        <v>U</v>
      </c>
      <c r="AG8" t="str">
        <v>U</v>
      </c>
      <c r="AH8">
        <v>22</v>
      </c>
      <c r="AI8">
        <v>28</v>
      </c>
      <c r="AJ8">
        <v>50</v>
      </c>
      <c r="AK8">
        <v>60</v>
      </c>
    </row>
    <row r="9" spans="1:37" x14ac:dyDescent="0.3">
      <c r="A9">
        <v>8</v>
      </c>
      <c r="B9">
        <v>2010992010</v>
      </c>
      <c r="C9" t="str">
        <v>RISHABH TANDON</v>
      </c>
      <c r="D9">
        <v>0</v>
      </c>
      <c r="E9" t="str">
        <v>EC112</v>
      </c>
      <c r="F9" t="str">
        <v>Network Analysis and Synthesis</v>
      </c>
      <c r="G9" t="str">
        <v>Theory</v>
      </c>
      <c r="H9" t="str">
        <v>B.E</v>
      </c>
      <c r="I9" t="str">
        <v>ECE</v>
      </c>
      <c r="J9">
        <v>2020</v>
      </c>
      <c r="K9">
        <v>3</v>
      </c>
      <c r="L9" t="str">
        <v>ETE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  <c r="V9" t="str">
        <v>U</v>
      </c>
      <c r="W9" t="str">
        <v>U</v>
      </c>
      <c r="X9" t="str">
        <v>U</v>
      </c>
      <c r="Y9" t="str">
        <v>U</v>
      </c>
      <c r="Z9" t="str">
        <v>U</v>
      </c>
      <c r="AA9" t="str">
        <v>U</v>
      </c>
      <c r="AB9" t="str">
        <v>U</v>
      </c>
      <c r="AC9" t="str">
        <v>U</v>
      </c>
      <c r="AD9" t="str">
        <v>U</v>
      </c>
      <c r="AE9" t="str">
        <v>U</v>
      </c>
      <c r="AF9" t="str">
        <v>U</v>
      </c>
      <c r="AG9" t="str">
        <v>U</v>
      </c>
      <c r="AH9">
        <v>26</v>
      </c>
      <c r="AI9">
        <v>22</v>
      </c>
      <c r="AJ9">
        <v>48</v>
      </c>
      <c r="AK9">
        <v>60</v>
      </c>
    </row>
    <row r="10" spans="1:37" x14ac:dyDescent="0.3">
      <c r="A10">
        <v>9</v>
      </c>
      <c r="B10">
        <v>2010992011</v>
      </c>
      <c r="C10" t="str">
        <v>HEERENDRA SINGH CHAUHAN</v>
      </c>
      <c r="D10">
        <v>0</v>
      </c>
      <c r="E10" t="str">
        <v>EC112</v>
      </c>
      <c r="F10" t="str">
        <v>Network Analysis and Synthesis</v>
      </c>
      <c r="G10" t="str">
        <v>Theory</v>
      </c>
      <c r="H10" t="str">
        <v>B.E</v>
      </c>
      <c r="I10" t="str">
        <v>ECE</v>
      </c>
      <c r="J10">
        <v>2020</v>
      </c>
      <c r="K10">
        <v>3</v>
      </c>
      <c r="L10" t="str">
        <v>ETE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  <c r="V10" t="str">
        <v>U</v>
      </c>
      <c r="W10" t="str">
        <v>U</v>
      </c>
      <c r="X10" t="str">
        <v>U</v>
      </c>
      <c r="Y10" t="str">
        <v>U</v>
      </c>
      <c r="Z10" t="str">
        <v>U</v>
      </c>
      <c r="AA10" t="str">
        <v>U</v>
      </c>
      <c r="AB10" t="str">
        <v>U</v>
      </c>
      <c r="AC10" t="str">
        <v>U</v>
      </c>
      <c r="AD10" t="str">
        <v>U</v>
      </c>
      <c r="AE10" t="str">
        <v>U</v>
      </c>
      <c r="AF10" t="str">
        <v>U</v>
      </c>
      <c r="AG10" t="str">
        <v>U</v>
      </c>
      <c r="AH10">
        <v>26</v>
      </c>
      <c r="AI10">
        <v>20</v>
      </c>
      <c r="AJ10">
        <v>46</v>
      </c>
      <c r="AK10">
        <v>60</v>
      </c>
    </row>
    <row r="11" spans="1:37" x14ac:dyDescent="0.3">
      <c r="A11">
        <v>10</v>
      </c>
      <c r="B11">
        <v>2010992012</v>
      </c>
      <c r="C11" t="str">
        <v>AKSHAT</v>
      </c>
      <c r="D11">
        <v>0</v>
      </c>
      <c r="E11" t="str">
        <v>EC112</v>
      </c>
      <c r="F11" t="str">
        <v>Network Analysis and Synthesis</v>
      </c>
      <c r="G11" t="str">
        <v>Theory</v>
      </c>
      <c r="H11" t="str">
        <v>B.E</v>
      </c>
      <c r="I11" t="str">
        <v>ECE</v>
      </c>
      <c r="J11">
        <v>2020</v>
      </c>
      <c r="K11">
        <v>3</v>
      </c>
      <c r="L11" t="str">
        <v>ETE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 t="str">
        <v>U</v>
      </c>
      <c r="S11" t="str">
        <v>U</v>
      </c>
      <c r="T11" t="str">
        <v>U</v>
      </c>
      <c r="U11" t="str">
        <v>U</v>
      </c>
      <c r="V11" t="str">
        <v>U</v>
      </c>
      <c r="W11" t="str">
        <v>U</v>
      </c>
      <c r="X11" t="str">
        <v>U</v>
      </c>
      <c r="Y11" t="str">
        <v>U</v>
      </c>
      <c r="Z11" t="str">
        <v>U</v>
      </c>
      <c r="AA11" t="str">
        <v>U</v>
      </c>
      <c r="AB11" t="str">
        <v>U</v>
      </c>
      <c r="AC11" t="str">
        <v>U</v>
      </c>
      <c r="AD11" t="str">
        <v>U</v>
      </c>
      <c r="AE11" t="str">
        <v>U</v>
      </c>
      <c r="AF11" t="str">
        <v>U</v>
      </c>
      <c r="AG11" t="str">
        <v>U</v>
      </c>
      <c r="AH11">
        <v>23</v>
      </c>
      <c r="AI11">
        <v>18</v>
      </c>
      <c r="AJ11">
        <v>41</v>
      </c>
      <c r="AK11">
        <v>60</v>
      </c>
    </row>
    <row r="12" spans="1:37" x14ac:dyDescent="0.3">
      <c r="A12">
        <v>11</v>
      </c>
      <c r="B12">
        <v>2010992014</v>
      </c>
      <c r="C12" t="str">
        <v>HARSHIT CHAHAL</v>
      </c>
      <c r="D12">
        <v>0</v>
      </c>
      <c r="E12" t="str">
        <v>EC112</v>
      </c>
      <c r="F12" t="str">
        <v>Network Analysis and Synthesis</v>
      </c>
      <c r="G12" t="str">
        <v>Theory</v>
      </c>
      <c r="H12" t="str">
        <v>B.E</v>
      </c>
      <c r="I12" t="str">
        <v>ECE</v>
      </c>
      <c r="J12">
        <v>2020</v>
      </c>
      <c r="K12">
        <v>3</v>
      </c>
      <c r="L12" t="str">
        <v>ETE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  <c r="V12" t="str">
        <v>U</v>
      </c>
      <c r="W12" t="str">
        <v>U</v>
      </c>
      <c r="X12" t="str">
        <v>U</v>
      </c>
      <c r="Y12" t="str">
        <v>U</v>
      </c>
      <c r="Z12" t="str">
        <v>U</v>
      </c>
      <c r="AA12" t="str">
        <v>U</v>
      </c>
      <c r="AB12" t="str">
        <v>U</v>
      </c>
      <c r="AC12" t="str">
        <v>U</v>
      </c>
      <c r="AD12" t="str">
        <v>U</v>
      </c>
      <c r="AE12" t="str">
        <v>U</v>
      </c>
      <c r="AF12" t="str">
        <v>U</v>
      </c>
      <c r="AG12" t="str">
        <v>U</v>
      </c>
      <c r="AH12">
        <v>26</v>
      </c>
      <c r="AI12">
        <v>22</v>
      </c>
      <c r="AJ12">
        <v>48</v>
      </c>
      <c r="AK12">
        <v>60</v>
      </c>
    </row>
    <row r="13" spans="1:37" x14ac:dyDescent="0.3">
      <c r="A13">
        <v>12</v>
      </c>
      <c r="B13">
        <v>2010992015</v>
      </c>
      <c r="C13" t="str">
        <v>URVANSH NAHATA</v>
      </c>
      <c r="D13">
        <v>0</v>
      </c>
      <c r="E13" t="str">
        <v>EC112</v>
      </c>
      <c r="F13" t="str">
        <v>Network Analysis and Synthesis</v>
      </c>
      <c r="G13" t="str">
        <v>Theory</v>
      </c>
      <c r="H13" t="str">
        <v>B.E</v>
      </c>
      <c r="I13" t="str">
        <v>ECE</v>
      </c>
      <c r="J13">
        <v>2020</v>
      </c>
      <c r="K13">
        <v>3</v>
      </c>
      <c r="L13" t="str">
        <v>ETE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 t="str">
        <v>U</v>
      </c>
      <c r="S13" t="str">
        <v>U</v>
      </c>
      <c r="T13" t="str">
        <v>U</v>
      </c>
      <c r="U13" t="str">
        <v>U</v>
      </c>
      <c r="V13" t="str">
        <v>U</v>
      </c>
      <c r="W13" t="str">
        <v>U</v>
      </c>
      <c r="X13" t="str">
        <v>U</v>
      </c>
      <c r="Y13" t="str">
        <v>U</v>
      </c>
      <c r="Z13" t="str">
        <v>U</v>
      </c>
      <c r="AA13" t="str">
        <v>U</v>
      </c>
      <c r="AB13" t="str">
        <v>U</v>
      </c>
      <c r="AC13" t="str">
        <v>U</v>
      </c>
      <c r="AD13" t="str">
        <v>U</v>
      </c>
      <c r="AE13" t="str">
        <v>U</v>
      </c>
      <c r="AF13" t="str">
        <v>U</v>
      </c>
      <c r="AG13" t="str">
        <v>U</v>
      </c>
      <c r="AH13">
        <v>20</v>
      </c>
      <c r="AI13">
        <v>18</v>
      </c>
      <c r="AJ13">
        <v>38</v>
      </c>
      <c r="AK13">
        <v>60</v>
      </c>
    </row>
    <row r="14" spans="1:37" x14ac:dyDescent="0.3">
      <c r="A14">
        <v>13</v>
      </c>
      <c r="B14">
        <v>2010992016</v>
      </c>
      <c r="C14" t="str">
        <v>VARUN</v>
      </c>
      <c r="D14">
        <v>0</v>
      </c>
      <c r="E14" t="str">
        <v>EC112</v>
      </c>
      <c r="F14" t="str">
        <v>Network Analysis and Synthesis</v>
      </c>
      <c r="G14" t="str">
        <v>Theory</v>
      </c>
      <c r="H14" t="str">
        <v>B.E</v>
      </c>
      <c r="I14" t="str">
        <v>ECE</v>
      </c>
      <c r="J14">
        <v>2020</v>
      </c>
      <c r="K14">
        <v>3</v>
      </c>
      <c r="L14" t="str">
        <v>ETE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 t="str">
        <v>U</v>
      </c>
      <c r="S14" t="str">
        <v>U</v>
      </c>
      <c r="T14" t="str">
        <v>U</v>
      </c>
      <c r="U14" t="str">
        <v>U</v>
      </c>
      <c r="V14" t="str">
        <v>U</v>
      </c>
      <c r="W14" t="str">
        <v>U</v>
      </c>
      <c r="X14" t="str">
        <v>U</v>
      </c>
      <c r="Y14" t="str">
        <v>U</v>
      </c>
      <c r="Z14" t="str">
        <v>U</v>
      </c>
      <c r="AA14" t="str">
        <v>U</v>
      </c>
      <c r="AB14" t="str">
        <v>U</v>
      </c>
      <c r="AC14" t="str">
        <v>U</v>
      </c>
      <c r="AD14" t="str">
        <v>U</v>
      </c>
      <c r="AE14" t="str">
        <v>U</v>
      </c>
      <c r="AF14" t="str">
        <v>U</v>
      </c>
      <c r="AG14" t="str">
        <v>U</v>
      </c>
      <c r="AH14">
        <v>28</v>
      </c>
      <c r="AI14">
        <v>22</v>
      </c>
      <c r="AJ14">
        <v>50</v>
      </c>
      <c r="AK14">
        <v>60</v>
      </c>
    </row>
    <row r="15" spans="1:37" x14ac:dyDescent="0.3">
      <c r="A15">
        <v>14</v>
      </c>
      <c r="B15">
        <v>2010992017</v>
      </c>
      <c r="C15" t="str">
        <v>MRIDUL AGGARWAL</v>
      </c>
      <c r="D15">
        <v>0</v>
      </c>
      <c r="E15" t="str">
        <v>EC112</v>
      </c>
      <c r="F15" t="str">
        <v>Network Analysis and Synthesis</v>
      </c>
      <c r="G15" t="str">
        <v>Theory</v>
      </c>
      <c r="H15" t="str">
        <v>B.E</v>
      </c>
      <c r="I15" t="str">
        <v>ECE</v>
      </c>
      <c r="J15">
        <v>2020</v>
      </c>
      <c r="K15">
        <v>3</v>
      </c>
      <c r="L15" t="str">
        <v>ETE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  <c r="V15" t="str">
        <v>U</v>
      </c>
      <c r="W15" t="str">
        <v>U</v>
      </c>
      <c r="X15" t="str">
        <v>U</v>
      </c>
      <c r="Y15" t="str">
        <v>U</v>
      </c>
      <c r="Z15" t="str">
        <v>U</v>
      </c>
      <c r="AA15" t="str">
        <v>U</v>
      </c>
      <c r="AB15" t="str">
        <v>U</v>
      </c>
      <c r="AC15" t="str">
        <v>U</v>
      </c>
      <c r="AD15" t="str">
        <v>U</v>
      </c>
      <c r="AE15" t="str">
        <v>U</v>
      </c>
      <c r="AF15" t="str">
        <v>U</v>
      </c>
      <c r="AG15" t="str">
        <v>U</v>
      </c>
      <c r="AH15">
        <v>26</v>
      </c>
      <c r="AI15">
        <v>24</v>
      </c>
      <c r="AJ15">
        <v>50</v>
      </c>
      <c r="AK15">
        <v>60</v>
      </c>
    </row>
    <row r="16" spans="1:37" x14ac:dyDescent="0.3">
      <c r="A16">
        <v>15</v>
      </c>
      <c r="B16">
        <v>2010992018</v>
      </c>
      <c r="C16" t="str">
        <v>SHAKSHI SINGH</v>
      </c>
      <c r="D16">
        <v>0</v>
      </c>
      <c r="E16" t="str">
        <v>EC112</v>
      </c>
      <c r="F16" t="str">
        <v>Network Analysis and Synthesis</v>
      </c>
      <c r="G16" t="str">
        <v>Theory</v>
      </c>
      <c r="H16" t="str">
        <v>B.E</v>
      </c>
      <c r="I16" t="str">
        <v>ECE</v>
      </c>
      <c r="J16">
        <v>2020</v>
      </c>
      <c r="K16">
        <v>3</v>
      </c>
      <c r="L16" t="str">
        <v>ETE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 t="str">
        <v>U</v>
      </c>
      <c r="S16" t="str">
        <v>U</v>
      </c>
      <c r="T16" t="str">
        <v>U</v>
      </c>
      <c r="U16" t="str">
        <v>U</v>
      </c>
      <c r="V16" t="str">
        <v>U</v>
      </c>
      <c r="W16" t="str">
        <v>U</v>
      </c>
      <c r="X16" t="str">
        <v>U</v>
      </c>
      <c r="Y16" t="str">
        <v>U</v>
      </c>
      <c r="Z16" t="str">
        <v>U</v>
      </c>
      <c r="AA16" t="str">
        <v>U</v>
      </c>
      <c r="AB16" t="str">
        <v>U</v>
      </c>
      <c r="AC16" t="str">
        <v>U</v>
      </c>
      <c r="AD16" t="str">
        <v>U</v>
      </c>
      <c r="AE16" t="str">
        <v>U</v>
      </c>
      <c r="AF16" t="str">
        <v>U</v>
      </c>
      <c r="AG16" t="str">
        <v>U</v>
      </c>
      <c r="AH16">
        <v>29</v>
      </c>
      <c r="AI16">
        <v>22</v>
      </c>
      <c r="AJ16">
        <v>51</v>
      </c>
      <c r="AK16">
        <v>60</v>
      </c>
    </row>
    <row r="17" spans="1:37" x14ac:dyDescent="0.3">
      <c r="A17">
        <v>16</v>
      </c>
      <c r="B17">
        <v>2010992019</v>
      </c>
      <c r="C17" t="str">
        <v>KHAN MUBASHIR RASOOL</v>
      </c>
      <c r="D17">
        <v>0</v>
      </c>
      <c r="E17" t="str">
        <v>EC112</v>
      </c>
      <c r="F17" t="str">
        <v>Network Analysis and Synthesis</v>
      </c>
      <c r="G17" t="str">
        <v>Theory</v>
      </c>
      <c r="H17" t="str">
        <v>B.E</v>
      </c>
      <c r="I17" t="str">
        <v>ECE</v>
      </c>
      <c r="J17">
        <v>2020</v>
      </c>
      <c r="K17">
        <v>3</v>
      </c>
      <c r="L17" t="str">
        <v>ETE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  <c r="V17" t="str">
        <v>U</v>
      </c>
      <c r="W17" t="str">
        <v>U</v>
      </c>
      <c r="X17" t="str">
        <v>U</v>
      </c>
      <c r="Y17" t="str">
        <v>U</v>
      </c>
      <c r="Z17" t="str">
        <v>U</v>
      </c>
      <c r="AA17" t="str">
        <v>U</v>
      </c>
      <c r="AB17" t="str">
        <v>U</v>
      </c>
      <c r="AC17" t="str">
        <v>U</v>
      </c>
      <c r="AD17" t="str">
        <v>U</v>
      </c>
      <c r="AE17" t="str">
        <v>U</v>
      </c>
      <c r="AF17" t="str">
        <v>U</v>
      </c>
      <c r="AG17" t="str">
        <v>U</v>
      </c>
      <c r="AH17">
        <v>26</v>
      </c>
      <c r="AI17">
        <v>24</v>
      </c>
      <c r="AJ17">
        <v>50</v>
      </c>
      <c r="AK17">
        <v>60</v>
      </c>
    </row>
    <row r="18" spans="1:37" x14ac:dyDescent="0.3">
      <c r="A18">
        <v>17</v>
      </c>
      <c r="B18">
        <v>2010992163</v>
      </c>
      <c r="C18" t="str">
        <v>TAMANA SIAG</v>
      </c>
      <c r="D18">
        <v>0</v>
      </c>
      <c r="E18" t="str">
        <v>EC112</v>
      </c>
      <c r="F18" t="str">
        <v>Network Analysis and Synthesis</v>
      </c>
      <c r="G18" t="str">
        <v>Theory</v>
      </c>
      <c r="H18" t="str">
        <v>B.E</v>
      </c>
      <c r="I18" t="str">
        <v>ECE</v>
      </c>
      <c r="J18">
        <v>2020</v>
      </c>
      <c r="K18">
        <v>3</v>
      </c>
      <c r="L18" t="str">
        <v>ETE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 t="str">
        <v>U</v>
      </c>
      <c r="S18" t="str">
        <v>U</v>
      </c>
      <c r="T18" t="str">
        <v>U</v>
      </c>
      <c r="U18" t="str">
        <v>U</v>
      </c>
      <c r="V18" t="str">
        <v>U</v>
      </c>
      <c r="W18" t="str">
        <v>U</v>
      </c>
      <c r="X18" t="str">
        <v>U</v>
      </c>
      <c r="Y18" t="str">
        <v>U</v>
      </c>
      <c r="Z18" t="str">
        <v>U</v>
      </c>
      <c r="AA18" t="str">
        <v>U</v>
      </c>
      <c r="AB18" t="str">
        <v>U</v>
      </c>
      <c r="AC18" t="str">
        <v>U</v>
      </c>
      <c r="AD18" t="str">
        <v>U</v>
      </c>
      <c r="AE18" t="str">
        <v>U</v>
      </c>
      <c r="AF18" t="str">
        <v>U</v>
      </c>
      <c r="AG18" t="str">
        <v>U</v>
      </c>
      <c r="AH18">
        <v>19</v>
      </c>
      <c r="AI18">
        <v>22</v>
      </c>
      <c r="AJ18">
        <v>41</v>
      </c>
      <c r="AK18">
        <v>60</v>
      </c>
    </row>
    <row r="19" spans="1:37" x14ac:dyDescent="0.3">
      <c r="A19">
        <v>18</v>
      </c>
      <c r="B19">
        <v>2010992202</v>
      </c>
      <c r="C19" t="str">
        <v>EKAMJOT SINGH MAINGI</v>
      </c>
      <c r="D19">
        <v>0</v>
      </c>
      <c r="E19" t="str">
        <v>EC112</v>
      </c>
      <c r="F19" t="str">
        <v>Network Analysis and Synthesis</v>
      </c>
      <c r="G19" t="str">
        <v>Theory</v>
      </c>
      <c r="H19" t="str">
        <v>B.E</v>
      </c>
      <c r="I19" t="str">
        <v>ECE</v>
      </c>
      <c r="J19">
        <v>2020</v>
      </c>
      <c r="K19">
        <v>3</v>
      </c>
      <c r="L19" t="str">
        <v>ETE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 t="str">
        <v>U</v>
      </c>
      <c r="S19" t="str">
        <v>U</v>
      </c>
      <c r="T19" t="str">
        <v>U</v>
      </c>
      <c r="U19" t="str">
        <v>U</v>
      </c>
      <c r="V19" t="str">
        <v>U</v>
      </c>
      <c r="W19" t="str">
        <v>U</v>
      </c>
      <c r="X19" t="str">
        <v>U</v>
      </c>
      <c r="Y19" t="str">
        <v>U</v>
      </c>
      <c r="Z19" t="str">
        <v>U</v>
      </c>
      <c r="AA19" t="str">
        <v>U</v>
      </c>
      <c r="AB19" t="str">
        <v>U</v>
      </c>
      <c r="AC19" t="str">
        <v>U</v>
      </c>
      <c r="AD19" t="str">
        <v>U</v>
      </c>
      <c r="AE19" t="str">
        <v>U</v>
      </c>
      <c r="AF19" t="str">
        <v>U</v>
      </c>
      <c r="AG19" t="str">
        <v>U</v>
      </c>
      <c r="AH19">
        <v>27</v>
      </c>
      <c r="AI19">
        <v>20</v>
      </c>
      <c r="AJ19">
        <v>47</v>
      </c>
      <c r="AK19">
        <v>60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A9E3-7E72-44D8-BC79-7679ACA2B482}">
  <sheetPr codeName="Sheet21"/>
  <dimension ref="A1:X19"/>
  <sheetViews>
    <sheetView topLeftCell="C1" workbookViewId="0"/>
  </sheetViews>
  <sheetFormatPr defaultRowHeight="14.4" x14ac:dyDescent="0.3"/>
  <cols>
    <col min="1" max="1" width="11" bestFit="1" customWidth="1"/>
    <col min="17" max="17" width="10.33203125" bestFit="1" customWidth="1"/>
  </cols>
  <sheetData>
    <row r="1" spans="1:24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B19">INDEX('ETE Result'!M:M, 1):INDEX('ETE Result'!M:M, COUNTA('ETE Result'!M:M) )</f>
        <v>1a</v>
      </c>
      <c r="C1" t="str" cm="1">
        <f t="array" ref="C1:C19">INDEX('ETE Result'!N:N, 1):INDEX('ETE Result'!N:N, COUNTA('ETE Result'!N:N) )</f>
        <v>1b</v>
      </c>
      <c r="D1" t="str" cm="1">
        <f t="array" ref="D1:D19">INDEX('ETE Result'!O:O, 1):INDEX('ETE Result'!O:O, COUNTA('ETE Result'!O:O) )</f>
        <v>1c</v>
      </c>
      <c r="E1" t="str" cm="1">
        <f t="array" ref="E1:E19">INDEX('ETE Result'!P:P, 1):INDEX('ETE Result'!P:P, COUNTA('ETE Result'!P:P) )</f>
        <v>1d</v>
      </c>
      <c r="F1" t="str" cm="1">
        <f t="array" ref="F1:F19">INDEX('ETE Result'!Q:Q, 1):INDEX('ETE Result'!Q:Q, COUNTA('ETE Result'!Q:Q) )</f>
        <v>1e</v>
      </c>
      <c r="G1" t="str" cm="1">
        <f t="array" ref="G1:G19">INDEX('ETE Result'!R:R, 1):INDEX('ETE Result'!R:R, COUNTA('ETE Result'!R:R) )</f>
        <v>Q2</v>
      </c>
      <c r="H1" t="str" cm="1">
        <f t="array" ref="H1:H19">INDEX('ETE Result'!S:S, 1):INDEX('ETE Result'!S:S, COUNTA('ETE Result'!S:S) )</f>
        <v>Q3</v>
      </c>
      <c r="I1" t="str" cm="1">
        <f t="array" ref="I1:I19">INDEX('ETE Result'!T:T, 1):INDEX('ETE Result'!T:T, COUNTA('ETE Result'!T:T) )</f>
        <v>Q4</v>
      </c>
      <c r="J1" t="str" cm="1">
        <f t="array" ref="J1:J19">INDEX('ETE Result'!U:U, 1):INDEX('ETE Result'!U:U, COUNTA('ETE Result'!U:U) )</f>
        <v>Q5</v>
      </c>
      <c r="K1" t="str" cm="1">
        <f t="array" ref="K1:K19">INDEX('ETE Result'!V:V, 1):INDEX('ETE Result'!V:V, COUNTA('ETE Result'!V:V) )</f>
        <v>Q6</v>
      </c>
      <c r="L1" t="str" cm="1">
        <f t="array" ref="L1:L19">INDEX('ETE Result'!W:W, 1):INDEX('ETE Result'!W:W, COUNTA('ETE Result'!W:W) )</f>
        <v>Q7</v>
      </c>
      <c r="M1" t="str" cm="1">
        <f t="array" ref="M1:M19">INDEX('ETE Result'!X:X, 1):INDEX('ETE Result'!X:X, COUNTA('ETE Result'!X:X) )</f>
        <v>Q8</v>
      </c>
      <c r="N1" t="str" cm="1">
        <f t="array" ref="N1:N19">INDEX('ETE Result'!Y:Y, 1):INDEX('ETE Result'!Y:Y, COUNTA('ETE Result'!Y:Y) )</f>
        <v>Q9</v>
      </c>
      <c r="O1" t="str" cm="1">
        <f t="array" ref="O1:O19">INDEX('ETE Result'!Z:Z, 1):INDEX('ETE Result'!Z:Z, COUNTA('ETE Result'!Z:Z) )</f>
        <v>Q10</v>
      </c>
      <c r="P1" t="str" cm="1">
        <f t="array" ref="P1:P19">INDEX('ETE Result'!AA:AA, 1):INDEX('ETE Result'!AA:AA, COUNTA('ETE Result'!AA:AA) )</f>
        <v>Q11</v>
      </c>
      <c r="Q1" t="str" cm="1">
        <f t="array" ref="Q1:Q19">INDEX('ETE Result'!AB:AB, 1):INDEX('ETE Result'!AB:AB, COUNTA('ETE Result'!AB:AB) )</f>
        <v>Q12</v>
      </c>
      <c r="R1" t="str" cm="1">
        <f t="array" ref="R1:R19">INDEX('ETE Result'!AC:AC, 1):INDEX('ETE Result'!AC:AC, COUNTA('ETE Result'!AC:AC) )</f>
        <v>Q13</v>
      </c>
      <c r="S1" t="str" cm="1">
        <f t="array" ref="S1:S19">INDEX('ETE Result'!AD:AD, 1):INDEX('ETE Result'!AD:AD, COUNTA('ETE Result'!AD:AD) )</f>
        <v>Q14</v>
      </c>
      <c r="T1" t="str" cm="1">
        <f t="array" ref="T1:T19">INDEX('ETE Result'!AE:AE, 1):INDEX('ETE Result'!AE:AE, COUNTA('ETE Result'!AE:AE) )</f>
        <v>Q15</v>
      </c>
      <c r="U1" t="str" cm="1">
        <f t="array" ref="U1:U19">INDEX('ETE Result'!AF:AF, 1):INDEX('ETE Result'!AF:AF, COUNTA('ETE Result'!AF:AF) )</f>
        <v>Q16</v>
      </c>
      <c r="V1" t="str" cm="1">
        <f t="array" ref="V1:V19">INDEX('ETE Result'!AG:AG, 1):INDEX('ETE Result'!AG:AG, COUNTA('ETE Result'!AG:AG) )</f>
        <v>Assignment</v>
      </c>
      <c r="W1" t="str" cm="1">
        <f t="array" ref="W1:W19">INDEX('ETE Result'!AH:AH, 1):INDEX('ETE Result'!AH:AH, COUNTA('ETE Result'!AH:AH) )</f>
        <v>FA1</v>
      </c>
      <c r="X1" t="str" cm="1">
        <f t="array" ref="X1:X19">INDEX('ETE Result'!AI:AI, 1):INDEX('ETE Result'!AI:AI, COUNTA('ETE Result'!AI:AI) )</f>
        <v>FA2</v>
      </c>
    </row>
    <row r="2" spans="1:24" x14ac:dyDescent="0.3">
      <c r="A2">
        <v>2010990089</v>
      </c>
      <c r="B2" t="str">
        <v>U</v>
      </c>
      <c r="C2" t="str">
        <v>U</v>
      </c>
      <c r="D2" t="str">
        <v>U</v>
      </c>
      <c r="E2" t="str">
        <v>U</v>
      </c>
      <c r="F2" t="str">
        <v>U</v>
      </c>
      <c r="G2" t="str">
        <v>U</v>
      </c>
      <c r="H2" t="str">
        <v>U</v>
      </c>
      <c r="I2" t="str">
        <v>U</v>
      </c>
      <c r="J2" t="str">
        <v>U</v>
      </c>
      <c r="K2" t="str">
        <v>U</v>
      </c>
      <c r="L2" t="str">
        <v>U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 t="str">
        <v>U</v>
      </c>
      <c r="S2" t="str">
        <v>U</v>
      </c>
      <c r="T2" t="str">
        <v>U</v>
      </c>
      <c r="U2" t="str">
        <v>U</v>
      </c>
      <c r="V2" t="str">
        <v>U</v>
      </c>
      <c r="W2">
        <v>25</v>
      </c>
      <c r="X2">
        <v>20</v>
      </c>
    </row>
    <row r="3" spans="1:24" x14ac:dyDescent="0.3">
      <c r="A3">
        <v>2010992002</v>
      </c>
      <c r="B3" t="str">
        <v>U</v>
      </c>
      <c r="C3" t="str">
        <v>U</v>
      </c>
      <c r="D3" t="str">
        <v>U</v>
      </c>
      <c r="E3" t="str">
        <v>U</v>
      </c>
      <c r="F3" t="str">
        <v>U</v>
      </c>
      <c r="G3" t="str">
        <v>U</v>
      </c>
      <c r="H3" t="str">
        <v>U</v>
      </c>
      <c r="I3" t="str">
        <v>U</v>
      </c>
      <c r="J3" t="str">
        <v>U</v>
      </c>
      <c r="K3" t="str">
        <v>U</v>
      </c>
      <c r="L3" t="str">
        <v>U</v>
      </c>
      <c r="M3" t="str">
        <v>U</v>
      </c>
      <c r="N3" t="str">
        <v>U</v>
      </c>
      <c r="O3" t="str">
        <v>U</v>
      </c>
      <c r="P3" t="str">
        <v>U</v>
      </c>
      <c r="Q3" t="str">
        <v>U</v>
      </c>
      <c r="R3" t="str">
        <v>U</v>
      </c>
      <c r="S3" t="str">
        <v>U</v>
      </c>
      <c r="T3" t="str">
        <v>U</v>
      </c>
      <c r="U3" t="str">
        <v>U</v>
      </c>
      <c r="V3" t="str">
        <v>U</v>
      </c>
      <c r="W3">
        <v>25</v>
      </c>
      <c r="X3">
        <v>22</v>
      </c>
    </row>
    <row r="4" spans="1:24" x14ac:dyDescent="0.3">
      <c r="A4">
        <v>2010992004</v>
      </c>
      <c r="B4" t="str">
        <v>U</v>
      </c>
      <c r="C4" t="str">
        <v>U</v>
      </c>
      <c r="D4" t="str">
        <v>U</v>
      </c>
      <c r="E4" t="str">
        <v>U</v>
      </c>
      <c r="F4" t="str">
        <v>U</v>
      </c>
      <c r="G4" t="str">
        <v>U</v>
      </c>
      <c r="H4" t="str">
        <v>U</v>
      </c>
      <c r="I4" t="str">
        <v>U</v>
      </c>
      <c r="J4" t="str">
        <v>U</v>
      </c>
      <c r="K4" t="str">
        <v>U</v>
      </c>
      <c r="L4" t="str">
        <v>U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  <c r="V4" t="str">
        <v>U</v>
      </c>
      <c r="W4">
        <v>26</v>
      </c>
      <c r="X4">
        <v>20</v>
      </c>
    </row>
    <row r="5" spans="1:24" x14ac:dyDescent="0.3">
      <c r="A5">
        <v>2010992005</v>
      </c>
      <c r="B5" t="str">
        <v>U</v>
      </c>
      <c r="C5" t="str">
        <v>U</v>
      </c>
      <c r="D5" t="str">
        <v>U</v>
      </c>
      <c r="E5" t="str">
        <v>U</v>
      </c>
      <c r="F5" t="str">
        <v>U</v>
      </c>
      <c r="G5" t="str">
        <v>U</v>
      </c>
      <c r="H5" t="str">
        <v>U</v>
      </c>
      <c r="I5" t="str">
        <v>U</v>
      </c>
      <c r="J5" t="str">
        <v>U</v>
      </c>
      <c r="K5" t="str">
        <v>U</v>
      </c>
      <c r="L5" t="str">
        <v>U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  <c r="V5" t="str">
        <v>U</v>
      </c>
      <c r="W5">
        <v>25</v>
      </c>
      <c r="X5">
        <v>18</v>
      </c>
    </row>
    <row r="6" spans="1:24" x14ac:dyDescent="0.3">
      <c r="A6">
        <v>2010992006</v>
      </c>
      <c r="B6" t="str">
        <v>U</v>
      </c>
      <c r="C6" t="str">
        <v>U</v>
      </c>
      <c r="D6" t="str">
        <v>U</v>
      </c>
      <c r="E6" t="str">
        <v>U</v>
      </c>
      <c r="F6" t="str">
        <v>U</v>
      </c>
      <c r="G6" t="str">
        <v>U</v>
      </c>
      <c r="H6" t="str">
        <v>U</v>
      </c>
      <c r="I6" t="str">
        <v>U</v>
      </c>
      <c r="J6" t="str">
        <v>U</v>
      </c>
      <c r="K6" t="str">
        <v>U</v>
      </c>
      <c r="L6" t="str">
        <v>U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  <c r="V6" t="str">
        <v>U</v>
      </c>
      <c r="W6">
        <v>26</v>
      </c>
      <c r="X6">
        <v>22</v>
      </c>
    </row>
    <row r="7" spans="1:24" x14ac:dyDescent="0.3">
      <c r="A7">
        <v>2010992008</v>
      </c>
      <c r="B7" t="str">
        <v>U</v>
      </c>
      <c r="C7" t="str">
        <v>U</v>
      </c>
      <c r="D7" t="str">
        <v>U</v>
      </c>
      <c r="E7" t="str">
        <v>U</v>
      </c>
      <c r="F7" t="str">
        <v>U</v>
      </c>
      <c r="G7" t="str">
        <v>U</v>
      </c>
      <c r="H7" t="str">
        <v>U</v>
      </c>
      <c r="I7" t="str">
        <v>U</v>
      </c>
      <c r="J7" t="str">
        <v>U</v>
      </c>
      <c r="K7" t="str">
        <v>U</v>
      </c>
      <c r="L7" t="str">
        <v>U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>
        <v>28</v>
      </c>
      <c r="X7">
        <v>20</v>
      </c>
    </row>
    <row r="8" spans="1:24" x14ac:dyDescent="0.3">
      <c r="A8">
        <v>2010992009</v>
      </c>
      <c r="B8" t="str">
        <v>U</v>
      </c>
      <c r="C8" t="str">
        <v>U</v>
      </c>
      <c r="D8" t="str">
        <v>U</v>
      </c>
      <c r="E8" t="str">
        <v>U</v>
      </c>
      <c r="F8" t="str">
        <v>U</v>
      </c>
      <c r="G8" t="str">
        <v>U</v>
      </c>
      <c r="H8" t="str">
        <v>U</v>
      </c>
      <c r="I8" t="str">
        <v>U</v>
      </c>
      <c r="J8" t="str">
        <v>U</v>
      </c>
      <c r="K8" t="str">
        <v>U</v>
      </c>
      <c r="L8" t="str">
        <v>U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  <c r="V8" t="str">
        <v>U</v>
      </c>
      <c r="W8">
        <v>22</v>
      </c>
      <c r="X8">
        <v>28</v>
      </c>
    </row>
    <row r="9" spans="1:24" x14ac:dyDescent="0.3">
      <c r="A9">
        <v>2010992010</v>
      </c>
      <c r="B9" t="str">
        <v>U</v>
      </c>
      <c r="C9" t="str">
        <v>U</v>
      </c>
      <c r="D9" t="str">
        <v>U</v>
      </c>
      <c r="E9" t="str">
        <v>U</v>
      </c>
      <c r="F9" t="str">
        <v>U</v>
      </c>
      <c r="G9" t="str">
        <v>U</v>
      </c>
      <c r="H9" t="str">
        <v>U</v>
      </c>
      <c r="I9" t="str">
        <v>U</v>
      </c>
      <c r="J9" t="str">
        <v>U</v>
      </c>
      <c r="K9" t="str">
        <v>U</v>
      </c>
      <c r="L9" t="str">
        <v>U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  <c r="V9" t="str">
        <v>U</v>
      </c>
      <c r="W9">
        <v>26</v>
      </c>
      <c r="X9">
        <v>22</v>
      </c>
    </row>
    <row r="10" spans="1:24" x14ac:dyDescent="0.3">
      <c r="A10">
        <v>2010992011</v>
      </c>
      <c r="B10" t="str">
        <v>U</v>
      </c>
      <c r="C10" t="str">
        <v>U</v>
      </c>
      <c r="D10" t="str">
        <v>U</v>
      </c>
      <c r="E10" t="str">
        <v>U</v>
      </c>
      <c r="F10" t="str">
        <v>U</v>
      </c>
      <c r="G10" t="str">
        <v>U</v>
      </c>
      <c r="H10" t="str">
        <v>U</v>
      </c>
      <c r="I10" t="str">
        <v>U</v>
      </c>
      <c r="J10" t="str">
        <v>U</v>
      </c>
      <c r="K10" t="str">
        <v>U</v>
      </c>
      <c r="L10" t="str">
        <v>U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  <c r="V10" t="str">
        <v>U</v>
      </c>
      <c r="W10">
        <v>26</v>
      </c>
      <c r="X10">
        <v>20</v>
      </c>
    </row>
    <row r="11" spans="1:24" x14ac:dyDescent="0.3">
      <c r="A11">
        <v>2010992012</v>
      </c>
      <c r="B11" t="str">
        <v>U</v>
      </c>
      <c r="C11" t="str">
        <v>U</v>
      </c>
      <c r="D11" t="str">
        <v>U</v>
      </c>
      <c r="E11" t="str">
        <v>U</v>
      </c>
      <c r="F11" t="str">
        <v>U</v>
      </c>
      <c r="G11" t="str">
        <v>U</v>
      </c>
      <c r="H11" t="str">
        <v>U</v>
      </c>
      <c r="I11" t="str">
        <v>U</v>
      </c>
      <c r="J11" t="str">
        <v>U</v>
      </c>
      <c r="K11" t="str">
        <v>U</v>
      </c>
      <c r="L11" t="str">
        <v>U</v>
      </c>
      <c r="M11" t="str">
        <v>U</v>
      </c>
      <c r="N11" t="str">
        <v>U</v>
      </c>
      <c r="O11" t="str">
        <v>U</v>
      </c>
      <c r="P11" t="str">
        <v>U</v>
      </c>
      <c r="Q11" t="str">
        <v>U</v>
      </c>
      <c r="R11" t="str">
        <v>U</v>
      </c>
      <c r="S11" t="str">
        <v>U</v>
      </c>
      <c r="T11" t="str">
        <v>U</v>
      </c>
      <c r="U11" t="str">
        <v>U</v>
      </c>
      <c r="V11" t="str">
        <v>U</v>
      </c>
      <c r="W11">
        <v>23</v>
      </c>
      <c r="X11">
        <v>18</v>
      </c>
    </row>
    <row r="12" spans="1:24" x14ac:dyDescent="0.3">
      <c r="A12">
        <v>2010992014</v>
      </c>
      <c r="B12" t="str">
        <v>U</v>
      </c>
      <c r="C12" t="str">
        <v>U</v>
      </c>
      <c r="D12" t="str">
        <v>U</v>
      </c>
      <c r="E12" t="str">
        <v>U</v>
      </c>
      <c r="F12" t="str">
        <v>U</v>
      </c>
      <c r="G12" t="str">
        <v>U</v>
      </c>
      <c r="H12" t="str">
        <v>U</v>
      </c>
      <c r="I12" t="str">
        <v>U</v>
      </c>
      <c r="J12" t="str">
        <v>U</v>
      </c>
      <c r="K12" t="str">
        <v>U</v>
      </c>
      <c r="L12" t="str">
        <v>U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  <c r="V12" t="str">
        <v>U</v>
      </c>
      <c r="W12">
        <v>26</v>
      </c>
      <c r="X12">
        <v>22</v>
      </c>
    </row>
    <row r="13" spans="1:24" x14ac:dyDescent="0.3">
      <c r="A13">
        <v>2010992015</v>
      </c>
      <c r="B13" t="str">
        <v>U</v>
      </c>
      <c r="C13" t="str">
        <v>U</v>
      </c>
      <c r="D13" t="str">
        <v>U</v>
      </c>
      <c r="E13" t="str">
        <v>U</v>
      </c>
      <c r="F13" t="str">
        <v>U</v>
      </c>
      <c r="G13" t="str">
        <v>U</v>
      </c>
      <c r="H13" t="str">
        <v>U</v>
      </c>
      <c r="I13" t="str">
        <v>U</v>
      </c>
      <c r="J13" t="str">
        <v>U</v>
      </c>
      <c r="K13" t="str">
        <v>U</v>
      </c>
      <c r="L13" t="str">
        <v>U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 t="str">
        <v>U</v>
      </c>
      <c r="S13" t="str">
        <v>U</v>
      </c>
      <c r="T13" t="str">
        <v>U</v>
      </c>
      <c r="U13" t="str">
        <v>U</v>
      </c>
      <c r="V13" t="str">
        <v>U</v>
      </c>
      <c r="W13">
        <v>20</v>
      </c>
      <c r="X13">
        <v>18</v>
      </c>
    </row>
    <row r="14" spans="1:24" x14ac:dyDescent="0.3">
      <c r="A14">
        <v>2010992016</v>
      </c>
      <c r="B14" t="str">
        <v>U</v>
      </c>
      <c r="C14" t="str">
        <v>U</v>
      </c>
      <c r="D14" t="str">
        <v>U</v>
      </c>
      <c r="E14" t="str">
        <v>U</v>
      </c>
      <c r="F14" t="str">
        <v>U</v>
      </c>
      <c r="G14" t="str">
        <v>U</v>
      </c>
      <c r="H14" t="str">
        <v>U</v>
      </c>
      <c r="I14" t="str">
        <v>U</v>
      </c>
      <c r="J14" t="str">
        <v>U</v>
      </c>
      <c r="K14" t="str">
        <v>U</v>
      </c>
      <c r="L14" t="str">
        <v>U</v>
      </c>
      <c r="M14" t="str">
        <v>U</v>
      </c>
      <c r="N14" t="str">
        <v>U</v>
      </c>
      <c r="O14" t="str">
        <v>U</v>
      </c>
      <c r="P14" t="str">
        <v>U</v>
      </c>
      <c r="Q14" t="str">
        <v>U</v>
      </c>
      <c r="R14" t="str">
        <v>U</v>
      </c>
      <c r="S14" t="str">
        <v>U</v>
      </c>
      <c r="T14" t="str">
        <v>U</v>
      </c>
      <c r="U14" t="str">
        <v>U</v>
      </c>
      <c r="V14" t="str">
        <v>U</v>
      </c>
      <c r="W14">
        <v>28</v>
      </c>
      <c r="X14">
        <v>22</v>
      </c>
    </row>
    <row r="15" spans="1:24" x14ac:dyDescent="0.3">
      <c r="A15">
        <v>2010992017</v>
      </c>
      <c r="B15" t="str">
        <v>U</v>
      </c>
      <c r="C15" t="str">
        <v>U</v>
      </c>
      <c r="D15" t="str">
        <v>U</v>
      </c>
      <c r="E15" t="str">
        <v>U</v>
      </c>
      <c r="F15" t="str">
        <v>U</v>
      </c>
      <c r="G15" t="str">
        <v>U</v>
      </c>
      <c r="H15" t="str">
        <v>U</v>
      </c>
      <c r="I15" t="str">
        <v>U</v>
      </c>
      <c r="J15" t="str">
        <v>U</v>
      </c>
      <c r="K15" t="str">
        <v>U</v>
      </c>
      <c r="L15" t="str">
        <v>U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  <c r="V15" t="str">
        <v>U</v>
      </c>
      <c r="W15">
        <v>26</v>
      </c>
      <c r="X15">
        <v>24</v>
      </c>
    </row>
    <row r="16" spans="1:24" x14ac:dyDescent="0.3">
      <c r="A16">
        <v>2010992018</v>
      </c>
      <c r="B16" t="str">
        <v>U</v>
      </c>
      <c r="C16" t="str">
        <v>U</v>
      </c>
      <c r="D16" t="str">
        <v>U</v>
      </c>
      <c r="E16" t="str">
        <v>U</v>
      </c>
      <c r="F16" t="str">
        <v>U</v>
      </c>
      <c r="G16" t="str">
        <v>U</v>
      </c>
      <c r="H16" t="str">
        <v>U</v>
      </c>
      <c r="I16" t="str">
        <v>U</v>
      </c>
      <c r="J16" t="str">
        <v>U</v>
      </c>
      <c r="K16" t="str">
        <v>U</v>
      </c>
      <c r="L16" t="str">
        <v>U</v>
      </c>
      <c r="M16" t="str">
        <v>U</v>
      </c>
      <c r="N16" t="str">
        <v>U</v>
      </c>
      <c r="O16" t="str">
        <v>U</v>
      </c>
      <c r="P16" t="str">
        <v>U</v>
      </c>
      <c r="Q16" t="str">
        <v>U</v>
      </c>
      <c r="R16" t="str">
        <v>U</v>
      </c>
      <c r="S16" t="str">
        <v>U</v>
      </c>
      <c r="T16" t="str">
        <v>U</v>
      </c>
      <c r="U16" t="str">
        <v>U</v>
      </c>
      <c r="V16" t="str">
        <v>U</v>
      </c>
      <c r="W16">
        <v>29</v>
      </c>
      <c r="X16">
        <v>22</v>
      </c>
    </row>
    <row r="17" spans="1:24" x14ac:dyDescent="0.3">
      <c r="A17">
        <v>2010992019</v>
      </c>
      <c r="B17" t="str">
        <v>U</v>
      </c>
      <c r="C17" t="str">
        <v>U</v>
      </c>
      <c r="D17" t="str">
        <v>U</v>
      </c>
      <c r="E17" t="str">
        <v>U</v>
      </c>
      <c r="F17" t="str">
        <v>U</v>
      </c>
      <c r="G17" t="str">
        <v>U</v>
      </c>
      <c r="H17" t="str">
        <v>U</v>
      </c>
      <c r="I17" t="str">
        <v>U</v>
      </c>
      <c r="J17" t="str">
        <v>U</v>
      </c>
      <c r="K17" t="str">
        <v>U</v>
      </c>
      <c r="L17" t="str">
        <v>U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  <c r="V17" t="str">
        <v>U</v>
      </c>
      <c r="W17">
        <v>26</v>
      </c>
      <c r="X17">
        <v>24</v>
      </c>
    </row>
    <row r="18" spans="1:24" x14ac:dyDescent="0.3">
      <c r="A18">
        <v>2010992163</v>
      </c>
      <c r="B18" t="str">
        <v>U</v>
      </c>
      <c r="C18" t="str">
        <v>U</v>
      </c>
      <c r="D18" t="str">
        <v>U</v>
      </c>
      <c r="E18" t="str">
        <v>U</v>
      </c>
      <c r="F18" t="str">
        <v>U</v>
      </c>
      <c r="G18" t="str">
        <v>U</v>
      </c>
      <c r="H18" t="str">
        <v>U</v>
      </c>
      <c r="I18" t="str">
        <v>U</v>
      </c>
      <c r="J18" t="str">
        <v>U</v>
      </c>
      <c r="K18" t="str">
        <v>U</v>
      </c>
      <c r="L18" t="str">
        <v>U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 t="str">
        <v>U</v>
      </c>
      <c r="S18" t="str">
        <v>U</v>
      </c>
      <c r="T18" t="str">
        <v>U</v>
      </c>
      <c r="U18" t="str">
        <v>U</v>
      </c>
      <c r="V18" t="str">
        <v>U</v>
      </c>
      <c r="W18">
        <v>19</v>
      </c>
      <c r="X18">
        <v>22</v>
      </c>
    </row>
    <row r="19" spans="1:24" x14ac:dyDescent="0.3">
      <c r="A19">
        <v>2010992202</v>
      </c>
      <c r="B19" t="str">
        <v>U</v>
      </c>
      <c r="C19" t="str">
        <v>U</v>
      </c>
      <c r="D19" t="str">
        <v>U</v>
      </c>
      <c r="E19" t="str">
        <v>U</v>
      </c>
      <c r="F19" t="str">
        <v>U</v>
      </c>
      <c r="G19" t="str">
        <v>U</v>
      </c>
      <c r="H19" t="str">
        <v>U</v>
      </c>
      <c r="I19" t="str">
        <v>U</v>
      </c>
      <c r="J19" t="str">
        <v>U</v>
      </c>
      <c r="K19" t="str">
        <v>U</v>
      </c>
      <c r="L19" t="str">
        <v>U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 t="str">
        <v>U</v>
      </c>
      <c r="S19" t="str">
        <v>U</v>
      </c>
      <c r="T19" t="str">
        <v>U</v>
      </c>
      <c r="U19" t="str">
        <v>U</v>
      </c>
      <c r="V19" t="str">
        <v>U</v>
      </c>
      <c r="W19">
        <v>27</v>
      </c>
      <c r="X19">
        <v>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BA5C-D59F-4FB1-89B9-5E75C3A9A033}">
  <sheetPr codeName="Sheet22"/>
  <dimension ref="A1:X19"/>
  <sheetViews>
    <sheetView zoomScale="85" zoomScaleNormal="85" workbookViewId="0"/>
  </sheetViews>
  <sheetFormatPr defaultRowHeight="14.4" x14ac:dyDescent="0.3"/>
  <cols>
    <col min="1" max="1" width="21" bestFit="1" customWidth="1"/>
    <col min="2" max="2" width="11.6640625" bestFit="1" customWidth="1"/>
    <col min="19" max="19" width="8.5546875" customWidth="1"/>
  </cols>
  <sheetData>
    <row r="1" spans="1:24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X1">TRANSPOSE('ETE Questions'!A2:A24)</f>
        <v>1a</v>
      </c>
      <c r="C1" t="str">
        <v>1b</v>
      </c>
      <c r="D1" t="str">
        <v>1c</v>
      </c>
      <c r="E1" t="str">
        <v>1d</v>
      </c>
      <c r="F1" t="str">
        <v>1e</v>
      </c>
      <c r="G1" t="str">
        <v>Q2</v>
      </c>
      <c r="H1" t="str">
        <v>Q3</v>
      </c>
      <c r="I1" t="str">
        <v>Q4</v>
      </c>
      <c r="J1" t="str">
        <v>Q5</v>
      </c>
      <c r="K1" t="str">
        <v>Q6</v>
      </c>
      <c r="L1" t="str">
        <v>Q7</v>
      </c>
      <c r="M1" t="str">
        <v>Q8</v>
      </c>
      <c r="N1" t="str">
        <v>Q9</v>
      </c>
      <c r="O1" t="str">
        <v>Q10</v>
      </c>
      <c r="P1" t="str">
        <v>Q11</v>
      </c>
      <c r="Q1" t="str">
        <v>Q12</v>
      </c>
      <c r="R1" t="str">
        <v>Q13</v>
      </c>
      <c r="S1" t="str">
        <v>Q14</v>
      </c>
      <c r="T1" t="str">
        <v>Q15</v>
      </c>
      <c r="U1" t="str">
        <v>Q16</v>
      </c>
      <c r="V1" t="str">
        <v>Assignment</v>
      </c>
      <c r="W1" t="str">
        <v>FA1</v>
      </c>
      <c r="X1" t="str">
        <v>FA2</v>
      </c>
    </row>
    <row r="2" spans="1:24" ht="18" customHeight="1" x14ac:dyDescent="0.3">
      <c r="A2">
        <v>2010990089</v>
      </c>
      <c r="B2" t="str" cm="1">
        <f t="array" ref="B2:B19">IF(_xlfn.XLOOKUP($A2:INDEX($A:$A,COUNTA($A:$A)),'ETE Student Marks'!$A$1:INDEX('ETE Student Marks'!$A:$A,COUNTA('ETE Student Marks'!$A:$A)),'ETE Student Marks'!B$1:INDEX('ETE Student Marks'!B:B,COUNTA('ETE Student Marks'!B:B)))="U","Unattempted",'ETE Student Marks'!B1)</f>
        <v>Unattempted</v>
      </c>
      <c r="C2" t="str" cm="1">
        <f t="array" ref="C2:C19">IF(_xlfn.XLOOKUP($A2:INDEX($A:$A,COUNTA($A:$A)),'ETE Student Marks'!$A$1:INDEX('ETE Student Marks'!$A:$A,COUNTA('ETE Student Marks'!$A:$A)),'ETE Student Marks'!C$1:INDEX('ETE Student Marks'!C:C,COUNTA('ETE Student Marks'!C:C)))="U","Unattempted",'ETE Student Marks'!C1)</f>
        <v>Unattempted</v>
      </c>
      <c r="D2" t="str" cm="1">
        <f t="array" ref="D2:D19">IF(_xlfn.XLOOKUP($A2:INDEX($A:$A,COUNTA($A:$A)),'ETE Student Marks'!$A$1:INDEX('ETE Student Marks'!$A:$A,COUNTA('ETE Student Marks'!$A:$A)),'ETE Student Marks'!D$1:INDEX('ETE Student Marks'!D:D,COUNTA('ETE Student Marks'!D:D)))="U","Unattempted",'ETE Student Marks'!D1)</f>
        <v>Unattempted</v>
      </c>
      <c r="E2" t="str" cm="1">
        <f t="array" ref="E2:E19">IF(_xlfn.XLOOKUP($A2:INDEX($A:$A,COUNTA($A:$A)),'ETE Student Marks'!$A$1:INDEX('ETE Student Marks'!$A:$A,COUNTA('ETE Student Marks'!$A:$A)),'ETE Student Marks'!E$1:INDEX('ETE Student Marks'!E:E,COUNTA('ETE Student Marks'!E:E)))="U","Unattempted",'ETE Student Marks'!E1)</f>
        <v>Unattempted</v>
      </c>
      <c r="F2" t="str" cm="1">
        <f t="array" ref="F2:F19">IF(_xlfn.XLOOKUP($A2:INDEX($A:$A,COUNTA($A:$A)),'ETE Student Marks'!$A$1:INDEX('ETE Student Marks'!$A:$A,COUNTA('ETE Student Marks'!$A:$A)),'ETE Student Marks'!F$1:INDEX('ETE Student Marks'!F:F,COUNTA('ETE Student Marks'!F:F)))="U","Unattempted",'ETE Student Marks'!F1)</f>
        <v>Unattempted</v>
      </c>
      <c r="G2" t="str" cm="1">
        <f t="array" ref="G2:G19">IF(_xlfn.XLOOKUP($A2:INDEX($A:$A,COUNTA($A:$A)),'ETE Student Marks'!$A$1:INDEX('ETE Student Marks'!$A:$A,COUNTA('ETE Student Marks'!$A:$A)),'ETE Student Marks'!G$1:INDEX('ETE Student Marks'!G:G,COUNTA('ETE Student Marks'!G:G)))="U","Unattempted",'ETE Student Marks'!G1)</f>
        <v>Unattempted</v>
      </c>
      <c r="H2" t="str" cm="1">
        <f t="array" ref="H2:H19">IF(_xlfn.XLOOKUP($A2:INDEX($A:$A,COUNTA($A:$A)),'ETE Student Marks'!$A$1:INDEX('ETE Student Marks'!$A:$A,COUNTA('ETE Student Marks'!$A:$A)),'ETE Student Marks'!H$1:INDEX('ETE Student Marks'!H:H,COUNTA('ETE Student Marks'!H:H)))="U","Unattempted",'ETE Student Marks'!H1)</f>
        <v>Unattempted</v>
      </c>
      <c r="I2" t="str" cm="1">
        <f t="array" ref="I2:I19">IF(_xlfn.XLOOKUP($A2:INDEX($A:$A,COUNTA($A:$A)),'ETE Student Marks'!$A$1:INDEX('ETE Student Marks'!$A:$A,COUNTA('ETE Student Marks'!$A:$A)),'ETE Student Marks'!I$1:INDEX('ETE Student Marks'!I:I,COUNTA('ETE Student Marks'!I:I)))="U","Unattempted",'ETE Student Marks'!I1)</f>
        <v>Unattempted</v>
      </c>
      <c r="J2" t="str" cm="1">
        <f t="array" ref="J2:J19">IF(_xlfn.XLOOKUP($A2:INDEX($A:$A,COUNTA($A:$A)),'ETE Student Marks'!$A$1:INDEX('ETE Student Marks'!$A:$A,COUNTA('ETE Student Marks'!$A:$A)),'ETE Student Marks'!J$1:INDEX('ETE Student Marks'!J:J,COUNTA('ETE Student Marks'!J:J)))="U","Unattempted",'ETE Student Marks'!J1)</f>
        <v>Unattempted</v>
      </c>
      <c r="K2" t="str" cm="1">
        <f t="array" ref="K2:K19">IF(_xlfn.XLOOKUP($A2:INDEX($A:$A,COUNTA($A:$A)),'ETE Student Marks'!$A$1:INDEX('ETE Student Marks'!$A:$A,COUNTA('ETE Student Marks'!$A:$A)),'ETE Student Marks'!K$1:INDEX('ETE Student Marks'!K:K,COUNTA('ETE Student Marks'!K:K)))="U","Unattempted",'ETE Student Marks'!K1)</f>
        <v>Unattempted</v>
      </c>
      <c r="L2" t="str" cm="1">
        <f t="array" ref="L2:L19">IF(_xlfn.XLOOKUP($A2:INDEX($A:$A,COUNTA($A:$A)),'ETE Student Marks'!$A$1:INDEX('ETE Student Marks'!$A:$A,COUNTA('ETE Student Marks'!$A:$A)),'ETE Student Marks'!L$1:INDEX('ETE Student Marks'!L:L,COUNTA('ETE Student Marks'!L:L)))="U","Unattempted",'ETE Student Marks'!L1)</f>
        <v>Unattempted</v>
      </c>
      <c r="M2" t="str" cm="1">
        <f t="array" ref="M2:M19">IF(_xlfn.XLOOKUP($A2:INDEX($A:$A,COUNTA($A:$A)),'ETE Student Marks'!$A$1:INDEX('ETE Student Marks'!$A:$A,COUNTA('ETE Student Marks'!$A:$A)),'ETE Student Marks'!M$1:INDEX('ETE Student Marks'!M:M,COUNTA('ETE Student Marks'!M:M)))="U","Unattempted",'ETE Student Marks'!M1)</f>
        <v>Unattempted</v>
      </c>
      <c r="N2" t="str" cm="1">
        <f t="array" ref="N2:N19">IF(_xlfn.XLOOKUP($A2:INDEX($A:$A,COUNTA($A:$A)),'ETE Student Marks'!$A$1:INDEX('ETE Student Marks'!$A:$A,COUNTA('ETE Student Marks'!$A:$A)),'ETE Student Marks'!N$1:INDEX('ETE Student Marks'!N:N,COUNTA('ETE Student Marks'!N:N)))="U","Unattempted",'ETE Student Marks'!N1)</f>
        <v>Unattempted</v>
      </c>
      <c r="O2" t="str" cm="1">
        <f t="array" ref="O2:O19">IF(_xlfn.XLOOKUP($A2:INDEX($A:$A,COUNTA($A:$A)),'ETE Student Marks'!$A$1:INDEX('ETE Student Marks'!$A:$A,COUNTA('ETE Student Marks'!$A:$A)),'ETE Student Marks'!O$1:INDEX('ETE Student Marks'!O:O,COUNTA('ETE Student Marks'!O:O)))="U","Unattempted",'ETE Student Marks'!O1)</f>
        <v>Unattempted</v>
      </c>
      <c r="P2" t="str" cm="1">
        <f t="array" ref="P2:P19">IF(_xlfn.XLOOKUP($A2:INDEX($A:$A,COUNTA($A:$A)),'ETE Student Marks'!$A$1:INDEX('ETE Student Marks'!$A:$A,COUNTA('ETE Student Marks'!$A:$A)),'ETE Student Marks'!P$1:INDEX('ETE Student Marks'!P:P,COUNTA('ETE Student Marks'!P:P)))="U","Unattempted",'ETE Student Marks'!P1)</f>
        <v>Unattempted</v>
      </c>
      <c r="Q2" t="str" cm="1">
        <f t="array" ref="Q2:Q19">IF(_xlfn.XLOOKUP($A2:INDEX($A:$A,COUNTA($A:$A)),'ETE Student Marks'!$A$1:INDEX('ETE Student Marks'!$A:$A,COUNTA('ETE Student Marks'!$A:$A)),'ETE Student Marks'!Q$1:INDEX('ETE Student Marks'!Q:Q,COUNTA('ETE Student Marks'!Q:Q)))="U","Unattempted",'ETE Student Marks'!Q1)</f>
        <v>Unattempted</v>
      </c>
      <c r="R2" t="str" cm="1">
        <f t="array" ref="R2:R19">IF(_xlfn.XLOOKUP($A2:INDEX($A:$A,COUNTA($A:$A)),'ETE Student Marks'!$A$1:INDEX('ETE Student Marks'!$A:$A,COUNTA('ETE Student Marks'!$A:$A)),'ETE Student Marks'!R$1:INDEX('ETE Student Marks'!R:R,COUNTA('ETE Student Marks'!R:R)))="U","Unattempted",'ETE Student Marks'!R1)</f>
        <v>Unattempted</v>
      </c>
      <c r="S2" t="str" cm="1">
        <f t="array" ref="S2:S19">IF(_xlfn.XLOOKUP($A2:INDEX($A:$A,COUNTA($A:$A)),'ETE Student Marks'!$A$1:INDEX('ETE Student Marks'!$A:$A,COUNTA('ETE Student Marks'!$A:$A)),'ETE Student Marks'!S$1:INDEX('ETE Student Marks'!S:S,COUNTA('ETE Student Marks'!S:S)))="U","Unattempted",'ETE Student Marks'!S1)</f>
        <v>Unattempted</v>
      </c>
      <c r="T2" t="str" cm="1">
        <f t="array" ref="T2:T19">IF(_xlfn.XLOOKUP($A2:INDEX($A:$A,COUNTA($A:$A)),'ETE Student Marks'!$A$1:INDEX('ETE Student Marks'!$A:$A,COUNTA('ETE Student Marks'!$A:$A)),'ETE Student Marks'!T$1:INDEX('ETE Student Marks'!T:T,COUNTA('ETE Student Marks'!T:T)))="U","Unattempted",'ETE Student Marks'!T1)</f>
        <v>Unattempted</v>
      </c>
      <c r="U2" t="str" cm="1">
        <f t="array" ref="U2:U19">IF(_xlfn.XLOOKUP($A2:INDEX($A:$A,COUNTA($A:$A)),'ETE Student Marks'!$A$1:INDEX('ETE Student Marks'!$A:$A,COUNTA('ETE Student Marks'!$A:$A)),'ETE Student Marks'!U$1:INDEX('ETE Student Marks'!U:U,COUNTA('ETE Student Marks'!U:U)))="U","Unattempted",'ETE Student Marks'!U1)</f>
        <v>Unattempted</v>
      </c>
      <c r="V2" t="str" cm="1">
        <f t="array" ref="V2:V19">IF(_xlfn.XLOOKUP($A2:INDEX($A:$A,COUNTA($A:$A)),'ETE Student Marks'!$A$1:INDEX('ETE Student Marks'!$A:$A,COUNTA('ETE Student Marks'!$A:$A)),'ETE Student Marks'!V$1:INDEX('ETE Student Marks'!V:V,COUNTA('ETE Student Marks'!V:V)))="U","Unattempted",'ETE Student Marks'!V1)</f>
        <v>Unattempted</v>
      </c>
      <c r="W2" t="str" cm="1">
        <f t="array" ref="W2:W19">IF(_xlfn.XLOOKUP($A2:INDEX($A:$A,COUNTA($A:$A)),'ETE Student Marks'!$A$1:INDEX('ETE Student Marks'!$A:$A,COUNTA('ETE Student Marks'!$A:$A)),'ETE Student Marks'!W$1:INDEX('ETE Student Marks'!W:W,COUNTA('ETE Student Marks'!W:W)))="U","Unattempted",'ETE Student Marks'!W1)</f>
        <v>FA1</v>
      </c>
      <c r="X2" t="str" cm="1">
        <f t="array" ref="X2:X19">IF(_xlfn.XLOOKUP($A2:INDEX($A:$A,COUNTA($A:$A)),'ETE Student Marks'!$A$1:INDEX('ETE Student Marks'!$A:$A,COUNTA('ETE Student Marks'!$A:$A)),'ETE Student Marks'!X$1:INDEX('ETE Student Marks'!X:X,COUNTA('ETE Student Marks'!X:X)))="U","Unattempted",'ETE Student Marks'!X1)</f>
        <v>FA2</v>
      </c>
    </row>
    <row r="3" spans="1:24" ht="18" customHeight="1" x14ac:dyDescent="0.3">
      <c r="A3">
        <v>2010992002</v>
      </c>
      <c r="B3" t="str">
        <v>Unattempted</v>
      </c>
      <c r="C3" t="str">
        <v>Unattempted</v>
      </c>
      <c r="D3" t="str">
        <v>Unattempted</v>
      </c>
      <c r="E3" t="str">
        <v>Unattempted</v>
      </c>
      <c r="F3" t="str">
        <v>Unattempted</v>
      </c>
      <c r="G3" t="str">
        <v>Unattempted</v>
      </c>
      <c r="H3" t="str">
        <v>Unattempted</v>
      </c>
      <c r="I3" t="str">
        <v>Unattempted</v>
      </c>
      <c r="J3" t="str">
        <v>Unattempted</v>
      </c>
      <c r="K3" t="str">
        <v>Unattempted</v>
      </c>
      <c r="L3" t="str">
        <v>Unattempted</v>
      </c>
      <c r="M3" t="str">
        <v>Unattempted</v>
      </c>
      <c r="N3" t="str">
        <v>Unattempted</v>
      </c>
      <c r="O3" t="str">
        <v>Unattempted</v>
      </c>
      <c r="P3" t="str">
        <v>Unattempted</v>
      </c>
      <c r="Q3" t="str">
        <v>Unattempted</v>
      </c>
      <c r="R3" t="str">
        <v>Unattempted</v>
      </c>
      <c r="S3" t="str">
        <v>Unattempted</v>
      </c>
      <c r="T3" t="str">
        <v>Unattempted</v>
      </c>
      <c r="U3" t="str">
        <v>Unattempted</v>
      </c>
      <c r="V3" t="str">
        <v>Unattempted</v>
      </c>
      <c r="W3" t="str">
        <v>FA1</v>
      </c>
      <c r="X3" t="str">
        <v>FA2</v>
      </c>
    </row>
    <row r="4" spans="1:24" x14ac:dyDescent="0.3">
      <c r="A4">
        <v>2010992004</v>
      </c>
      <c r="B4" t="str">
        <v>Unattempted</v>
      </c>
      <c r="C4" t="str">
        <v>Unattempted</v>
      </c>
      <c r="D4" t="str">
        <v>Unattempted</v>
      </c>
      <c r="E4" t="str">
        <v>Unattempted</v>
      </c>
      <c r="F4" t="str">
        <v>Unattempted</v>
      </c>
      <c r="G4" t="str">
        <v>Unattempted</v>
      </c>
      <c r="H4" t="str">
        <v>Unattempted</v>
      </c>
      <c r="I4" t="str">
        <v>Unattempted</v>
      </c>
      <c r="J4" t="str">
        <v>Unattempted</v>
      </c>
      <c r="K4" t="str">
        <v>Unattempted</v>
      </c>
      <c r="L4" t="str">
        <v>Unattempted</v>
      </c>
      <c r="M4" t="str">
        <v>Unattempted</v>
      </c>
      <c r="N4" t="str">
        <v>Unattempted</v>
      </c>
      <c r="O4" t="str">
        <v>Unattempted</v>
      </c>
      <c r="P4" t="str">
        <v>Unattempted</v>
      </c>
      <c r="Q4" t="str">
        <v>Unattempted</v>
      </c>
      <c r="R4" t="str">
        <v>Unattempted</v>
      </c>
      <c r="S4" t="str">
        <v>Unattempted</v>
      </c>
      <c r="T4" t="str">
        <v>Unattempted</v>
      </c>
      <c r="U4" t="str">
        <v>Unattempted</v>
      </c>
      <c r="V4" t="str">
        <v>Unattempted</v>
      </c>
      <c r="W4" t="str">
        <v>FA1</v>
      </c>
      <c r="X4" t="str">
        <v>FA2</v>
      </c>
    </row>
    <row r="5" spans="1:24" x14ac:dyDescent="0.3">
      <c r="A5">
        <v>2010992005</v>
      </c>
      <c r="B5" t="str">
        <v>Unattempted</v>
      </c>
      <c r="C5" t="str">
        <v>Unattempted</v>
      </c>
      <c r="D5" t="str">
        <v>Unattempted</v>
      </c>
      <c r="E5" t="str">
        <v>Unattempted</v>
      </c>
      <c r="F5" t="str">
        <v>Unattempted</v>
      </c>
      <c r="G5" t="str">
        <v>Unattempted</v>
      </c>
      <c r="H5" t="str">
        <v>Unattempted</v>
      </c>
      <c r="I5" t="str">
        <v>Unattempted</v>
      </c>
      <c r="J5" t="str">
        <v>Unattempted</v>
      </c>
      <c r="K5" t="str">
        <v>Unattempted</v>
      </c>
      <c r="L5" t="str">
        <v>Unattempted</v>
      </c>
      <c r="M5" t="str">
        <v>Unattempted</v>
      </c>
      <c r="N5" t="str">
        <v>Unattempted</v>
      </c>
      <c r="O5" t="str">
        <v>Unattempted</v>
      </c>
      <c r="P5" t="str">
        <v>Unattempted</v>
      </c>
      <c r="Q5" t="str">
        <v>Unattempted</v>
      </c>
      <c r="R5" t="str">
        <v>Unattempted</v>
      </c>
      <c r="S5" t="str">
        <v>Unattempted</v>
      </c>
      <c r="T5" t="str">
        <v>Unattempted</v>
      </c>
      <c r="U5" t="str">
        <v>Unattempted</v>
      </c>
      <c r="V5" t="str">
        <v>Unattempted</v>
      </c>
      <c r="W5" t="str">
        <v>FA1</v>
      </c>
      <c r="X5" t="str">
        <v>FA2</v>
      </c>
    </row>
    <row r="6" spans="1:24" x14ac:dyDescent="0.3">
      <c r="A6">
        <v>2010992006</v>
      </c>
      <c r="B6" t="str">
        <v>Unattempted</v>
      </c>
      <c r="C6" t="str">
        <v>Unattempted</v>
      </c>
      <c r="D6" t="str">
        <v>Unattempted</v>
      </c>
      <c r="E6" t="str">
        <v>Unattempted</v>
      </c>
      <c r="F6" t="str">
        <v>Unattempted</v>
      </c>
      <c r="G6" t="str">
        <v>Unattempted</v>
      </c>
      <c r="H6" t="str">
        <v>Unattempted</v>
      </c>
      <c r="I6" t="str">
        <v>Unattempted</v>
      </c>
      <c r="J6" t="str">
        <v>Unattempted</v>
      </c>
      <c r="K6" t="str">
        <v>Unattempted</v>
      </c>
      <c r="L6" t="str">
        <v>Unattempted</v>
      </c>
      <c r="M6" t="str">
        <v>Unattempted</v>
      </c>
      <c r="N6" t="str">
        <v>Unattempted</v>
      </c>
      <c r="O6" t="str">
        <v>Unattempted</v>
      </c>
      <c r="P6" t="str">
        <v>Unattempted</v>
      </c>
      <c r="Q6" t="str">
        <v>Unattempted</v>
      </c>
      <c r="R6" t="str">
        <v>Unattempted</v>
      </c>
      <c r="S6" t="str">
        <v>Unattempted</v>
      </c>
      <c r="T6" t="str">
        <v>Unattempted</v>
      </c>
      <c r="U6" t="str">
        <v>Unattempted</v>
      </c>
      <c r="V6" t="str">
        <v>Unattempted</v>
      </c>
      <c r="W6" t="str">
        <v>FA1</v>
      </c>
      <c r="X6" t="str">
        <v>FA2</v>
      </c>
    </row>
    <row r="7" spans="1:24" x14ac:dyDescent="0.3">
      <c r="A7">
        <v>2010992008</v>
      </c>
      <c r="B7" t="str">
        <v>Unattempted</v>
      </c>
      <c r="C7" t="str">
        <v>Unattempted</v>
      </c>
      <c r="D7" t="str">
        <v>Unattempted</v>
      </c>
      <c r="E7" t="str">
        <v>Unattempted</v>
      </c>
      <c r="F7" t="str">
        <v>Unattempted</v>
      </c>
      <c r="G7" t="str">
        <v>Unattempted</v>
      </c>
      <c r="H7" t="str">
        <v>Unattempted</v>
      </c>
      <c r="I7" t="str">
        <v>Unattempted</v>
      </c>
      <c r="J7" t="str">
        <v>Unattempted</v>
      </c>
      <c r="K7" t="str">
        <v>Unattempted</v>
      </c>
      <c r="L7" t="str">
        <v>Unattempted</v>
      </c>
      <c r="M7" t="str">
        <v>Unattempted</v>
      </c>
      <c r="N7" t="str">
        <v>Unattempted</v>
      </c>
      <c r="O7" t="str">
        <v>Unattempted</v>
      </c>
      <c r="P7" t="str">
        <v>Unattempted</v>
      </c>
      <c r="Q7" t="str">
        <v>Unattempted</v>
      </c>
      <c r="R7" t="str">
        <v>Unattempted</v>
      </c>
      <c r="S7" t="str">
        <v>Unattempted</v>
      </c>
      <c r="T7" t="str">
        <v>Unattempted</v>
      </c>
      <c r="U7" t="str">
        <v>Unattempted</v>
      </c>
      <c r="V7" t="str">
        <v>Unattempted</v>
      </c>
      <c r="W7" t="str">
        <v>FA1</v>
      </c>
      <c r="X7" t="str">
        <v>FA2</v>
      </c>
    </row>
    <row r="8" spans="1:24" x14ac:dyDescent="0.3">
      <c r="A8">
        <v>2010992009</v>
      </c>
      <c r="B8" t="str">
        <v>Unattempted</v>
      </c>
      <c r="C8" t="str">
        <v>Unattempted</v>
      </c>
      <c r="D8" t="str">
        <v>Unattempted</v>
      </c>
      <c r="E8" t="str">
        <v>Unattempted</v>
      </c>
      <c r="F8" t="str">
        <v>Unattempted</v>
      </c>
      <c r="G8" t="str">
        <v>Unattempted</v>
      </c>
      <c r="H8" t="str">
        <v>Unattempted</v>
      </c>
      <c r="I8" t="str">
        <v>Unattempted</v>
      </c>
      <c r="J8" t="str">
        <v>Unattempted</v>
      </c>
      <c r="K8" t="str">
        <v>Unattempted</v>
      </c>
      <c r="L8" t="str">
        <v>Unattempted</v>
      </c>
      <c r="M8" t="str">
        <v>Unattempted</v>
      </c>
      <c r="N8" t="str">
        <v>Unattempted</v>
      </c>
      <c r="O8" t="str">
        <v>Unattempted</v>
      </c>
      <c r="P8" t="str">
        <v>Unattempted</v>
      </c>
      <c r="Q8" t="str">
        <v>Unattempted</v>
      </c>
      <c r="R8" t="str">
        <v>Unattempted</v>
      </c>
      <c r="S8" t="str">
        <v>Unattempted</v>
      </c>
      <c r="T8" t="str">
        <v>Unattempted</v>
      </c>
      <c r="U8" t="str">
        <v>Unattempted</v>
      </c>
      <c r="V8" t="str">
        <v>Unattempted</v>
      </c>
      <c r="W8" t="str">
        <v>FA1</v>
      </c>
      <c r="X8" t="str">
        <v>FA2</v>
      </c>
    </row>
    <row r="9" spans="1:24" x14ac:dyDescent="0.3">
      <c r="A9">
        <v>2010992010</v>
      </c>
      <c r="B9" t="str">
        <v>Unattempted</v>
      </c>
      <c r="C9" t="str">
        <v>Unattempted</v>
      </c>
      <c r="D9" t="str">
        <v>Unattempted</v>
      </c>
      <c r="E9" t="str">
        <v>Unattempted</v>
      </c>
      <c r="F9" t="str">
        <v>Unattempted</v>
      </c>
      <c r="G9" t="str">
        <v>Unattempted</v>
      </c>
      <c r="H9" t="str">
        <v>Unattempted</v>
      </c>
      <c r="I9" t="str">
        <v>Unattempted</v>
      </c>
      <c r="J9" t="str">
        <v>Unattempted</v>
      </c>
      <c r="K9" t="str">
        <v>Unattempted</v>
      </c>
      <c r="L9" t="str">
        <v>Unattempted</v>
      </c>
      <c r="M9" t="str">
        <v>Unattempted</v>
      </c>
      <c r="N9" t="str">
        <v>Unattempted</v>
      </c>
      <c r="O9" t="str">
        <v>Unattempted</v>
      </c>
      <c r="P9" t="str">
        <v>Unattempted</v>
      </c>
      <c r="Q9" t="str">
        <v>Unattempted</v>
      </c>
      <c r="R9" t="str">
        <v>Unattempted</v>
      </c>
      <c r="S9" t="str">
        <v>Unattempted</v>
      </c>
      <c r="T9" t="str">
        <v>Unattempted</v>
      </c>
      <c r="U9" t="str">
        <v>Unattempted</v>
      </c>
      <c r="V9" t="str">
        <v>Unattempted</v>
      </c>
      <c r="W9" t="str">
        <v>FA1</v>
      </c>
      <c r="X9" t="str">
        <v>FA2</v>
      </c>
    </row>
    <row r="10" spans="1:24" x14ac:dyDescent="0.3">
      <c r="A10">
        <v>2010992011</v>
      </c>
      <c r="B10" t="str">
        <v>Unattempted</v>
      </c>
      <c r="C10" t="str">
        <v>Unattempted</v>
      </c>
      <c r="D10" t="str">
        <v>Unattempted</v>
      </c>
      <c r="E10" t="str">
        <v>Unattempted</v>
      </c>
      <c r="F10" t="str">
        <v>Unattempted</v>
      </c>
      <c r="G10" t="str">
        <v>Unattempted</v>
      </c>
      <c r="H10" t="str">
        <v>Unattempted</v>
      </c>
      <c r="I10" t="str">
        <v>Unattempted</v>
      </c>
      <c r="J10" t="str">
        <v>Unattempted</v>
      </c>
      <c r="K10" t="str">
        <v>Unattempted</v>
      </c>
      <c r="L10" t="str">
        <v>Unattempted</v>
      </c>
      <c r="M10" t="str">
        <v>Unattempted</v>
      </c>
      <c r="N10" t="str">
        <v>Unattempted</v>
      </c>
      <c r="O10" t="str">
        <v>Unattempted</v>
      </c>
      <c r="P10" t="str">
        <v>Unattempted</v>
      </c>
      <c r="Q10" t="str">
        <v>Unattempted</v>
      </c>
      <c r="R10" t="str">
        <v>Unattempted</v>
      </c>
      <c r="S10" t="str">
        <v>Unattempted</v>
      </c>
      <c r="T10" t="str">
        <v>Unattempted</v>
      </c>
      <c r="U10" t="str">
        <v>Unattempted</v>
      </c>
      <c r="V10" t="str">
        <v>Unattempted</v>
      </c>
      <c r="W10" t="str">
        <v>FA1</v>
      </c>
      <c r="X10" t="str">
        <v>FA2</v>
      </c>
    </row>
    <row r="11" spans="1:24" x14ac:dyDescent="0.3">
      <c r="A11">
        <v>2010992012</v>
      </c>
      <c r="B11" t="str">
        <v>Unattempted</v>
      </c>
      <c r="C11" t="str">
        <v>Unattempted</v>
      </c>
      <c r="D11" t="str">
        <v>Unattempted</v>
      </c>
      <c r="E11" t="str">
        <v>Unattempted</v>
      </c>
      <c r="F11" t="str">
        <v>Unattempted</v>
      </c>
      <c r="G11" t="str">
        <v>Unattempted</v>
      </c>
      <c r="H11" t="str">
        <v>Unattempted</v>
      </c>
      <c r="I11" t="str">
        <v>Unattempted</v>
      </c>
      <c r="J11" t="str">
        <v>Unattempted</v>
      </c>
      <c r="K11" t="str">
        <v>Unattempted</v>
      </c>
      <c r="L11" t="str">
        <v>Unattempted</v>
      </c>
      <c r="M11" t="str">
        <v>Unattempted</v>
      </c>
      <c r="N11" t="str">
        <v>Unattempted</v>
      </c>
      <c r="O11" t="str">
        <v>Unattempted</v>
      </c>
      <c r="P11" t="str">
        <v>Unattempted</v>
      </c>
      <c r="Q11" t="str">
        <v>Unattempted</v>
      </c>
      <c r="R11" t="str">
        <v>Unattempted</v>
      </c>
      <c r="S11" t="str">
        <v>Unattempted</v>
      </c>
      <c r="T11" t="str">
        <v>Unattempted</v>
      </c>
      <c r="U11" t="str">
        <v>Unattempted</v>
      </c>
      <c r="V11" t="str">
        <v>Unattempted</v>
      </c>
      <c r="W11" t="str">
        <v>FA1</v>
      </c>
      <c r="X11" t="str">
        <v>FA2</v>
      </c>
    </row>
    <row r="12" spans="1:24" x14ac:dyDescent="0.3">
      <c r="A12">
        <v>2010992014</v>
      </c>
      <c r="B12" t="str">
        <v>Unattempted</v>
      </c>
      <c r="C12" t="str">
        <v>Unattempted</v>
      </c>
      <c r="D12" t="str">
        <v>Unattempted</v>
      </c>
      <c r="E12" t="str">
        <v>Unattempted</v>
      </c>
      <c r="F12" t="str">
        <v>Unattempted</v>
      </c>
      <c r="G12" t="str">
        <v>Unattempted</v>
      </c>
      <c r="H12" t="str">
        <v>Unattempted</v>
      </c>
      <c r="I12" t="str">
        <v>Unattempted</v>
      </c>
      <c r="J12" t="str">
        <v>Unattempted</v>
      </c>
      <c r="K12" t="str">
        <v>Unattempted</v>
      </c>
      <c r="L12" t="str">
        <v>Unattempted</v>
      </c>
      <c r="M12" t="str">
        <v>Unattempted</v>
      </c>
      <c r="N12" t="str">
        <v>Unattempted</v>
      </c>
      <c r="O12" t="str">
        <v>Unattempted</v>
      </c>
      <c r="P12" t="str">
        <v>Unattempted</v>
      </c>
      <c r="Q12" t="str">
        <v>Unattempted</v>
      </c>
      <c r="R12" t="str">
        <v>Unattempted</v>
      </c>
      <c r="S12" t="str">
        <v>Unattempted</v>
      </c>
      <c r="T12" t="str">
        <v>Unattempted</v>
      </c>
      <c r="U12" t="str">
        <v>Unattempted</v>
      </c>
      <c r="V12" t="str">
        <v>Unattempted</v>
      </c>
      <c r="W12" t="str">
        <v>FA1</v>
      </c>
      <c r="X12" t="str">
        <v>FA2</v>
      </c>
    </row>
    <row r="13" spans="1:24" x14ac:dyDescent="0.3">
      <c r="A13">
        <v>2010992015</v>
      </c>
      <c r="B13" t="str">
        <v>Unattempted</v>
      </c>
      <c r="C13" t="str">
        <v>Unattempted</v>
      </c>
      <c r="D13" t="str">
        <v>Unattempted</v>
      </c>
      <c r="E13" t="str">
        <v>Unattempted</v>
      </c>
      <c r="F13" t="str">
        <v>Unattempted</v>
      </c>
      <c r="G13" t="str">
        <v>Unattempted</v>
      </c>
      <c r="H13" t="str">
        <v>Unattempted</v>
      </c>
      <c r="I13" t="str">
        <v>Unattempted</v>
      </c>
      <c r="J13" t="str">
        <v>Unattempted</v>
      </c>
      <c r="K13" t="str">
        <v>Unattempted</v>
      </c>
      <c r="L13" t="str">
        <v>Unattempted</v>
      </c>
      <c r="M13" t="str">
        <v>Unattempted</v>
      </c>
      <c r="N13" t="str">
        <v>Unattempted</v>
      </c>
      <c r="O13" t="str">
        <v>Unattempted</v>
      </c>
      <c r="P13" t="str">
        <v>Unattempted</v>
      </c>
      <c r="Q13" t="str">
        <v>Unattempted</v>
      </c>
      <c r="R13" t="str">
        <v>Unattempted</v>
      </c>
      <c r="S13" t="str">
        <v>Unattempted</v>
      </c>
      <c r="T13" t="str">
        <v>Unattempted</v>
      </c>
      <c r="U13" t="str">
        <v>Unattempted</v>
      </c>
      <c r="V13" t="str">
        <v>Unattempted</v>
      </c>
      <c r="W13" t="str">
        <v>FA1</v>
      </c>
      <c r="X13" t="str">
        <v>FA2</v>
      </c>
    </row>
    <row r="14" spans="1:24" x14ac:dyDescent="0.3">
      <c r="A14">
        <v>2010992016</v>
      </c>
      <c r="B14" t="str">
        <v>Unattempted</v>
      </c>
      <c r="C14" t="str">
        <v>Unattempted</v>
      </c>
      <c r="D14" t="str">
        <v>Unattempted</v>
      </c>
      <c r="E14" t="str">
        <v>Unattempted</v>
      </c>
      <c r="F14" t="str">
        <v>Unattempted</v>
      </c>
      <c r="G14" t="str">
        <v>Unattempted</v>
      </c>
      <c r="H14" t="str">
        <v>Unattempted</v>
      </c>
      <c r="I14" t="str">
        <v>Unattempted</v>
      </c>
      <c r="J14" t="str">
        <v>Unattempted</v>
      </c>
      <c r="K14" t="str">
        <v>Unattempted</v>
      </c>
      <c r="L14" t="str">
        <v>Unattempted</v>
      </c>
      <c r="M14" t="str">
        <v>Unattempted</v>
      </c>
      <c r="N14" t="str">
        <v>Unattempted</v>
      </c>
      <c r="O14" t="str">
        <v>Unattempted</v>
      </c>
      <c r="P14" t="str">
        <v>Unattempted</v>
      </c>
      <c r="Q14" t="str">
        <v>Unattempted</v>
      </c>
      <c r="R14" t="str">
        <v>Unattempted</v>
      </c>
      <c r="S14" t="str">
        <v>Unattempted</v>
      </c>
      <c r="T14" t="str">
        <v>Unattempted</v>
      </c>
      <c r="U14" t="str">
        <v>Unattempted</v>
      </c>
      <c r="V14" t="str">
        <v>Unattempted</v>
      </c>
      <c r="W14" t="str">
        <v>FA1</v>
      </c>
      <c r="X14" t="str">
        <v>FA2</v>
      </c>
    </row>
    <row r="15" spans="1:24" x14ac:dyDescent="0.3">
      <c r="A15">
        <v>2010992017</v>
      </c>
      <c r="B15" t="str">
        <v>Unattempted</v>
      </c>
      <c r="C15" t="str">
        <v>Unattempted</v>
      </c>
      <c r="D15" t="str">
        <v>Unattempted</v>
      </c>
      <c r="E15" t="str">
        <v>Unattempted</v>
      </c>
      <c r="F15" t="str">
        <v>Unattempted</v>
      </c>
      <c r="G15" t="str">
        <v>Unattempted</v>
      </c>
      <c r="H15" t="str">
        <v>Unattempted</v>
      </c>
      <c r="I15" t="str">
        <v>Unattempted</v>
      </c>
      <c r="J15" t="str">
        <v>Unattempted</v>
      </c>
      <c r="K15" t="str">
        <v>Unattempted</v>
      </c>
      <c r="L15" t="str">
        <v>Unattempted</v>
      </c>
      <c r="M15" t="str">
        <v>Unattempted</v>
      </c>
      <c r="N15" t="str">
        <v>Unattempted</v>
      </c>
      <c r="O15" t="str">
        <v>Unattempted</v>
      </c>
      <c r="P15" t="str">
        <v>Unattempted</v>
      </c>
      <c r="Q15" t="str">
        <v>Unattempted</v>
      </c>
      <c r="R15" t="str">
        <v>Unattempted</v>
      </c>
      <c r="S15" t="str">
        <v>Unattempted</v>
      </c>
      <c r="T15" t="str">
        <v>Unattempted</v>
      </c>
      <c r="U15" t="str">
        <v>Unattempted</v>
      </c>
      <c r="V15" t="str">
        <v>Unattempted</v>
      </c>
      <c r="W15" t="str">
        <v>FA1</v>
      </c>
      <c r="X15" t="str">
        <v>FA2</v>
      </c>
    </row>
    <row r="16" spans="1:24" x14ac:dyDescent="0.3">
      <c r="A16">
        <v>2010992018</v>
      </c>
      <c r="B16" t="str">
        <v>Unattempted</v>
      </c>
      <c r="C16" t="str">
        <v>Unattempted</v>
      </c>
      <c r="D16" t="str">
        <v>Unattempted</v>
      </c>
      <c r="E16" t="str">
        <v>Unattempted</v>
      </c>
      <c r="F16" t="str">
        <v>Unattempted</v>
      </c>
      <c r="G16" t="str">
        <v>Unattempted</v>
      </c>
      <c r="H16" t="str">
        <v>Unattempted</v>
      </c>
      <c r="I16" t="str">
        <v>Unattempted</v>
      </c>
      <c r="J16" t="str">
        <v>Unattempted</v>
      </c>
      <c r="K16" t="str">
        <v>Unattempted</v>
      </c>
      <c r="L16" t="str">
        <v>Unattempted</v>
      </c>
      <c r="M16" t="str">
        <v>Unattempted</v>
      </c>
      <c r="N16" t="str">
        <v>Unattempted</v>
      </c>
      <c r="O16" t="str">
        <v>Unattempted</v>
      </c>
      <c r="P16" t="str">
        <v>Unattempted</v>
      </c>
      <c r="Q16" t="str">
        <v>Unattempted</v>
      </c>
      <c r="R16" t="str">
        <v>Unattempted</v>
      </c>
      <c r="S16" t="str">
        <v>Unattempted</v>
      </c>
      <c r="T16" t="str">
        <v>Unattempted</v>
      </c>
      <c r="U16" t="str">
        <v>Unattempted</v>
      </c>
      <c r="V16" t="str">
        <v>Unattempted</v>
      </c>
      <c r="W16" t="str">
        <v>FA1</v>
      </c>
      <c r="X16" t="str">
        <v>FA2</v>
      </c>
    </row>
    <row r="17" spans="1:24" x14ac:dyDescent="0.3">
      <c r="A17">
        <v>2010992019</v>
      </c>
      <c r="B17" t="str">
        <v>Unattempted</v>
      </c>
      <c r="C17" t="str">
        <v>Unattempted</v>
      </c>
      <c r="D17" t="str">
        <v>Unattempted</v>
      </c>
      <c r="E17" t="str">
        <v>Unattempted</v>
      </c>
      <c r="F17" t="str">
        <v>Unattempted</v>
      </c>
      <c r="G17" t="str">
        <v>Unattempted</v>
      </c>
      <c r="H17" t="str">
        <v>Unattempted</v>
      </c>
      <c r="I17" t="str">
        <v>Unattempted</v>
      </c>
      <c r="J17" t="str">
        <v>Unattempted</v>
      </c>
      <c r="K17" t="str">
        <v>Unattempted</v>
      </c>
      <c r="L17" t="str">
        <v>Unattempted</v>
      </c>
      <c r="M17" t="str">
        <v>Unattempted</v>
      </c>
      <c r="N17" t="str">
        <v>Unattempted</v>
      </c>
      <c r="O17" t="str">
        <v>Unattempted</v>
      </c>
      <c r="P17" t="str">
        <v>Unattempted</v>
      </c>
      <c r="Q17" t="str">
        <v>Unattempted</v>
      </c>
      <c r="R17" t="str">
        <v>Unattempted</v>
      </c>
      <c r="S17" t="str">
        <v>Unattempted</v>
      </c>
      <c r="T17" t="str">
        <v>Unattempted</v>
      </c>
      <c r="U17" t="str">
        <v>Unattempted</v>
      </c>
      <c r="V17" t="str">
        <v>Unattempted</v>
      </c>
      <c r="W17" t="str">
        <v>FA1</v>
      </c>
      <c r="X17" t="str">
        <v>FA2</v>
      </c>
    </row>
    <row r="18" spans="1:24" x14ac:dyDescent="0.3">
      <c r="A18">
        <v>2010992163</v>
      </c>
      <c r="B18" t="str">
        <v>Unattempted</v>
      </c>
      <c r="C18" t="str">
        <v>Unattempted</v>
      </c>
      <c r="D18" t="str">
        <v>Unattempted</v>
      </c>
      <c r="E18" t="str">
        <v>Unattempted</v>
      </c>
      <c r="F18" t="str">
        <v>Unattempted</v>
      </c>
      <c r="G18" t="str">
        <v>Unattempted</v>
      </c>
      <c r="H18" t="str">
        <v>Unattempted</v>
      </c>
      <c r="I18" t="str">
        <v>Unattempted</v>
      </c>
      <c r="J18" t="str">
        <v>Unattempted</v>
      </c>
      <c r="K18" t="str">
        <v>Unattempted</v>
      </c>
      <c r="L18" t="str">
        <v>Unattempted</v>
      </c>
      <c r="M18" t="str">
        <v>Unattempted</v>
      </c>
      <c r="N18" t="str">
        <v>Unattempted</v>
      </c>
      <c r="O18" t="str">
        <v>Unattempted</v>
      </c>
      <c r="P18" t="str">
        <v>Unattempted</v>
      </c>
      <c r="Q18" t="str">
        <v>Unattempted</v>
      </c>
      <c r="R18" t="str">
        <v>Unattempted</v>
      </c>
      <c r="S18" t="str">
        <v>Unattempted</v>
      </c>
      <c r="T18" t="str">
        <v>Unattempted</v>
      </c>
      <c r="U18" t="str">
        <v>Unattempted</v>
      </c>
      <c r="V18" t="str">
        <v>Unattempted</v>
      </c>
      <c r="W18" t="str">
        <v>FA1</v>
      </c>
      <c r="X18" t="str">
        <v>FA2</v>
      </c>
    </row>
    <row r="19" spans="1:24" x14ac:dyDescent="0.3">
      <c r="A19">
        <v>2010992202</v>
      </c>
      <c r="B19" t="str">
        <v>Unattempted</v>
      </c>
      <c r="C19" t="str">
        <v>Unattempted</v>
      </c>
      <c r="D19" t="str">
        <v>Unattempted</v>
      </c>
      <c r="E19" t="str">
        <v>Unattempted</v>
      </c>
      <c r="F19" t="str">
        <v>Unattempted</v>
      </c>
      <c r="G19" t="str">
        <v>Unattempted</v>
      </c>
      <c r="H19" t="str">
        <v>Unattempted</v>
      </c>
      <c r="I19" t="str">
        <v>Unattempted</v>
      </c>
      <c r="J19" t="str">
        <v>Unattempted</v>
      </c>
      <c r="K19" t="str">
        <v>Unattempted</v>
      </c>
      <c r="L19" t="str">
        <v>Unattempted</v>
      </c>
      <c r="M19" t="str">
        <v>Unattempted</v>
      </c>
      <c r="N19" t="str">
        <v>Unattempted</v>
      </c>
      <c r="O19" t="str">
        <v>Unattempted</v>
      </c>
      <c r="P19" t="str">
        <v>Unattempted</v>
      </c>
      <c r="Q19" t="str">
        <v>Unattempted</v>
      </c>
      <c r="R19" t="str">
        <v>Unattempted</v>
      </c>
      <c r="S19" t="str">
        <v>Unattempted</v>
      </c>
      <c r="T19" t="str">
        <v>Unattempted</v>
      </c>
      <c r="U19" t="str">
        <v>Unattempted</v>
      </c>
      <c r="V19" t="str">
        <v>Unattempted</v>
      </c>
      <c r="W19" t="str">
        <v>FA1</v>
      </c>
      <c r="X19" t="str">
        <v>FA2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8596-72EF-478B-95B3-514A8094A199}">
  <dimension ref="A1:W19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14" max="15" width="11.44140625" bestFit="1" customWidth="1"/>
  </cols>
  <sheetData>
    <row r="1" spans="1:23" x14ac:dyDescent="0.3">
      <c r="A1" t="str" cm="1">
        <f t="array" ref="A1:W1">TRANSPOSE('ETE Questions'!A2:A24)</f>
        <v>1a</v>
      </c>
      <c r="B1" t="str">
        <v>1b</v>
      </c>
      <c r="C1" t="str">
        <v>1c</v>
      </c>
      <c r="D1" t="str">
        <v>1d</v>
      </c>
      <c r="E1" t="str">
        <v>1e</v>
      </c>
      <c r="F1" t="str">
        <v>Q2</v>
      </c>
      <c r="G1" t="str">
        <v>Q3</v>
      </c>
      <c r="H1" t="str">
        <v>Q4</v>
      </c>
      <c r="I1" t="str">
        <v>Q5</v>
      </c>
      <c r="J1" t="str">
        <v>Q6</v>
      </c>
      <c r="K1" t="str">
        <v>Q7</v>
      </c>
      <c r="L1" t="str">
        <v>Q8</v>
      </c>
      <c r="M1" t="str">
        <v>Q9</v>
      </c>
      <c r="N1" t="str">
        <v>Q10</v>
      </c>
      <c r="O1" t="str">
        <v>Q11</v>
      </c>
      <c r="P1" t="str">
        <v>Q12</v>
      </c>
      <c r="Q1" t="str">
        <v>Q13</v>
      </c>
      <c r="R1" t="str">
        <v>Q14</v>
      </c>
      <c r="S1" t="str">
        <v>Q15</v>
      </c>
      <c r="T1" t="str">
        <v>Q16</v>
      </c>
      <c r="U1" t="str">
        <v>Assignment</v>
      </c>
      <c r="V1" t="str">
        <v>FA1</v>
      </c>
      <c r="W1" t="str">
        <v>FA2</v>
      </c>
    </row>
    <row r="2" spans="1:23" x14ac:dyDescent="0.3">
      <c r="A2" t="str" cm="1">
        <f t="array" ref="A2:W19">_xlfn.LET(
    _xlpm.student_ids, 'ETE Question Map'!A2:INDEX('ETE Question Map'!A:A,COUNTA('ETE Question Map'!A:A)),
    _xlpm.answers, 'ETE Question Map'!B2:INDEX('ETE Question Map'!X:X,COUNTA('ETE Question Map'!X:X)),
    _xlpm.num_students, ROWS(_xlpm.student_ids),
    _xlpm.num_questions, COLUMNS(_xlpm.answers),
    _xlfn.MAKEARRAY(_xlpm.num_students, _xlpm.num_questions, _xlfn.LAMBDA(_xlpm.r,_xlpm.c,
        _xlfn.LET(
            _xlpm.current_col, INDEX(_xlpm.answers, 0, _xlpm.c),
            _xlpm.filtered_list, _xlfn._xlws.FILTER(_xlpm.student_ids, (_xlpm.current_col&lt;&gt;"") * (NOT(ISNUMBER(SEARCH("Unattemp", _xlpm.current_col)))), ""),
            IFERROR(INDEX(_xlpm.filtered_list, _xlpm.r), "")
        )
    ))
)</f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>
        <v>2010990089</v>
      </c>
      <c r="W2">
        <v>2010990089</v>
      </c>
    </row>
    <row r="3" spans="1:23" x14ac:dyDescent="0.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>
        <v>2010992002</v>
      </c>
      <c r="W3">
        <v>2010992002</v>
      </c>
    </row>
    <row r="4" spans="1:23" x14ac:dyDescent="0.3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>
        <v>2010992004</v>
      </c>
      <c r="W4">
        <v>2010992004</v>
      </c>
    </row>
    <row r="5" spans="1:23" x14ac:dyDescent="0.3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>
        <v>2010992005</v>
      </c>
      <c r="W5">
        <v>2010992005</v>
      </c>
    </row>
    <row r="6" spans="1:23" x14ac:dyDescent="0.3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>
        <v>2010992006</v>
      </c>
      <c r="W6">
        <v>2010992006</v>
      </c>
    </row>
    <row r="7" spans="1:23" x14ac:dyDescent="0.3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2010992008</v>
      </c>
      <c r="W7">
        <v>2010992008</v>
      </c>
    </row>
    <row r="8" spans="1:23" x14ac:dyDescent="0.3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>
        <v>2010992009</v>
      </c>
      <c r="W8">
        <v>2010992009</v>
      </c>
    </row>
    <row r="9" spans="1:23" x14ac:dyDescent="0.3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>
        <v>2010992010</v>
      </c>
      <c r="W9">
        <v>2010992010</v>
      </c>
    </row>
    <row r="10" spans="1:23" x14ac:dyDescent="0.3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>
        <v>2010992011</v>
      </c>
      <c r="W10">
        <v>2010992011</v>
      </c>
    </row>
    <row r="11" spans="1:23" x14ac:dyDescent="0.3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>
        <v>2010992012</v>
      </c>
      <c r="W11">
        <v>2010992012</v>
      </c>
    </row>
    <row r="12" spans="1:23" x14ac:dyDescent="0.3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>
        <v>2010992014</v>
      </c>
      <c r="W12">
        <v>2010992014</v>
      </c>
    </row>
    <row r="13" spans="1:23" x14ac:dyDescent="0.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>
        <v>2010992015</v>
      </c>
      <c r="W13">
        <v>2010992015</v>
      </c>
    </row>
    <row r="14" spans="1:23" x14ac:dyDescent="0.3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>
        <v>2010992016</v>
      </c>
      <c r="W14">
        <v>2010992016</v>
      </c>
    </row>
    <row r="15" spans="1:23" x14ac:dyDescent="0.3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>
        <v>2010992017</v>
      </c>
      <c r="W15">
        <v>2010992017</v>
      </c>
    </row>
    <row r="16" spans="1:23" x14ac:dyDescent="0.3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>
        <v>2010992018</v>
      </c>
      <c r="W16">
        <v>2010992018</v>
      </c>
    </row>
    <row r="17" spans="1:23" x14ac:dyDescent="0.3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>
        <v>2010992019</v>
      </c>
      <c r="W17">
        <v>2010992019</v>
      </c>
    </row>
    <row r="18" spans="1:23" x14ac:dyDescent="0.3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>
        <v>2010992163</v>
      </c>
      <c r="W18">
        <v>2010992163</v>
      </c>
    </row>
    <row r="19" spans="1:23" x14ac:dyDescent="0.3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>
        <v>2010992202</v>
      </c>
      <c r="W19">
        <v>2010992202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3F4D-3A5D-4531-B51F-AE90C2383705}">
  <dimension ref="A1:F19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3" max="3" width="8.88671875" customWidth="1"/>
    <col min="10" max="10" width="11.44140625" bestFit="1" customWidth="1"/>
    <col min="18" max="21" width="11.44140625" bestFit="1" customWidth="1"/>
  </cols>
  <sheetData>
    <row r="1" spans="1:6" x14ac:dyDescent="0.3">
      <c r="A1" t="str" cm="1">
        <f t="array" ref="A1:F1">'ETE Questions'!C1:H1</f>
        <v>CO1</v>
      </c>
      <c r="B1" t="str">
        <v>CO2</v>
      </c>
      <c r="C1" t="str">
        <v>CO3</v>
      </c>
      <c r="D1" t="str">
        <v>CO4</v>
      </c>
      <c r="E1" t="str">
        <v>CO5</v>
      </c>
      <c r="F1" t="str">
        <v>CO6</v>
      </c>
    </row>
    <row r="2" spans="1:6" x14ac:dyDescent="0.3">
      <c r="A2" cm="1">
        <f t="array" ref="A2:A19">_xlfn.LET(
    _xlpm.TargetStudents,
    TRANSPOSE(
        _xlfn._xlws.FILTER(
            'ETE Questions'!$A$2:INDEX('ETE Questions'!$A:$A, COUNTA('ETE Questions'!A:A)),
            _xlfn.XLOOKUP(
                A$1,
                'ETE Questions'!$C$1:$H$1,
                'ETE Questions'!$C$2:INDEX('ETE Questions'!$H:$H, COUNTA('ETE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'ETE Attemped Qs'!$A$1:$W$1,
                    'ETE Attemped Qs'!$A$2:INDEX('ETE Attemped Qs'!$W:$W, COUNTA('ETE Attemped Qs'!$W:$W)),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B2" cm="1">
        <f t="array" ref="B2:B19">_xlfn.LET(
    _xlpm.TargetStudents,
    TRANSPOSE(
        _xlfn._xlws.FILTER(
            'ETE Questions'!$A$2:INDEX('ETE Questions'!$A:$A, COUNTA('ETE Questions'!B:B)),
            _xlfn.XLOOKUP(
                B$1,
                'ETE Questions'!$C$1:$H$1,
                'ETE Questions'!$C$2:INDEX('ETE Questions'!$H:$H, COUNTA('ETE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'ETE Attemped Qs'!$A$1:$W$1,
                    'ETE Attemped Qs'!$A$2:INDEX('ETE Attemped Qs'!$W:$W, COUNTA('ETE Attemped Qs'!$W:$W)),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C2" cm="1">
        <f t="array" ref="C2:C19">_xlfn.LET(
    _xlpm.TargetStudents,
    TRANSPOSE(
        _xlfn._xlws.FILTER(
            'ETE Questions'!$A$2:INDEX('ETE Questions'!$A:$A, COUNTA('ETE Questions'!C:C)),
            _xlfn.XLOOKUP(
                C$1,
                'ETE Questions'!$C$1:$H$1,
                'ETE Questions'!$C$2:INDEX('ETE Questions'!$H:$H, COUNTA('ETE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'ETE Attemped Qs'!$A$1:$W$1,
                    'ETE Attemped Qs'!$A$2:INDEX('ETE Attemped Qs'!$W:$W, COUNTA('ETE Attemped Qs'!$W:$W)),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2010990089</v>
      </c>
      <c r="D2" t="str" cm="1">
        <f t="array" ref="D2">_xlfn.LET(
    _xlpm.TargetStudents,
    TRANSPOSE(
        _xlfn._xlws.FILTER(
            'ETE Questions'!$A$2:INDEX('ETE Questions'!$A:$A, COUNTA('ETE Questions'!D:D)),
            _xlfn.XLOOKUP(
                D$1,
                'ETE Questions'!$C$1:$H$1,
                'ETE Questions'!$C$2:INDEX('ETE Questions'!$H:$H, COUNTA('ETE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'ETE Attemped Qs'!$A$1:$W$1,
                    'ETE Attemped Qs'!$A$2:INDEX('ETE Attemped Qs'!$W:$W, COUNTA('ETE Attemped Qs'!$W:$W)),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E2" t="str" cm="1">
        <f t="array" ref="E2">_xlfn.LET(
    _xlpm.TargetStudents,
    TRANSPOSE(
        _xlfn._xlws.FILTER(
            'ETE Questions'!$A$2:INDEX('ETE Questions'!$A:$A, COUNTA('ETE Questions'!E:E)),
            _xlfn.XLOOKUP(
                E$1,
                'ETE Questions'!$C$1:$H$1,
                'ETE Questions'!$C$2:INDEX('ETE Questions'!$H:$H, COUNTA('ETE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'ETE Attemped Qs'!$A$1:$W$1,
                    'ETE Attemped Qs'!$A$2:INDEX('ETE Attemped Qs'!$W:$W, COUNTA('ETE Attemped Qs'!$W:$W)),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  <c r="F2" t="str" cm="1">
        <f t="array" ref="F2">_xlfn.LET(
    _xlpm.TargetStudents,
    TRANSPOSE(
        _xlfn._xlws.FILTER(
            'ETE Questions'!$A$2:INDEX('ETE Questions'!$A:$A, COUNTA('ETE Questions'!F:F)),
            _xlfn.XLOOKUP(
                F$1,
                'ETE Questions'!$C$1:$H$1,
                'ETE Questions'!$C$2:INDEX('ETE Questions'!$H:$H, COUNTA('ETE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'ETE Attemped Qs'!$A$1:$W$1,
                    'ETE Attemped Qs'!$A$2:INDEX('ETE Attemped Qs'!$W:$W, COUNTA('ETE Attemped Qs'!$W:$W)),
                    "Not Found"
                )
            )
        )),
        , 1
    ),
    _xlpm.FlattenedList,
    _xlfn.TOCOL(_xlpm.DataGrid, 1),
    _xlfn.UNIQUE(
        _xlfn._xlws.FILTER(_xlpm.FlattenedList, _xlpm.FlattenedList &lt;&gt; "")
    )
)</f>
        <v>Not Found</v>
      </c>
    </row>
    <row r="3" spans="1:6" x14ac:dyDescent="0.3">
      <c r="A3">
        <v>2010992002</v>
      </c>
      <c r="B3">
        <v>2010992002</v>
      </c>
      <c r="C3">
        <v>2010992002</v>
      </c>
    </row>
    <row r="4" spans="1:6" x14ac:dyDescent="0.3">
      <c r="A4">
        <v>2010992004</v>
      </c>
      <c r="B4">
        <v>2010992004</v>
      </c>
      <c r="C4">
        <v>2010992004</v>
      </c>
    </row>
    <row r="5" spans="1:6" x14ac:dyDescent="0.3">
      <c r="A5">
        <v>2010992005</v>
      </c>
      <c r="B5">
        <v>2010992005</v>
      </c>
      <c r="C5">
        <v>2010992005</v>
      </c>
    </row>
    <row r="6" spans="1:6" x14ac:dyDescent="0.3">
      <c r="A6">
        <v>2010992006</v>
      </c>
      <c r="B6">
        <v>2010992006</v>
      </c>
      <c r="C6">
        <v>2010992006</v>
      </c>
    </row>
    <row r="7" spans="1:6" x14ac:dyDescent="0.3">
      <c r="A7">
        <v>2010992008</v>
      </c>
      <c r="B7">
        <v>2010992008</v>
      </c>
      <c r="C7">
        <v>2010992008</v>
      </c>
    </row>
    <row r="8" spans="1:6" x14ac:dyDescent="0.3">
      <c r="A8">
        <v>2010992009</v>
      </c>
      <c r="B8">
        <v>2010992009</v>
      </c>
      <c r="C8">
        <v>2010992009</v>
      </c>
    </row>
    <row r="9" spans="1:6" x14ac:dyDescent="0.3">
      <c r="A9">
        <v>2010992010</v>
      </c>
      <c r="B9">
        <v>2010992010</v>
      </c>
      <c r="C9">
        <v>2010992010</v>
      </c>
    </row>
    <row r="10" spans="1:6" x14ac:dyDescent="0.3">
      <c r="A10">
        <v>2010992011</v>
      </c>
      <c r="B10">
        <v>2010992011</v>
      </c>
      <c r="C10">
        <v>2010992011</v>
      </c>
    </row>
    <row r="11" spans="1:6" x14ac:dyDescent="0.3">
      <c r="A11">
        <v>2010992012</v>
      </c>
      <c r="B11">
        <v>2010992012</v>
      </c>
      <c r="C11">
        <v>2010992012</v>
      </c>
    </row>
    <row r="12" spans="1:6" x14ac:dyDescent="0.3">
      <c r="A12">
        <v>2010992014</v>
      </c>
      <c r="B12">
        <v>2010992014</v>
      </c>
      <c r="C12">
        <v>2010992014</v>
      </c>
    </row>
    <row r="13" spans="1:6" x14ac:dyDescent="0.3">
      <c r="A13">
        <v>2010992015</v>
      </c>
      <c r="B13">
        <v>2010992015</v>
      </c>
      <c r="C13">
        <v>2010992015</v>
      </c>
    </row>
    <row r="14" spans="1:6" x14ac:dyDescent="0.3">
      <c r="A14">
        <v>2010992016</v>
      </c>
      <c r="B14">
        <v>2010992016</v>
      </c>
      <c r="C14">
        <v>2010992016</v>
      </c>
    </row>
    <row r="15" spans="1:6" x14ac:dyDescent="0.3">
      <c r="A15">
        <v>2010992017</v>
      </c>
      <c r="B15">
        <v>2010992017</v>
      </c>
      <c r="C15">
        <v>2010992017</v>
      </c>
    </row>
    <row r="16" spans="1:6" x14ac:dyDescent="0.3">
      <c r="A16">
        <v>2010992018</v>
      </c>
      <c r="B16">
        <v>2010992018</v>
      </c>
      <c r="C16">
        <v>2010992018</v>
      </c>
    </row>
    <row r="17" spans="1:3" x14ac:dyDescent="0.3">
      <c r="A17">
        <v>2010992019</v>
      </c>
      <c r="B17">
        <v>2010992019</v>
      </c>
      <c r="C17">
        <v>2010992019</v>
      </c>
    </row>
    <row r="18" spans="1:3" x14ac:dyDescent="0.3">
      <c r="A18">
        <v>2010992163</v>
      </c>
      <c r="B18">
        <v>2010992163</v>
      </c>
      <c r="C18">
        <v>2010992163</v>
      </c>
    </row>
    <row r="19" spans="1:3" x14ac:dyDescent="0.3">
      <c r="A19">
        <v>2010992202</v>
      </c>
      <c r="B19">
        <v>2010992202</v>
      </c>
      <c r="C19">
        <v>2010992202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C874-DE31-413F-B30B-67655B4788DE}">
  <sheetPr codeName="Sheet23"/>
  <dimension ref="A1:G19"/>
  <sheetViews>
    <sheetView zoomScale="85" zoomScaleNormal="85" workbookViewId="0"/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
    $A2:INDEX($A:$A,COUNTA($A:$A)),
    _xlfn.LAMBDA(_xlpm.studentID,
        SUM(
            IFERROR(
                _xlfn.XLOOKUP(
                    IF(
                        _xlfn.XLOOKUP(
                            B$1,
                            'ETE Questions'!$C$1:$H$1,
                            'ETE Questions'!$C$2:$H$24
                        ) = TRUE,
                        TRANSPOSE(
                            _xlfn.XLOOKUP(
                                _xlpm.studentID,
                                'ETE Question Map'!$A$2:INDEX('ETE Question Map'!$A:$A, COUNTA('ETE Question Map'!$A:$A)),
                                'ETE Question Map'!$B$2:INDEX('ETE Question Map'!$X:$X, COUNTA('ETE Question Map'!$X:$X))
                            )
                        )
                    ),
                    'ETE Questions'!$A$2:$A$24,
                    'ETE Questions'!$B$2:$B$24
                ),
                0
            )
        )
    )
)</f>
        <v>60</v>
      </c>
      <c r="C2" cm="1">
        <f t="array" ref="C2:C19">_xlfn.BYROW(
    $A2:INDEX($A:$A,COUNTA($A:$A)),
    _xlfn.LAMBDA(_xlpm.studentID,
        SUM(
            IFERROR(
                _xlfn.XLOOKUP(
                    IF(
                        _xlfn.XLOOKUP(
                            C$1,
                            'ETE Questions'!$C$1:$H$1,
                            'ETE Questions'!$C$2:$H$24
                        ) = TRUE,
                        TRANSPOSE(
                            _xlfn.XLOOKUP(
                                _xlpm.studentID,
                                'ETE Question Map'!$A$2:INDEX('ETE Question Map'!$A:$A, COUNTA('ETE Question Map'!$A:$A)),
                                'ETE Question Map'!$B$2:INDEX('ETE Question Map'!$X:$X, COUNTA('ETE Question Map'!$X:$X))
                            )
                        )
                    ),
                    'ETE Questions'!$A$2:$A$24,
                    'ETE Questions'!$B$2:$B$24
                ),
                0
            )
        )
    )
)</f>
        <v>60</v>
      </c>
      <c r="D2" cm="1">
        <f t="array" ref="D2:D19">_xlfn.BYROW(
    $A2:INDEX($A:$A,COUNTA($A:$A)),
    _xlfn.LAMBDA(_xlpm.studentID,
        SUM(
            IFERROR(
                _xlfn.XLOOKUP(
                    IF(
                        _xlfn.XLOOKUP(
                            D$1,
                            'ETE Questions'!$C$1:$H$1,
                            'ETE Questions'!$C$2:$H$24
                        ) = TRUE,
                        TRANSPOSE(
                            _xlfn.XLOOKUP(
                                _xlpm.studentID,
                                'ETE Question Map'!$A$2:INDEX('ETE Question Map'!$A:$A, COUNTA('ETE Question Map'!$A:$A)),
                                'ETE Question Map'!$B$2:INDEX('ETE Question Map'!$X:$X, COUNTA('ETE Question Map'!$X:$X))
                            )
                        )
                    ),
                    'ETE Questions'!$A$2:$A$24,
                    'ETE Questions'!$B$2:$B$24
                ),
                0
            )
        )
    )
)</f>
        <v>60</v>
      </c>
      <c r="E2" cm="1">
        <f t="array" ref="E2:E19">_xlfn.BYROW(
    $A2:INDEX($A:$A,COUNTA($A:$A)),
    _xlfn.LAMBDA(_xlpm.studentID,
        SUM(
            IFERROR(
                _xlfn.XLOOKUP(
                    IF(
                        _xlfn.XLOOKUP(
                            E$1,
                            'ETE Questions'!$C$1:$H$1,
                            'ETE Questions'!$C$2:$H$24
                        ) = TRUE,
                        TRANSPOSE(
                            _xlfn.XLOOKUP(
                                _xlpm.studentID,
                                'ETE Question Map'!$A$2:INDEX('ETE Question Map'!$A:$A, COUNTA('ETE Question Map'!$A:$A)),
                                'ETE Question Map'!$B$2:INDEX('ETE Question Map'!$X:$X, COUNTA('ETE Question Map'!$X:$X))
                            )
                        )
                    ),
                    'ETE Questions'!$A$2:$A$24,
                    'ETE Questions'!$B$2:$B$24
                ),
                0
            )
        )
    )
)</f>
        <v>0</v>
      </c>
      <c r="F2" cm="1">
        <f t="array" ref="F2:F19">_xlfn.BYROW(
    $A2:INDEX($A:$A,COUNTA($A:$A)),
    _xlfn.LAMBDA(_xlpm.studentID,
        SUM(
            IFERROR(
                _xlfn.XLOOKUP(
                    IF(
                        _xlfn.XLOOKUP(
                            F$1,
                            'ETE Questions'!$C$1:$H$1,
                            'ETE Questions'!$C$2:$H$24
                        ) = TRUE,
                        TRANSPOSE(
                            _xlfn.XLOOKUP(
                                _xlpm.studentID,
                                'ETE Question Map'!$A$2:INDEX('ETE Question Map'!$A:$A, COUNTA('ETE Question Map'!$A:$A)),
                                'ETE Question Map'!$B$2:INDEX('ETE Question Map'!$X:$X, COUNTA('ETE Question Map'!$X:$X))
                            )
                        )
                    ),
                    'ETE Questions'!$A$2:$A$24,
                    'ETE Questions'!$B$2:$B$24
                ),
                0
            )
        )
    )
)</f>
        <v>0</v>
      </c>
      <c r="G2" cm="1">
        <f t="array" ref="G2:G19">_xlfn.BYROW(
    $A2:INDEX($A:$A,COUNTA($A:$A)),
    _xlfn.LAMBDA(_xlpm.studentID,
        SUM(
            IFERROR(
                _xlfn.XLOOKUP(
                    IF(
                        _xlfn.XLOOKUP(
                            G$1,
                            'ETE Questions'!$C$1:$H$1,
                            'ETE Questions'!$C$2:$H$24
                        ) = TRUE,
                        TRANSPOSE(
                            _xlfn.XLOOKUP(
                                _xlpm.studentID,
                                'ETE Question Map'!$A$2:INDEX('ETE Question Map'!$A:$A, COUNTA('ETE Question Map'!$A:$A)),
                                'ETE Question Map'!$B$2:INDEX('ETE Question Map'!$X:$X, COUNTA('ETE Question Map'!$X:$X))
                            )
                        )
                    ),
                    'ETE Questions'!$A$2:$A$24,
                    'ETE Questions'!$B$2:$B$24
                ),
                0
            )
        )
    )
)</f>
        <v>0</v>
      </c>
    </row>
    <row r="3" spans="1:7" x14ac:dyDescent="0.3">
      <c r="A3">
        <v>2010992002</v>
      </c>
      <c r="B3">
        <v>60</v>
      </c>
      <c r="C3">
        <v>60</v>
      </c>
      <c r="D3">
        <v>60</v>
      </c>
      <c r="E3">
        <v>0</v>
      </c>
      <c r="F3">
        <v>0</v>
      </c>
      <c r="G3">
        <v>0</v>
      </c>
    </row>
    <row r="4" spans="1:7" x14ac:dyDescent="0.3">
      <c r="A4">
        <v>2010992004</v>
      </c>
      <c r="B4">
        <v>60</v>
      </c>
      <c r="C4">
        <v>60</v>
      </c>
      <c r="D4">
        <v>60</v>
      </c>
      <c r="E4">
        <v>0</v>
      </c>
      <c r="F4">
        <v>0</v>
      </c>
      <c r="G4">
        <v>0</v>
      </c>
    </row>
    <row r="5" spans="1:7" x14ac:dyDescent="0.3">
      <c r="A5">
        <v>2010992005</v>
      </c>
      <c r="B5">
        <v>60</v>
      </c>
      <c r="C5">
        <v>60</v>
      </c>
      <c r="D5">
        <v>60</v>
      </c>
      <c r="E5">
        <v>0</v>
      </c>
      <c r="F5">
        <v>0</v>
      </c>
      <c r="G5">
        <v>0</v>
      </c>
    </row>
    <row r="6" spans="1:7" x14ac:dyDescent="0.3">
      <c r="A6">
        <v>2010992006</v>
      </c>
      <c r="B6">
        <v>60</v>
      </c>
      <c r="C6">
        <v>60</v>
      </c>
      <c r="D6">
        <v>60</v>
      </c>
      <c r="E6">
        <v>0</v>
      </c>
      <c r="F6">
        <v>0</v>
      </c>
      <c r="G6">
        <v>0</v>
      </c>
    </row>
    <row r="7" spans="1:7" x14ac:dyDescent="0.3">
      <c r="A7">
        <v>2010992008</v>
      </c>
      <c r="B7">
        <v>60</v>
      </c>
      <c r="C7">
        <v>60</v>
      </c>
      <c r="D7">
        <v>60</v>
      </c>
      <c r="E7">
        <v>0</v>
      </c>
      <c r="F7">
        <v>0</v>
      </c>
      <c r="G7">
        <v>0</v>
      </c>
    </row>
    <row r="8" spans="1:7" x14ac:dyDescent="0.3">
      <c r="A8">
        <v>2010992009</v>
      </c>
      <c r="B8">
        <v>60</v>
      </c>
      <c r="C8">
        <v>60</v>
      </c>
      <c r="D8">
        <v>60</v>
      </c>
      <c r="E8">
        <v>0</v>
      </c>
      <c r="F8">
        <v>0</v>
      </c>
      <c r="G8">
        <v>0</v>
      </c>
    </row>
    <row r="9" spans="1:7" x14ac:dyDescent="0.3">
      <c r="A9">
        <v>2010992010</v>
      </c>
      <c r="B9">
        <v>60</v>
      </c>
      <c r="C9">
        <v>60</v>
      </c>
      <c r="D9">
        <v>60</v>
      </c>
      <c r="E9">
        <v>0</v>
      </c>
      <c r="F9">
        <v>0</v>
      </c>
      <c r="G9">
        <v>0</v>
      </c>
    </row>
    <row r="10" spans="1:7" x14ac:dyDescent="0.3">
      <c r="A10">
        <v>2010992011</v>
      </c>
      <c r="B10">
        <v>60</v>
      </c>
      <c r="C10">
        <v>60</v>
      </c>
      <c r="D10">
        <v>60</v>
      </c>
      <c r="E10">
        <v>0</v>
      </c>
      <c r="F10">
        <v>0</v>
      </c>
      <c r="G10">
        <v>0</v>
      </c>
    </row>
    <row r="11" spans="1:7" x14ac:dyDescent="0.3">
      <c r="A11">
        <v>2010992012</v>
      </c>
      <c r="B11">
        <v>60</v>
      </c>
      <c r="C11">
        <v>60</v>
      </c>
      <c r="D11">
        <v>60</v>
      </c>
      <c r="E11">
        <v>0</v>
      </c>
      <c r="F11">
        <v>0</v>
      </c>
      <c r="G11">
        <v>0</v>
      </c>
    </row>
    <row r="12" spans="1:7" x14ac:dyDescent="0.3">
      <c r="A12">
        <v>2010992014</v>
      </c>
      <c r="B12">
        <v>60</v>
      </c>
      <c r="C12">
        <v>60</v>
      </c>
      <c r="D12">
        <v>60</v>
      </c>
      <c r="E12">
        <v>0</v>
      </c>
      <c r="F12">
        <v>0</v>
      </c>
      <c r="G12">
        <v>0</v>
      </c>
    </row>
    <row r="13" spans="1:7" x14ac:dyDescent="0.3">
      <c r="A13">
        <v>2010992015</v>
      </c>
      <c r="B13">
        <v>60</v>
      </c>
      <c r="C13">
        <v>60</v>
      </c>
      <c r="D13">
        <v>60</v>
      </c>
      <c r="E13">
        <v>0</v>
      </c>
      <c r="F13">
        <v>0</v>
      </c>
      <c r="G13">
        <v>0</v>
      </c>
    </row>
    <row r="14" spans="1:7" x14ac:dyDescent="0.3">
      <c r="A14">
        <v>2010992016</v>
      </c>
      <c r="B14">
        <v>60</v>
      </c>
      <c r="C14">
        <v>60</v>
      </c>
      <c r="D14">
        <v>60</v>
      </c>
      <c r="E14">
        <v>0</v>
      </c>
      <c r="F14">
        <v>0</v>
      </c>
      <c r="G14">
        <v>0</v>
      </c>
    </row>
    <row r="15" spans="1:7" x14ac:dyDescent="0.3">
      <c r="A15">
        <v>2010992017</v>
      </c>
      <c r="B15">
        <v>60</v>
      </c>
      <c r="C15">
        <v>60</v>
      </c>
      <c r="D15">
        <v>60</v>
      </c>
      <c r="E15">
        <v>0</v>
      </c>
      <c r="F15">
        <v>0</v>
      </c>
      <c r="G15">
        <v>0</v>
      </c>
    </row>
    <row r="16" spans="1:7" x14ac:dyDescent="0.3">
      <c r="A16">
        <v>2010992018</v>
      </c>
      <c r="B16">
        <v>60</v>
      </c>
      <c r="C16">
        <v>60</v>
      </c>
      <c r="D16">
        <v>60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60</v>
      </c>
      <c r="C17">
        <v>60</v>
      </c>
      <c r="D17">
        <v>60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60</v>
      </c>
      <c r="C18">
        <v>60</v>
      </c>
      <c r="D18">
        <v>60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60</v>
      </c>
      <c r="C19">
        <v>60</v>
      </c>
      <c r="D19">
        <v>60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C87-DDB7-4A5F-BB02-7EB193E04465}">
  <sheetPr codeName="Sheet24"/>
  <dimension ref="A1:N19"/>
  <sheetViews>
    <sheetView zoomScaleNormal="100" workbookViewId="0"/>
  </sheetViews>
  <sheetFormatPr defaultRowHeight="14.4" x14ac:dyDescent="0.3"/>
  <cols>
    <col min="1" max="1" width="21" bestFit="1" customWidth="1"/>
  </cols>
  <sheetData>
    <row r="1" spans="1:14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4" x14ac:dyDescent="0.3">
      <c r="A2">
        <v>2010990089</v>
      </c>
      <c r="B2" cm="1">
        <f t="array" ref="B2:B19">_xlfn.BYROW(
$A2:INDEX($A:$A,COUNTA($A:$A)),
_xlfn.LAMBDA(_xlpm.studentID,
SUM(
IFERROR(
_xlfn.XLOOKUP(
IF(
_xlfn.XLOOKUP(
B$1,
'ETE Questions'!$C$1:$H$1,
'ETE Questions'!$C$2:$H$24
)=TRUE,
TRANSPOSE(
_xlfn.XLOOKUP(
_xlpm.studentID,
'ETE Question Map'!$A$2:INDEX('ETE Question Map'!$A:$A,COUNTA('ETE Question Map'!$A:$A)),
'ETE Question Map'!$B$2:INDEX('ETE Question Map'!$X:$X,COUNTA('ETE Question Map'!$X:$X))
)
)
),
'ETE Student Marks'!$C$1:$X$1,
_xlfn.XLOOKUP(
_xlpm.studentID,
'ETE Student Marks'!$A$1:INDEX('ETE Student Marks'!$A:$A,COUNTA('ETE Student Marks'!$A:$A)),
'ETE Student Marks'!$C$1:INDEX('ETE Student Marks'!$X:$X,COUNTA('ETE Student Marks'!$X:$X))
)
),
0
)
)
)
)</f>
        <v>45</v>
      </c>
      <c r="C2" cm="1">
        <f t="array" ref="C2:C19">_xlfn.BYROW(
$A2:INDEX($A:$A,COUNTA($A:$A)),
_xlfn.LAMBDA(_xlpm.studentID,
SUM(
IFERROR(
_xlfn.XLOOKUP(
IF(
_xlfn.XLOOKUP(
C$1,
'ETE Questions'!$C$1:$H$1,
'ETE Questions'!$C$2:$H$24
)=TRUE,
TRANSPOSE(
_xlfn.XLOOKUP(
_xlpm.studentID,
'ETE Question Map'!$A$2:INDEX('ETE Question Map'!$A:$A,COUNTA('ETE Question Map'!$A:$A)),
'ETE Question Map'!$B$2:INDEX('ETE Question Map'!$X:$X,COUNTA('ETE Question Map'!$X:$X))
)
)
),
'ETE Student Marks'!$C$1:$X$1,
_xlfn.XLOOKUP(
_xlpm.studentID,
'ETE Student Marks'!$A$1:INDEX('ETE Student Marks'!$A:$A,COUNTA('ETE Student Marks'!$A:$A)),
'ETE Student Marks'!$C$1:INDEX('ETE Student Marks'!$X:$X,COUNTA('ETE Student Marks'!$X:$X))
)
),
0
)
)
)
)</f>
        <v>45</v>
      </c>
      <c r="D2" cm="1">
        <f t="array" ref="D2:D19">_xlfn.BYROW(
$A2:INDEX($A:$A,COUNTA($A:$A)),
_xlfn.LAMBDA(_xlpm.studentID,
SUM(
IFERROR(
_xlfn.XLOOKUP(
IF(
_xlfn.XLOOKUP(
D$1,
'ETE Questions'!$C$1:$H$1,
'ETE Questions'!$C$2:$H$24
)=TRUE,
TRANSPOSE(
_xlfn.XLOOKUP(
_xlpm.studentID,
'ETE Question Map'!$A$2:INDEX('ETE Question Map'!$A:$A,COUNTA('ETE Question Map'!$A:$A)),
'ETE Question Map'!$B$2:INDEX('ETE Question Map'!$X:$X,COUNTA('ETE Question Map'!$X:$X))
)
)
),
'ETE Student Marks'!$C$1:$X$1,
_xlfn.XLOOKUP(
_xlpm.studentID,
'ETE Student Marks'!$A$1:INDEX('ETE Student Marks'!$A:$A,COUNTA('ETE Student Marks'!$A:$A)),
'ETE Student Marks'!$C$1:INDEX('ETE Student Marks'!$X:$X,COUNTA('ETE Student Marks'!$X:$X))
)
),
0
)
)
)
)</f>
        <v>45</v>
      </c>
      <c r="E2" cm="1">
        <f t="array" ref="E2:E19">_xlfn.BYROW(
$A2:INDEX($A:$A,COUNTA($A:$A)),
_xlfn.LAMBDA(_xlpm.studentID,
SUM(
IFERROR(
_xlfn.XLOOKUP(
IF(
_xlfn.XLOOKUP(
E$1,
'ETE Questions'!$C$1:$H$1,
'ETE Questions'!$C$2:$H$24
)=TRUE,
TRANSPOSE(
_xlfn.XLOOKUP(
_xlpm.studentID,
'ETE Question Map'!$A$2:INDEX('ETE Question Map'!$A:$A,COUNTA('ETE Question Map'!$A:$A)),
'ETE Question Map'!$B$2:INDEX('ETE Question Map'!$X:$X,COUNTA('ETE Question Map'!$X:$X))
)
)
),
'ETE Student Marks'!$C$1:$X$1,
_xlfn.XLOOKUP(
_xlpm.studentID,
'ETE Student Marks'!$A$1:INDEX('ETE Student Marks'!$A:$A,COUNTA('ETE Student Marks'!$A:$A)),
'ETE Student Marks'!$C$1:INDEX('ETE Student Marks'!$X:$X,COUNTA('ETE Student Marks'!$X:$X))
)
),
0
)
)
)
)</f>
        <v>0</v>
      </c>
      <c r="F2" cm="1">
        <f t="array" ref="F2:F19">_xlfn.BYROW(
$A2:INDEX($A:$A,COUNTA($A:$A)),
_xlfn.LAMBDA(_xlpm.studentID,
SUM(
IFERROR(
_xlfn.XLOOKUP(
IF(
_xlfn.XLOOKUP(
F$1,
'ETE Questions'!$C$1:$H$1,
'ETE Questions'!$C$2:$H$24
)=TRUE,
TRANSPOSE(
_xlfn.XLOOKUP(
_xlpm.studentID,
'ETE Question Map'!$A$2:INDEX('ETE Question Map'!$A:$A,COUNTA('ETE Question Map'!$A:$A)),
'ETE Question Map'!$B$2:INDEX('ETE Question Map'!$X:$X,COUNTA('ETE Question Map'!$X:$X))
)
)
),
'ETE Student Marks'!$C$1:$X$1,
_xlfn.XLOOKUP(
_xlpm.studentID,
'ETE Student Marks'!$A$1:INDEX('ETE Student Marks'!$A:$A,COUNTA('ETE Student Marks'!$A:$A)),
'ETE Student Marks'!$C$1:INDEX('ETE Student Marks'!$X:$X,COUNTA('ETE Student Marks'!$X:$X))
)
),
0
)
)
)
)</f>
        <v>0</v>
      </c>
      <c r="G2" cm="1">
        <f t="array" ref="G2:G19">_xlfn.BYROW(
$A2:INDEX($A:$A,COUNTA($A:$A)),
_xlfn.LAMBDA(_xlpm.studentID,
SUM(
IFERROR(
_xlfn.XLOOKUP(
IF(
_xlfn.XLOOKUP(
G$1,
'ETE Questions'!$C$1:$H$1,
'ETE Questions'!$C$2:$H$24
)=TRUE,
TRANSPOSE(
_xlfn.XLOOKUP(
_xlpm.studentID,
'ETE Question Map'!$A$2:INDEX('ETE Question Map'!$A:$A,COUNTA('ETE Question Map'!$A:$A)),
'ETE Question Map'!$B$2:INDEX('ETE Question Map'!$X:$X,COUNTA('ETE Question Map'!$X:$X))
)
)
),
'ETE Student Marks'!$C$1:$X$1,
_xlfn.XLOOKUP(
_xlpm.studentID,
'ETE Student Marks'!$A$1:INDEX('ETE Student Marks'!$A:$A,COUNTA('ETE Student Marks'!$A:$A)),
'ETE Student Marks'!$C$1:INDEX('ETE Student Marks'!$X:$X,COUNTA('ETE Student Marks'!$X:$X))
)
),
0
)
)
)
)</f>
        <v>0</v>
      </c>
    </row>
    <row r="3" spans="1:14" x14ac:dyDescent="0.3">
      <c r="A3">
        <v>2010992002</v>
      </c>
      <c r="B3">
        <v>47</v>
      </c>
      <c r="C3">
        <v>47</v>
      </c>
      <c r="D3">
        <v>47</v>
      </c>
      <c r="E3">
        <v>0</v>
      </c>
      <c r="F3">
        <v>0</v>
      </c>
      <c r="G3">
        <v>0</v>
      </c>
    </row>
    <row r="4" spans="1:14" ht="14.7" customHeight="1" x14ac:dyDescent="0.3">
      <c r="A4">
        <v>2010992004</v>
      </c>
      <c r="B4">
        <v>46</v>
      </c>
      <c r="C4">
        <v>46</v>
      </c>
      <c r="D4">
        <v>46</v>
      </c>
      <c r="E4">
        <v>0</v>
      </c>
      <c r="F4">
        <v>0</v>
      </c>
      <c r="G4">
        <v>0</v>
      </c>
      <c r="N4" s="1"/>
    </row>
    <row r="5" spans="1:14" x14ac:dyDescent="0.3">
      <c r="A5">
        <v>2010992005</v>
      </c>
      <c r="B5">
        <v>43</v>
      </c>
      <c r="C5">
        <v>43</v>
      </c>
      <c r="D5">
        <v>43</v>
      </c>
      <c r="E5">
        <v>0</v>
      </c>
      <c r="F5">
        <v>0</v>
      </c>
      <c r="G5">
        <v>0</v>
      </c>
    </row>
    <row r="6" spans="1:14" x14ac:dyDescent="0.3">
      <c r="A6">
        <v>2010992006</v>
      </c>
      <c r="B6">
        <v>48</v>
      </c>
      <c r="C6">
        <v>48</v>
      </c>
      <c r="D6">
        <v>48</v>
      </c>
      <c r="E6">
        <v>0</v>
      </c>
      <c r="F6">
        <v>0</v>
      </c>
      <c r="G6">
        <v>0</v>
      </c>
    </row>
    <row r="7" spans="1:14" x14ac:dyDescent="0.3">
      <c r="A7">
        <v>2010992008</v>
      </c>
      <c r="B7">
        <v>48</v>
      </c>
      <c r="C7">
        <v>48</v>
      </c>
      <c r="D7">
        <v>48</v>
      </c>
      <c r="E7">
        <v>0</v>
      </c>
      <c r="F7">
        <v>0</v>
      </c>
      <c r="G7">
        <v>0</v>
      </c>
    </row>
    <row r="8" spans="1:14" x14ac:dyDescent="0.3">
      <c r="A8">
        <v>2010992009</v>
      </c>
      <c r="B8">
        <v>50</v>
      </c>
      <c r="C8">
        <v>50</v>
      </c>
      <c r="D8">
        <v>50</v>
      </c>
      <c r="E8">
        <v>0</v>
      </c>
      <c r="F8">
        <v>0</v>
      </c>
      <c r="G8">
        <v>0</v>
      </c>
    </row>
    <row r="9" spans="1:14" x14ac:dyDescent="0.3">
      <c r="A9">
        <v>2010992010</v>
      </c>
      <c r="B9">
        <v>48</v>
      </c>
      <c r="C9">
        <v>48</v>
      </c>
      <c r="D9">
        <v>48</v>
      </c>
      <c r="E9">
        <v>0</v>
      </c>
      <c r="F9">
        <v>0</v>
      </c>
      <c r="G9">
        <v>0</v>
      </c>
    </row>
    <row r="10" spans="1:14" x14ac:dyDescent="0.3">
      <c r="A10">
        <v>2010992011</v>
      </c>
      <c r="B10">
        <v>46</v>
      </c>
      <c r="C10">
        <v>46</v>
      </c>
      <c r="D10">
        <v>46</v>
      </c>
      <c r="E10">
        <v>0</v>
      </c>
      <c r="F10">
        <v>0</v>
      </c>
      <c r="G10">
        <v>0</v>
      </c>
    </row>
    <row r="11" spans="1:14" x14ac:dyDescent="0.3">
      <c r="A11">
        <v>2010992012</v>
      </c>
      <c r="B11">
        <v>41</v>
      </c>
      <c r="C11">
        <v>41</v>
      </c>
      <c r="D11">
        <v>41</v>
      </c>
      <c r="E11">
        <v>0</v>
      </c>
      <c r="F11">
        <v>0</v>
      </c>
      <c r="G11">
        <v>0</v>
      </c>
    </row>
    <row r="12" spans="1:14" x14ac:dyDescent="0.3">
      <c r="A12">
        <v>2010992014</v>
      </c>
      <c r="B12">
        <v>48</v>
      </c>
      <c r="C12">
        <v>48</v>
      </c>
      <c r="D12">
        <v>48</v>
      </c>
      <c r="E12">
        <v>0</v>
      </c>
      <c r="F12">
        <v>0</v>
      </c>
      <c r="G12">
        <v>0</v>
      </c>
    </row>
    <row r="13" spans="1:14" x14ac:dyDescent="0.3">
      <c r="A13">
        <v>2010992015</v>
      </c>
      <c r="B13">
        <v>38</v>
      </c>
      <c r="C13">
        <v>38</v>
      </c>
      <c r="D13">
        <v>38</v>
      </c>
      <c r="E13">
        <v>0</v>
      </c>
      <c r="F13">
        <v>0</v>
      </c>
      <c r="G13">
        <v>0</v>
      </c>
    </row>
    <row r="14" spans="1:14" x14ac:dyDescent="0.3">
      <c r="A14">
        <v>2010992016</v>
      </c>
      <c r="B14">
        <v>50</v>
      </c>
      <c r="C14">
        <v>50</v>
      </c>
      <c r="D14">
        <v>50</v>
      </c>
      <c r="E14">
        <v>0</v>
      </c>
      <c r="F14">
        <v>0</v>
      </c>
      <c r="G14">
        <v>0</v>
      </c>
    </row>
    <row r="15" spans="1:14" x14ac:dyDescent="0.3">
      <c r="A15">
        <v>2010992017</v>
      </c>
      <c r="B15">
        <v>50</v>
      </c>
      <c r="C15">
        <v>50</v>
      </c>
      <c r="D15">
        <v>50</v>
      </c>
      <c r="E15">
        <v>0</v>
      </c>
      <c r="F15">
        <v>0</v>
      </c>
      <c r="G15">
        <v>0</v>
      </c>
    </row>
    <row r="16" spans="1:14" x14ac:dyDescent="0.3">
      <c r="A16">
        <v>2010992018</v>
      </c>
      <c r="B16">
        <v>51</v>
      </c>
      <c r="C16">
        <v>51</v>
      </c>
      <c r="D16">
        <v>51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50</v>
      </c>
      <c r="C17">
        <v>50</v>
      </c>
      <c r="D17">
        <v>50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41</v>
      </c>
      <c r="C18">
        <v>41</v>
      </c>
      <c r="D18">
        <v>41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47</v>
      </c>
      <c r="C19">
        <v>47</v>
      </c>
      <c r="D19">
        <v>47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E0E6-FFE2-4C98-8D32-BA7A0B9CE434}">
  <sheetPr codeName="Sheet25"/>
  <dimension ref="A1:G19"/>
  <sheetViews>
    <sheetView workbookViewId="0"/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
    $A2:INDEX($A:$A,COUNTA($A:$A)),
    _xlfn.LAMBDA(_xlpm.studentID,
        IFERROR(
            _xlfn.XLOOKUP(
                _xlpm.studentID,
                'ETE Student Attained CO Score'!$A:$A,
                'ETE Student Attained CO Score'!B:B
            ) /
            _xlfn.XLOOKUP(
                _xlpm.studentID,
                'ETE Student MO CO Score'!$A:$A,
                'ETE Student MO CO Score'!B:B
            )*100,
            "NA"
        )
    )
)</f>
        <v>75</v>
      </c>
      <c r="C2" cm="1">
        <f t="array" ref="C2:C19">_xlfn.BYROW(
    $A2:INDEX($A:$A,COUNTA($A:$A)),
    _xlfn.LAMBDA(_xlpm.studentID,
        IFERROR(
            _xlfn.XLOOKUP(
                _xlpm.studentID,
                'ETE Student Attained CO Score'!$A:$A,
                'ETE Student Attained CO Score'!C:C
            ) /
            _xlfn.XLOOKUP(
                _xlpm.studentID,
                'ETE Student MO CO Score'!$A:$A,
                'ETE Student MO CO Score'!C:C
            )*100,
            "CO questions Not Attempted"
        )
    )
)</f>
        <v>75</v>
      </c>
      <c r="D2" cm="1">
        <f t="array" ref="D2:D19">_xlfn.BYROW(
    $A2:INDEX($A:$A,COUNTA($A:$A)),
    _xlfn.LAMBDA(_xlpm.studentID,
        IFERROR(
            _xlfn.XLOOKUP(
                _xlpm.studentID,
                'ETE Student Attained CO Score'!$A:$A,
                'ETE Student Attained CO Score'!D:D
            ) /
            _xlfn.XLOOKUP(
                _xlpm.studentID,
                'ETE Student MO CO Score'!$A:$A,
                'ETE Student MO CO Score'!D:D
            )*100,
            "CO questions Not Attempted"
        )
    )
)</f>
        <v>75</v>
      </c>
      <c r="E2" t="str" cm="1">
        <f t="array" ref="E2:E19">_xlfn.BYROW(
    $A2:INDEX($A:$A,COUNTA($A:$A)),
    _xlfn.LAMBDA(_xlpm.studentID,
        IFERROR(
            _xlfn.XLOOKUP(
                _xlpm.studentID,
                'ETE Student Attained CO Score'!$A:$A,
                'ETE Student Attained CO Score'!E:E
            ) /
            _xlfn.XLOOKUP(
                _xlpm.studentID,
                'ETE Student MO CO Score'!$A:$A,
                'ETE Student MO CO Score'!E:E
            )*100,
            "CO questions Not Attempted"
        )
    )
)</f>
        <v>CO questions Not Attempted</v>
      </c>
      <c r="F2" t="str" cm="1">
        <f t="array" ref="F2:F19">_xlfn.BYROW(
    $A2:INDEX($A:$A,COUNTA($A:$A)),
    _xlfn.LAMBDA(_xlpm.studentID,
        IFERROR(
            _xlfn.XLOOKUP(
                _xlpm.studentID,
                'ETE Student Attained CO Score'!$A:$A,
                'ETE Student Attained CO Score'!F:F
            ) /
            _xlfn.XLOOKUP(
                _xlpm.studentID,
                'ETE Student MO CO Score'!$A:$A,
                'ETE Student MO CO Score'!F:F
            )*100,
            "CO questions Not Attempted"
        )
    )
)</f>
        <v>CO questions Not Attempted</v>
      </c>
      <c r="G2" t="str" cm="1">
        <f t="array" ref="G2:G19">_xlfn.BYROW(
    $A2:INDEX($A:$A,COUNTA($A:$A)),
    _xlfn.LAMBDA(_xlpm.studentID,
        IFERROR(
            _xlfn.XLOOKUP(
                _xlpm.studentID,
                'ETE Student Attained CO Score'!$A:$A,
                'ETE Student Attained CO Score'!G:G
            ) /
            _xlfn.XLOOKUP(
                _xlpm.studentID,
                'ETE Student MO CO Score'!$A:$A,
                'ETE Student MO CO Score'!G:G
            )*100,
            "CO questions Not Attempted"
        )
    )
)</f>
        <v>CO questions Not Attempted</v>
      </c>
    </row>
    <row r="3" spans="1:7" x14ac:dyDescent="0.3">
      <c r="A3">
        <v>2010992002</v>
      </c>
      <c r="B3">
        <v>78.333333333333329</v>
      </c>
      <c r="C3">
        <v>78.333333333333329</v>
      </c>
      <c r="D3">
        <v>78.333333333333329</v>
      </c>
      <c r="E3" t="str">
        <v>CO questions Not Attempted</v>
      </c>
      <c r="F3" t="str">
        <v>CO questions Not Attempted</v>
      </c>
      <c r="G3" t="str">
        <v>CO questions Not Attempted</v>
      </c>
    </row>
    <row r="4" spans="1:7" x14ac:dyDescent="0.3">
      <c r="A4">
        <v>2010992004</v>
      </c>
      <c r="B4">
        <v>76.666666666666671</v>
      </c>
      <c r="C4">
        <v>76.666666666666671</v>
      </c>
      <c r="D4">
        <v>76.666666666666671</v>
      </c>
      <c r="E4" t="str">
        <v>CO questions Not Attempted</v>
      </c>
      <c r="F4" t="str">
        <v>CO questions Not Attempted</v>
      </c>
      <c r="G4" t="str">
        <v>CO questions Not Attempted</v>
      </c>
    </row>
    <row r="5" spans="1:7" x14ac:dyDescent="0.3">
      <c r="A5">
        <v>2010992005</v>
      </c>
      <c r="B5">
        <v>71.666666666666671</v>
      </c>
      <c r="C5">
        <v>71.666666666666671</v>
      </c>
      <c r="D5">
        <v>71.666666666666671</v>
      </c>
      <c r="E5" t="str">
        <v>CO questions Not Attempted</v>
      </c>
      <c r="F5" t="str">
        <v>CO questions Not Attempted</v>
      </c>
      <c r="G5" t="str">
        <v>CO questions Not Attempted</v>
      </c>
    </row>
    <row r="6" spans="1:7" x14ac:dyDescent="0.3">
      <c r="A6">
        <v>2010992006</v>
      </c>
      <c r="B6">
        <v>80</v>
      </c>
      <c r="C6">
        <v>80</v>
      </c>
      <c r="D6">
        <v>80</v>
      </c>
      <c r="E6" t="str">
        <v>CO questions Not Attempted</v>
      </c>
      <c r="F6" t="str">
        <v>CO questions Not Attempted</v>
      </c>
      <c r="G6" t="str">
        <v>CO questions Not Attempted</v>
      </c>
    </row>
    <row r="7" spans="1:7" x14ac:dyDescent="0.3">
      <c r="A7">
        <v>2010992008</v>
      </c>
      <c r="B7">
        <v>80</v>
      </c>
      <c r="C7">
        <v>80</v>
      </c>
      <c r="D7">
        <v>80</v>
      </c>
      <c r="E7" t="str">
        <v>CO questions Not Attempted</v>
      </c>
      <c r="F7" t="str">
        <v>CO questions Not Attempted</v>
      </c>
      <c r="G7" t="str">
        <v>CO questions Not Attempted</v>
      </c>
    </row>
    <row r="8" spans="1:7" x14ac:dyDescent="0.3">
      <c r="A8">
        <v>2010992009</v>
      </c>
      <c r="B8">
        <v>83.333333333333343</v>
      </c>
      <c r="C8">
        <v>83.333333333333343</v>
      </c>
      <c r="D8">
        <v>83.333333333333343</v>
      </c>
      <c r="E8" t="str">
        <v>CO questions Not Attempted</v>
      </c>
      <c r="F8" t="str">
        <v>CO questions Not Attempted</v>
      </c>
      <c r="G8" t="str">
        <v>CO questions Not Attempted</v>
      </c>
    </row>
    <row r="9" spans="1:7" x14ac:dyDescent="0.3">
      <c r="A9">
        <v>2010992010</v>
      </c>
      <c r="B9">
        <v>80</v>
      </c>
      <c r="C9">
        <v>80</v>
      </c>
      <c r="D9">
        <v>80</v>
      </c>
      <c r="E9" t="str">
        <v>CO questions Not Attempted</v>
      </c>
      <c r="F9" t="str">
        <v>CO questions Not Attempted</v>
      </c>
      <c r="G9" t="str">
        <v>CO questions Not Attempted</v>
      </c>
    </row>
    <row r="10" spans="1:7" x14ac:dyDescent="0.3">
      <c r="A10">
        <v>2010992011</v>
      </c>
      <c r="B10">
        <v>76.666666666666671</v>
      </c>
      <c r="C10">
        <v>76.666666666666671</v>
      </c>
      <c r="D10">
        <v>76.666666666666671</v>
      </c>
      <c r="E10" t="str">
        <v>CO questions Not Attempted</v>
      </c>
      <c r="F10" t="str">
        <v>CO questions Not Attempted</v>
      </c>
      <c r="G10" t="str">
        <v>CO questions Not Attempted</v>
      </c>
    </row>
    <row r="11" spans="1:7" x14ac:dyDescent="0.3">
      <c r="A11">
        <v>2010992012</v>
      </c>
      <c r="B11">
        <v>68.333333333333329</v>
      </c>
      <c r="C11">
        <v>68.333333333333329</v>
      </c>
      <c r="D11">
        <v>68.333333333333329</v>
      </c>
      <c r="E11" t="str">
        <v>CO questions Not Attempted</v>
      </c>
      <c r="F11" t="str">
        <v>CO questions Not Attempted</v>
      </c>
      <c r="G11" t="str">
        <v>CO questions Not Attempted</v>
      </c>
    </row>
    <row r="12" spans="1:7" x14ac:dyDescent="0.3">
      <c r="A12">
        <v>2010992014</v>
      </c>
      <c r="B12">
        <v>80</v>
      </c>
      <c r="C12">
        <v>80</v>
      </c>
      <c r="D12">
        <v>80</v>
      </c>
      <c r="E12" t="str">
        <v>CO questions Not Attempted</v>
      </c>
      <c r="F12" t="str">
        <v>CO questions Not Attempted</v>
      </c>
      <c r="G12" t="str">
        <v>CO questions Not Attempted</v>
      </c>
    </row>
    <row r="13" spans="1:7" x14ac:dyDescent="0.3">
      <c r="A13">
        <v>2010992015</v>
      </c>
      <c r="B13">
        <v>63.333333333333329</v>
      </c>
      <c r="C13">
        <v>63.333333333333329</v>
      </c>
      <c r="D13">
        <v>63.333333333333329</v>
      </c>
      <c r="E13" t="str">
        <v>CO questions Not Attempted</v>
      </c>
      <c r="F13" t="str">
        <v>CO questions Not Attempted</v>
      </c>
      <c r="G13" t="str">
        <v>CO questions Not Attempted</v>
      </c>
    </row>
    <row r="14" spans="1:7" x14ac:dyDescent="0.3">
      <c r="A14">
        <v>2010992016</v>
      </c>
      <c r="B14">
        <v>83.333333333333343</v>
      </c>
      <c r="C14">
        <v>83.333333333333343</v>
      </c>
      <c r="D14">
        <v>83.333333333333343</v>
      </c>
      <c r="E14" t="str">
        <v>CO questions Not Attempted</v>
      </c>
      <c r="F14" t="str">
        <v>CO questions Not Attempted</v>
      </c>
      <c r="G14" t="str">
        <v>CO questions Not Attempted</v>
      </c>
    </row>
    <row r="15" spans="1:7" x14ac:dyDescent="0.3">
      <c r="A15">
        <v>2010992017</v>
      </c>
      <c r="B15">
        <v>83.333333333333343</v>
      </c>
      <c r="C15">
        <v>83.333333333333343</v>
      </c>
      <c r="D15">
        <v>83.333333333333343</v>
      </c>
      <c r="E15" t="str">
        <v>CO questions Not Attempted</v>
      </c>
      <c r="F15" t="str">
        <v>CO questions Not Attempted</v>
      </c>
      <c r="G15" t="str">
        <v>CO questions Not Attempted</v>
      </c>
    </row>
    <row r="16" spans="1:7" x14ac:dyDescent="0.3">
      <c r="A16">
        <v>2010992018</v>
      </c>
      <c r="B16">
        <v>85</v>
      </c>
      <c r="C16">
        <v>85</v>
      </c>
      <c r="D16">
        <v>85</v>
      </c>
      <c r="E16" t="str">
        <v>CO questions Not Attempted</v>
      </c>
      <c r="F16" t="str">
        <v>CO questions Not Attempted</v>
      </c>
      <c r="G16" t="str">
        <v>CO questions Not Attempted</v>
      </c>
    </row>
    <row r="17" spans="1:7" x14ac:dyDescent="0.3">
      <c r="A17">
        <v>2010992019</v>
      </c>
      <c r="B17">
        <v>83.333333333333343</v>
      </c>
      <c r="C17">
        <v>83.333333333333343</v>
      </c>
      <c r="D17">
        <v>83.333333333333343</v>
      </c>
      <c r="E17" t="str">
        <v>CO questions Not Attempted</v>
      </c>
      <c r="F17" t="str">
        <v>CO questions Not Attempted</v>
      </c>
      <c r="G17" t="str">
        <v>CO questions Not Attempted</v>
      </c>
    </row>
    <row r="18" spans="1:7" x14ac:dyDescent="0.3">
      <c r="A18">
        <v>2010992163</v>
      </c>
      <c r="B18">
        <v>68.333333333333329</v>
      </c>
      <c r="C18">
        <v>68.333333333333329</v>
      </c>
      <c r="D18">
        <v>68.333333333333329</v>
      </c>
      <c r="E18" t="str">
        <v>CO questions Not Attempted</v>
      </c>
      <c r="F18" t="str">
        <v>CO questions Not Attempted</v>
      </c>
      <c r="G18" t="str">
        <v>CO questions Not Attempted</v>
      </c>
    </row>
    <row r="19" spans="1:7" x14ac:dyDescent="0.3">
      <c r="A19">
        <v>2010992202</v>
      </c>
      <c r="B19">
        <v>78.333333333333329</v>
      </c>
      <c r="C19">
        <v>78.333333333333329</v>
      </c>
      <c r="D19">
        <v>78.333333333333329</v>
      </c>
      <c r="E19" t="str">
        <v>CO questions Not Attempted</v>
      </c>
      <c r="F19" t="str">
        <v>CO questions Not Attempted</v>
      </c>
      <c r="G19" t="str">
        <v>CO questions Not Attempted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5A46-7591-44A4-9196-340CB7395445}">
  <sheetPr codeName="Sheet26"/>
  <dimension ref="A1:G19"/>
  <sheetViews>
    <sheetView workbookViewId="0"/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INDEX('ETE Result'!B:B, 1):INDEX('ETE Result'!B:B, COUNTA('ETE Result'!B:B) )</f>
        <v>Admission No. (Roll No.)</v>
      </c>
      <c r="B1" t="str" cm="1">
        <f t="array" ref="B1:G1">'ETE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_xlfn.BYROW('ETE Student Attainment percent'!B2:INDEX('ETE Student Attainment percent'!B:B,COUNTA('ETE Student Attainment percent'!B:B)),_xlfn.LAMBDA(_xlpm.score,_xlfn.IFS(_xlpm.score="NA","NA",_xlpm.score&gt;'OBE Data'!$B$2-1,3,_xlpm.score&gt;'OBE Data'!$B$3-1,2,_xlpm.score&gt;'OBE Data'!$B$4-1,1,_xlpm.score&lt;'OBE Data'!$B$4,0)))</f>
        <v>3</v>
      </c>
      <c r="C2" cm="1">
        <f t="array" ref="C2:C19">_xlfn.BYROW('ETE Student Attainment percent'!C2:INDEX('ETE Student Attainment percent'!C:C,COUNTA('ETE Student Attainment percent'!C:C)),_xlfn.LAMBDA(_xlpm.score,_xlfn.IFS(_xlpm.score="NA","NA",_xlpm.score&gt;'OBE Data'!$B$2-1,3,_xlpm.score&gt;'OBE Data'!$B$3-1,2,_xlpm.score&gt;'OBE Data'!$B$4-1,1,_xlpm.score&lt;'OBE Data'!$B$4,0)))</f>
        <v>3</v>
      </c>
      <c r="D2" cm="1">
        <f t="array" ref="D2:D19">_xlfn.BYROW('ETE Student Attainment percent'!D2:INDEX('ETE Student Attainment percent'!D:D,COUNTA('ETE Student Attainment percent'!D:D)),_xlfn.LAMBDA(_xlpm.score,_xlfn.IFS(_xlpm.score="NA","NA",_xlpm.score&gt;'OBE Data'!$B$2-1,3,_xlpm.score&gt;'OBE Data'!$B$3-1,2,_xlpm.score&gt;'OBE Data'!$B$4-1,1,_xlpm.score&lt;'OBE Data'!$B$4,0)))</f>
        <v>3</v>
      </c>
      <c r="E2" cm="1">
        <f t="array" ref="E2:E19">_xlfn.BYROW('ETE Student Attainment percent'!E2:INDEX('ETE Student Attainment percent'!E:E,COUNTA('ETE Student Attainment percent'!E:E)),_xlfn.LAMBDA(_xlpm.score,_xlfn.IFS(_xlpm.score="NA","NA",_xlpm.score&gt;'OBE Data'!$B$2-1,3,_xlpm.score&gt;'OBE Data'!$B$3-1,2,_xlpm.score&gt;'OBE Data'!$B$4-1,1,_xlpm.score&lt;'OBE Data'!$B$4,0)))</f>
        <v>3</v>
      </c>
      <c r="F2" cm="1">
        <f t="array" ref="F2:F19">_xlfn.BYROW('ETE Student Attainment percent'!F2:INDEX('ETE Student Attainment percent'!F:F,COUNTA('ETE Student Attainment percent'!F:F)),_xlfn.LAMBDA(_xlpm.score,_xlfn.IFS(_xlpm.score="NA","NA",_xlpm.score&gt;'OBE Data'!$B$2-1,3,_xlpm.score&gt;'OBE Data'!$B$3-1,2,_xlpm.score&gt;'OBE Data'!$B$4-1,1,_xlpm.score&lt;'OBE Data'!$B$4,0)))</f>
        <v>3</v>
      </c>
      <c r="G2" cm="1">
        <f t="array" ref="G2:G19">_xlfn.BYROW('ETE Student Attainment percent'!G2:INDEX('ETE Student Attainment percent'!G:G,COUNTA('ETE Student Attainment percent'!G:G)),_xlfn.LAMBDA(_xlpm.score,_xlfn.IFS(_xlpm.score="NA","NA",_xlpm.score&gt;'OBE Data'!$B$2-1,3,_xlpm.score&gt;'OBE Data'!$B$3-1,2,_xlpm.score&gt;'OBE Data'!$B$4-1,1,_xlpm.score&lt;'OBE Data'!$B$4,0)))</f>
        <v>3</v>
      </c>
    </row>
    <row r="3" spans="1:7" x14ac:dyDescent="0.3">
      <c r="A3">
        <v>2010992002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3">
      <c r="A4">
        <v>2010992004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</row>
    <row r="5" spans="1:7" x14ac:dyDescent="0.3">
      <c r="A5">
        <v>2010992005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</row>
    <row r="6" spans="1:7" x14ac:dyDescent="0.3">
      <c r="A6">
        <v>2010992006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</row>
    <row r="7" spans="1:7" x14ac:dyDescent="0.3">
      <c r="A7">
        <v>2010992008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</row>
    <row r="8" spans="1:7" x14ac:dyDescent="0.3">
      <c r="A8">
        <v>2010992009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</row>
    <row r="9" spans="1:7" x14ac:dyDescent="0.3">
      <c r="A9">
        <v>2010992010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</row>
    <row r="10" spans="1:7" x14ac:dyDescent="0.3">
      <c r="A10">
        <v>2010992011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</row>
    <row r="11" spans="1:7" x14ac:dyDescent="0.3">
      <c r="A11">
        <v>2010992012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</row>
    <row r="12" spans="1:7" x14ac:dyDescent="0.3">
      <c r="A12">
        <v>2010992014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</row>
    <row r="13" spans="1:7" x14ac:dyDescent="0.3">
      <c r="A13">
        <v>2010992015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</row>
    <row r="14" spans="1:7" x14ac:dyDescent="0.3">
      <c r="A14">
        <v>2010992016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</row>
    <row r="15" spans="1:7" x14ac:dyDescent="0.3">
      <c r="A15">
        <v>2010992017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</row>
    <row r="16" spans="1:7" x14ac:dyDescent="0.3">
      <c r="A16">
        <v>2010992018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</row>
    <row r="17" spans="1:7" x14ac:dyDescent="0.3">
      <c r="A17">
        <v>2010992019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</row>
    <row r="18" spans="1:7" x14ac:dyDescent="0.3">
      <c r="A18">
        <v>2010992163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</row>
    <row r="19" spans="1:7" x14ac:dyDescent="0.3">
      <c r="A19">
        <v>2010992202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4C4B-A5B4-404F-92C5-95126EC05D1D}">
  <sheetPr codeName="Sheet27"/>
  <dimension ref="A1:G19"/>
  <sheetViews>
    <sheetView workbookViewId="0"/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INDEX('ETE Result'!B:B, 1):INDEX('ETE Result'!B:B, COUNTA('ETE Result'!B:B) )</f>
        <v>Admission No. (Roll No.)</v>
      </c>
      <c r="B1" t="str" cm="1">
        <f t="array" ref="B1:G1">'ETE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t="str" cm="1">
        <f t="array" ref="B2:B19">_xlfn.BYROW('ETE Student Attainment percent'!B2:INDEX('ETE Student Attainment percent'!B:B,COUNTA('ETE Student Attainment percent'!B:B)),_xlfn.LAMBDA(_xlpm.score,_xlfn.IFS(_xlpm.score="NA","NA",_xlpm.score&gt;='OBE Data'!$B$5,"Y",_xlpm.score&lt;'OBE Data'!$B$5,"N")))</f>
        <v>Y</v>
      </c>
      <c r="C2" t="str" cm="1">
        <f t="array" ref="C2:C19">_xlfn.BYROW('ETE Student Attainment percent'!C2:INDEX('ETE Student Attainment percent'!C:C,COUNTA('ETE Student Attainment percent'!C:C)),_xlfn.LAMBDA(_xlpm.score,_xlfn.IFS(_xlpm.score="NA","NA",_xlpm.score&gt;='OBE Data'!$B$5,"Y",_xlpm.score&lt;'OBE Data'!$B$5,"N")))</f>
        <v>Y</v>
      </c>
      <c r="D2" t="str" cm="1">
        <f t="array" ref="D2:D19">_xlfn.BYROW('ETE Student Attainment percent'!D2:INDEX('ETE Student Attainment percent'!D:D,COUNTA('ETE Student Attainment percent'!D:D)),_xlfn.LAMBDA(_xlpm.score,_xlfn.IFS(_xlpm.score="NA","NA",_xlpm.score&gt;='OBE Data'!$B$5,"Y",_xlpm.score&lt;'OBE Data'!$B$5,"N")))</f>
        <v>Y</v>
      </c>
      <c r="E2" t="str" cm="1">
        <f t="array" ref="E2:E19">_xlfn.BYROW('ETE Student Attainment percent'!E2:INDEX('ETE Student Attainment percent'!E:E,COUNTA('ETE Student Attainment percent'!E:E)),_xlfn.LAMBDA(_xlpm.score,_xlfn.IFS(_xlpm.score="NA","NA",_xlpm.score&gt;='OBE Data'!$B$5,"Y",_xlpm.score&lt;'OBE Data'!$B$5,"N")))</f>
        <v>Y</v>
      </c>
      <c r="F2" t="str" cm="1">
        <f t="array" ref="F2:F19">_xlfn.BYROW('ETE Student Attainment percent'!F2:INDEX('ETE Student Attainment percent'!F:F,COUNTA('ETE Student Attainment percent'!F:F)),_xlfn.LAMBDA(_xlpm.score,_xlfn.IFS(_xlpm.score="NA","NA",_xlpm.score&gt;='OBE Data'!$B$5,"Y",_xlpm.score&lt;'OBE Data'!$B$5,"N")))</f>
        <v>Y</v>
      </c>
      <c r="G2" t="str" cm="1">
        <f t="array" ref="G2:G19">_xlfn.BYROW('ETE Student Attainment percent'!G2:INDEX('ETE Student Attainment percent'!G:G,COUNTA('ETE Student Attainment percent'!G:G)),_xlfn.LAMBDA(_xlpm.score,_xlfn.IFS(_xlpm.score="NA","NA",_xlpm.score&gt;='OBE Data'!$B$5,"Y",_xlpm.score&lt;'OBE Data'!$B$5,"N")))</f>
        <v>Y</v>
      </c>
    </row>
    <row r="3" spans="1:7" x14ac:dyDescent="0.3">
      <c r="A3">
        <v>2010992002</v>
      </c>
      <c r="B3" t="str">
        <v>Y</v>
      </c>
      <c r="C3" t="str">
        <v>Y</v>
      </c>
      <c r="D3" t="str">
        <v>Y</v>
      </c>
      <c r="E3" t="str">
        <v>Y</v>
      </c>
      <c r="F3" t="str">
        <v>Y</v>
      </c>
      <c r="G3" t="str">
        <v>Y</v>
      </c>
    </row>
    <row r="4" spans="1:7" x14ac:dyDescent="0.3">
      <c r="A4">
        <v>2010992004</v>
      </c>
      <c r="B4" t="str">
        <v>Y</v>
      </c>
      <c r="C4" t="str">
        <v>Y</v>
      </c>
      <c r="D4" t="str">
        <v>Y</v>
      </c>
      <c r="E4" t="str">
        <v>Y</v>
      </c>
      <c r="F4" t="str">
        <v>Y</v>
      </c>
      <c r="G4" t="str">
        <v>Y</v>
      </c>
    </row>
    <row r="5" spans="1:7" x14ac:dyDescent="0.3">
      <c r="A5">
        <v>2010992005</v>
      </c>
      <c r="B5" t="str">
        <v>Y</v>
      </c>
      <c r="C5" t="str">
        <v>Y</v>
      </c>
      <c r="D5" t="str">
        <v>Y</v>
      </c>
      <c r="E5" t="str">
        <v>Y</v>
      </c>
      <c r="F5" t="str">
        <v>Y</v>
      </c>
      <c r="G5" t="str">
        <v>Y</v>
      </c>
    </row>
    <row r="6" spans="1:7" x14ac:dyDescent="0.3">
      <c r="A6">
        <v>2010992006</v>
      </c>
      <c r="B6" t="str">
        <v>Y</v>
      </c>
      <c r="C6" t="str">
        <v>Y</v>
      </c>
      <c r="D6" t="str">
        <v>Y</v>
      </c>
      <c r="E6" t="str">
        <v>Y</v>
      </c>
      <c r="F6" t="str">
        <v>Y</v>
      </c>
      <c r="G6" t="str">
        <v>Y</v>
      </c>
    </row>
    <row r="7" spans="1:7" x14ac:dyDescent="0.3">
      <c r="A7">
        <v>2010992008</v>
      </c>
      <c r="B7" t="str">
        <v>Y</v>
      </c>
      <c r="C7" t="str">
        <v>Y</v>
      </c>
      <c r="D7" t="str">
        <v>Y</v>
      </c>
      <c r="E7" t="str">
        <v>Y</v>
      </c>
      <c r="F7" t="str">
        <v>Y</v>
      </c>
      <c r="G7" t="str">
        <v>Y</v>
      </c>
    </row>
    <row r="8" spans="1:7" x14ac:dyDescent="0.3">
      <c r="A8">
        <v>2010992009</v>
      </c>
      <c r="B8" t="str">
        <v>Y</v>
      </c>
      <c r="C8" t="str">
        <v>Y</v>
      </c>
      <c r="D8" t="str">
        <v>Y</v>
      </c>
      <c r="E8" t="str">
        <v>Y</v>
      </c>
      <c r="F8" t="str">
        <v>Y</v>
      </c>
      <c r="G8" t="str">
        <v>Y</v>
      </c>
    </row>
    <row r="9" spans="1:7" x14ac:dyDescent="0.3">
      <c r="A9">
        <v>2010992010</v>
      </c>
      <c r="B9" t="str">
        <v>Y</v>
      </c>
      <c r="C9" t="str">
        <v>Y</v>
      </c>
      <c r="D9" t="str">
        <v>Y</v>
      </c>
      <c r="E9" t="str">
        <v>Y</v>
      </c>
      <c r="F9" t="str">
        <v>Y</v>
      </c>
      <c r="G9" t="str">
        <v>Y</v>
      </c>
    </row>
    <row r="10" spans="1:7" x14ac:dyDescent="0.3">
      <c r="A10">
        <v>2010992011</v>
      </c>
      <c r="B10" t="str">
        <v>Y</v>
      </c>
      <c r="C10" t="str">
        <v>Y</v>
      </c>
      <c r="D10" t="str">
        <v>Y</v>
      </c>
      <c r="E10" t="str">
        <v>Y</v>
      </c>
      <c r="F10" t="str">
        <v>Y</v>
      </c>
      <c r="G10" t="str">
        <v>Y</v>
      </c>
    </row>
    <row r="11" spans="1:7" x14ac:dyDescent="0.3">
      <c r="A11">
        <v>2010992012</v>
      </c>
      <c r="B11" t="str">
        <v>Y</v>
      </c>
      <c r="C11" t="str">
        <v>Y</v>
      </c>
      <c r="D11" t="str">
        <v>Y</v>
      </c>
      <c r="E11" t="str">
        <v>Y</v>
      </c>
      <c r="F11" t="str">
        <v>Y</v>
      </c>
      <c r="G11" t="str">
        <v>Y</v>
      </c>
    </row>
    <row r="12" spans="1:7" x14ac:dyDescent="0.3">
      <c r="A12">
        <v>2010992014</v>
      </c>
      <c r="B12" t="str">
        <v>Y</v>
      </c>
      <c r="C12" t="str">
        <v>Y</v>
      </c>
      <c r="D12" t="str">
        <v>Y</v>
      </c>
      <c r="E12" t="str">
        <v>Y</v>
      </c>
      <c r="F12" t="str">
        <v>Y</v>
      </c>
      <c r="G12" t="str">
        <v>Y</v>
      </c>
    </row>
    <row r="13" spans="1:7" x14ac:dyDescent="0.3">
      <c r="A13">
        <v>2010992015</v>
      </c>
      <c r="B13" t="str">
        <v>Y</v>
      </c>
      <c r="C13" t="str">
        <v>Y</v>
      </c>
      <c r="D13" t="str">
        <v>Y</v>
      </c>
      <c r="E13" t="str">
        <v>Y</v>
      </c>
      <c r="F13" t="str">
        <v>Y</v>
      </c>
      <c r="G13" t="str">
        <v>Y</v>
      </c>
    </row>
    <row r="14" spans="1:7" x14ac:dyDescent="0.3">
      <c r="A14">
        <v>2010992016</v>
      </c>
      <c r="B14" t="str">
        <v>Y</v>
      </c>
      <c r="C14" t="str">
        <v>Y</v>
      </c>
      <c r="D14" t="str">
        <v>Y</v>
      </c>
      <c r="E14" t="str">
        <v>Y</v>
      </c>
      <c r="F14" t="str">
        <v>Y</v>
      </c>
      <c r="G14" t="str">
        <v>Y</v>
      </c>
    </row>
    <row r="15" spans="1:7" x14ac:dyDescent="0.3">
      <c r="A15">
        <v>2010992017</v>
      </c>
      <c r="B15" t="str">
        <v>Y</v>
      </c>
      <c r="C15" t="str">
        <v>Y</v>
      </c>
      <c r="D15" t="str">
        <v>Y</v>
      </c>
      <c r="E15" t="str">
        <v>Y</v>
      </c>
      <c r="F15" t="str">
        <v>Y</v>
      </c>
      <c r="G15" t="str">
        <v>Y</v>
      </c>
    </row>
    <row r="16" spans="1:7" x14ac:dyDescent="0.3">
      <c r="A16">
        <v>2010992018</v>
      </c>
      <c r="B16" t="str">
        <v>Y</v>
      </c>
      <c r="C16" t="str">
        <v>Y</v>
      </c>
      <c r="D16" t="str">
        <v>Y</v>
      </c>
      <c r="E16" t="str">
        <v>Y</v>
      </c>
      <c r="F16" t="str">
        <v>Y</v>
      </c>
      <c r="G16" t="str">
        <v>Y</v>
      </c>
    </row>
    <row r="17" spans="1:7" x14ac:dyDescent="0.3">
      <c r="A17">
        <v>2010992019</v>
      </c>
      <c r="B17" t="str">
        <v>Y</v>
      </c>
      <c r="C17" t="str">
        <v>Y</v>
      </c>
      <c r="D17" t="str">
        <v>Y</v>
      </c>
      <c r="E17" t="str">
        <v>Y</v>
      </c>
      <c r="F17" t="str">
        <v>Y</v>
      </c>
      <c r="G17" t="str">
        <v>Y</v>
      </c>
    </row>
    <row r="18" spans="1:7" x14ac:dyDescent="0.3">
      <c r="A18">
        <v>2010992163</v>
      </c>
      <c r="B18" t="str">
        <v>Y</v>
      </c>
      <c r="C18" t="str">
        <v>Y</v>
      </c>
      <c r="D18" t="str">
        <v>Y</v>
      </c>
      <c r="E18" t="str">
        <v>Y</v>
      </c>
      <c r="F18" t="str">
        <v>Y</v>
      </c>
      <c r="G18" t="str">
        <v>Y</v>
      </c>
    </row>
    <row r="19" spans="1:7" x14ac:dyDescent="0.3">
      <c r="A19">
        <v>2010992202</v>
      </c>
      <c r="B19" t="str">
        <v>Y</v>
      </c>
      <c r="C19" t="str">
        <v>Y</v>
      </c>
      <c r="D19" t="str">
        <v>Y</v>
      </c>
      <c r="E19" t="str">
        <v>Y</v>
      </c>
      <c r="F19" t="str">
        <v>Y</v>
      </c>
      <c r="G19" t="str">
        <v>Y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9A81-1D00-49F4-8959-28A6E006ED33}">
  <dimension ref="A1:H10"/>
  <sheetViews>
    <sheetView workbookViewId="0">
      <selection activeCell="F3" sqref="F3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t="str" cm="1">
        <f t="array" ref="A2:A4">"ST1-"&amp;'[1]ST1 Question Map'!$A$22:$A$24</f>
        <v>ST1-Assignment</v>
      </c>
      <c r="B2" cm="1">
        <f t="array" ref="B2:H4">'[1]ST1 Question Map'!$B$22:$H$24</f>
        <v>10</v>
      </c>
      <c r="C2" t="b">
        <v>1</v>
      </c>
      <c r="D2" t="b">
        <v>1</v>
      </c>
      <c r="E2" t="b">
        <v>0</v>
      </c>
      <c r="F2" t="b">
        <v>0</v>
      </c>
      <c r="G2" t="b">
        <v>0</v>
      </c>
      <c r="H2" t="b">
        <v>0</v>
      </c>
    </row>
    <row r="3" spans="1:8" x14ac:dyDescent="0.3">
      <c r="A3" t="str">
        <v>ST1-FA1</v>
      </c>
      <c r="B3">
        <v>0</v>
      </c>
      <c r="C3" t="b">
        <v>0</v>
      </c>
      <c r="D3" t="b">
        <v>0</v>
      </c>
      <c r="E3" t="b">
        <v>1</v>
      </c>
      <c r="F3" t="b">
        <v>1</v>
      </c>
      <c r="G3" t="b">
        <v>0</v>
      </c>
      <c r="H3" t="b">
        <v>0</v>
      </c>
    </row>
    <row r="4" spans="1:8" x14ac:dyDescent="0.3">
      <c r="A4" t="str">
        <v>ST1-FA2</v>
      </c>
      <c r="B4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1</v>
      </c>
    </row>
    <row r="5" spans="1:8" x14ac:dyDescent="0.3">
      <c r="A5" t="str" cm="1">
        <f t="array" ref="A5:A7">"ST2-"&amp;'[1]ST2 Question Map'!$A$22:$A$24</f>
        <v>ST2-Assignment</v>
      </c>
      <c r="B5" cm="1">
        <f t="array" ref="B5:H7">'[1]ST2 Question Map'!$B$22:$H$24</f>
        <v>10</v>
      </c>
      <c r="C5" t="b">
        <v>1</v>
      </c>
      <c r="D5" t="b">
        <v>1</v>
      </c>
      <c r="E5" t="b">
        <v>1</v>
      </c>
      <c r="F5" t="b">
        <v>0</v>
      </c>
      <c r="G5" t="b">
        <v>0</v>
      </c>
      <c r="H5" t="b">
        <v>0</v>
      </c>
    </row>
    <row r="6" spans="1:8" x14ac:dyDescent="0.3">
      <c r="A6" t="str">
        <v>ST2-FA1</v>
      </c>
      <c r="B6">
        <v>20</v>
      </c>
      <c r="C6" t="b">
        <v>1</v>
      </c>
      <c r="D6" t="b">
        <v>1</v>
      </c>
      <c r="E6" t="b">
        <v>1</v>
      </c>
      <c r="F6" t="b">
        <v>0</v>
      </c>
      <c r="G6" t="b">
        <v>0</v>
      </c>
      <c r="H6" t="b">
        <v>0</v>
      </c>
    </row>
    <row r="7" spans="1:8" x14ac:dyDescent="0.3">
      <c r="A7" t="str">
        <v>ST2-FA2</v>
      </c>
      <c r="B7">
        <v>20</v>
      </c>
      <c r="C7" t="b">
        <v>1</v>
      </c>
      <c r="D7" t="b">
        <v>1</v>
      </c>
      <c r="E7" t="b">
        <v>1</v>
      </c>
      <c r="F7" t="b">
        <v>0</v>
      </c>
      <c r="G7" t="b">
        <v>0</v>
      </c>
      <c r="H7" t="b">
        <v>0</v>
      </c>
    </row>
    <row r="8" spans="1:8" x14ac:dyDescent="0.3">
      <c r="A8" t="str" cm="1">
        <f t="array" ref="A8:A10">"ST3-"&amp;'[1]ST3 Question Map'!$A$22:$A$24</f>
        <v>ST3-Assignment</v>
      </c>
      <c r="B8" cm="1">
        <f t="array" ref="B8:H10">'[1]ST3 Question Map'!$B$22:$H$24</f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 spans="1:8" x14ac:dyDescent="0.3">
      <c r="A9" t="str">
        <v>ST3-FA1</v>
      </c>
      <c r="B9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 spans="1:8" x14ac:dyDescent="0.3">
      <c r="A10" t="str">
        <v>ST3-FA2</v>
      </c>
      <c r="B10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87BB-4789-46F1-8A74-4D22CC8AC274}">
  <dimension ref="A1:U19"/>
  <sheetViews>
    <sheetView topLeftCell="D1" workbookViewId="0">
      <selection activeCell="U3" sqref="U3"/>
    </sheetView>
  </sheetViews>
  <sheetFormatPr defaultRowHeight="14.4" x14ac:dyDescent="0.3"/>
  <sheetData>
    <row r="1" spans="1:21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tr" cm="1">
        <f t="array" ref="M1:U1">TRANSPOSE('ASN Questions'!A2:A10)</f>
        <v>ST1-Assignment</v>
      </c>
      <c r="N1" t="str">
        <v>ST1-FA1</v>
      </c>
      <c r="O1" t="str">
        <v>ST1-FA2</v>
      </c>
      <c r="P1" t="str">
        <v>ST2-Assignment</v>
      </c>
      <c r="Q1" t="str">
        <v>ST2-FA1</v>
      </c>
      <c r="R1" t="str">
        <v>ST2-FA2</v>
      </c>
      <c r="S1" t="str">
        <v>ST3-Assignment</v>
      </c>
      <c r="T1" t="str">
        <v>ST3-FA1</v>
      </c>
      <c r="U1" t="str">
        <v>ST3-FA2</v>
      </c>
    </row>
    <row r="2" spans="1:21" x14ac:dyDescent="0.3">
      <c r="A2" cm="1">
        <f t="array" ref="A2:K19">'[1]ST1 Result'!$A$2:$K$19</f>
        <v>1</v>
      </c>
      <c r="B2">
        <v>2010990089</v>
      </c>
      <c r="C2" t="str">
        <v>ANSH GARG</v>
      </c>
      <c r="D2">
        <v>0</v>
      </c>
      <c r="E2" t="str">
        <v>EC112</v>
      </c>
      <c r="F2" t="str">
        <v>Network Analysis and Synthesis</v>
      </c>
      <c r="G2" t="str">
        <v>Theory</v>
      </c>
      <c r="H2" t="str">
        <v>B.E</v>
      </c>
      <c r="I2" t="str">
        <v>ECE</v>
      </c>
      <c r="J2">
        <v>2020</v>
      </c>
      <c r="K2">
        <v>3</v>
      </c>
      <c r="L2" t="s">
        <v>22</v>
      </c>
      <c r="M2" cm="1">
        <f t="array" ref="M2:O19">'[1]ST1 Result'!$AG$2:$AI$19</f>
        <v>7</v>
      </c>
      <c r="N2" t="str">
        <v>U</v>
      </c>
      <c r="O2" t="str">
        <v>U</v>
      </c>
      <c r="P2" cm="1">
        <f t="array" ref="P2:R19">'[1]ST2 Result'!$AG$2:$AI$19</f>
        <v>7</v>
      </c>
      <c r="Q2">
        <v>15</v>
      </c>
      <c r="R2">
        <v>18</v>
      </c>
      <c r="S2" t="str" cm="1">
        <f t="array" ref="S2:U19">'[1]ST3 Result'!$AG$2:$AI$19</f>
        <v>U</v>
      </c>
      <c r="T2" t="str">
        <v>U</v>
      </c>
      <c r="U2" t="str">
        <v>U</v>
      </c>
    </row>
    <row r="3" spans="1:21" x14ac:dyDescent="0.3">
      <c r="A3">
        <v>2</v>
      </c>
      <c r="B3">
        <v>2010992002</v>
      </c>
      <c r="C3" t="str">
        <v>PANSY VERMA</v>
      </c>
      <c r="D3">
        <v>0</v>
      </c>
      <c r="E3" t="str">
        <v>EC112</v>
      </c>
      <c r="F3" t="str">
        <v>Network Analysis and Synthesis</v>
      </c>
      <c r="G3" t="str">
        <v>Theory</v>
      </c>
      <c r="H3" t="str">
        <v>B.E</v>
      </c>
      <c r="I3" t="str">
        <v>ECE</v>
      </c>
      <c r="J3">
        <v>2020</v>
      </c>
      <c r="K3">
        <v>3</v>
      </c>
      <c r="L3" t="s">
        <v>22</v>
      </c>
      <c r="M3">
        <v>10</v>
      </c>
      <c r="N3" t="str">
        <v>U</v>
      </c>
      <c r="O3" t="str">
        <v>U</v>
      </c>
      <c r="P3">
        <v>10</v>
      </c>
      <c r="Q3">
        <v>16</v>
      </c>
      <c r="R3">
        <v>18</v>
      </c>
      <c r="S3" t="str">
        <v>U</v>
      </c>
      <c r="T3" t="str">
        <v>U</v>
      </c>
      <c r="U3" t="str">
        <v>U</v>
      </c>
    </row>
    <row r="4" spans="1:21" x14ac:dyDescent="0.3">
      <c r="A4">
        <v>3</v>
      </c>
      <c r="B4">
        <v>2010992004</v>
      </c>
      <c r="C4" t="str">
        <v>UTKARSH BHATT</v>
      </c>
      <c r="D4">
        <v>0</v>
      </c>
      <c r="E4" t="str">
        <v>EC112</v>
      </c>
      <c r="F4" t="str">
        <v>Network Analysis and Synthesis</v>
      </c>
      <c r="G4" t="str">
        <v>Theory</v>
      </c>
      <c r="H4" t="str">
        <v>B.E</v>
      </c>
      <c r="I4" t="str">
        <v>ECE</v>
      </c>
      <c r="J4">
        <v>2020</v>
      </c>
      <c r="K4">
        <v>3</v>
      </c>
      <c r="L4" t="s">
        <v>22</v>
      </c>
      <c r="M4">
        <v>10</v>
      </c>
      <c r="N4" t="str">
        <v>U</v>
      </c>
      <c r="O4" t="str">
        <v>U</v>
      </c>
      <c r="P4">
        <v>7</v>
      </c>
      <c r="Q4">
        <v>15</v>
      </c>
      <c r="R4">
        <v>18</v>
      </c>
      <c r="S4" t="str">
        <v>U</v>
      </c>
      <c r="T4" t="str">
        <v>U</v>
      </c>
      <c r="U4" t="str">
        <v>U</v>
      </c>
    </row>
    <row r="5" spans="1:21" x14ac:dyDescent="0.3">
      <c r="A5">
        <v>4</v>
      </c>
      <c r="B5">
        <v>2010992005</v>
      </c>
      <c r="C5" t="str">
        <v>RATANABH SHARMA</v>
      </c>
      <c r="D5">
        <v>0</v>
      </c>
      <c r="E5" t="str">
        <v>EC112</v>
      </c>
      <c r="F5" t="str">
        <v>Network Analysis and Synthesis</v>
      </c>
      <c r="G5" t="str">
        <v>Theory</v>
      </c>
      <c r="H5" t="str">
        <v>B.E</v>
      </c>
      <c r="I5" t="str">
        <v>ECE</v>
      </c>
      <c r="J5">
        <v>2020</v>
      </c>
      <c r="K5">
        <v>3</v>
      </c>
      <c r="L5" t="s">
        <v>22</v>
      </c>
      <c r="M5">
        <v>10</v>
      </c>
      <c r="N5" t="str">
        <v>U</v>
      </c>
      <c r="O5" t="str">
        <v>U</v>
      </c>
      <c r="P5">
        <v>10</v>
      </c>
      <c r="Q5">
        <v>17</v>
      </c>
      <c r="R5">
        <v>18</v>
      </c>
      <c r="S5" t="str">
        <v>U</v>
      </c>
      <c r="T5" t="str">
        <v>U</v>
      </c>
      <c r="U5" t="str">
        <v>U</v>
      </c>
    </row>
    <row r="6" spans="1:21" x14ac:dyDescent="0.3">
      <c r="A6">
        <v>5</v>
      </c>
      <c r="B6">
        <v>2010992006</v>
      </c>
      <c r="C6" t="str">
        <v>AYUSH SHARMA</v>
      </c>
      <c r="D6">
        <v>0</v>
      </c>
      <c r="E6" t="str">
        <v>EC112</v>
      </c>
      <c r="F6" t="str">
        <v>Network Analysis and Synthesis</v>
      </c>
      <c r="G6" t="str">
        <v>Theory</v>
      </c>
      <c r="H6" t="str">
        <v>B.E</v>
      </c>
      <c r="I6" t="str">
        <v>ECE</v>
      </c>
      <c r="J6">
        <v>2020</v>
      </c>
      <c r="K6">
        <v>3</v>
      </c>
      <c r="L6" t="s">
        <v>22</v>
      </c>
      <c r="M6">
        <v>7</v>
      </c>
      <c r="N6" t="str">
        <v>U</v>
      </c>
      <c r="O6" t="str">
        <v>U</v>
      </c>
      <c r="P6">
        <v>7</v>
      </c>
      <c r="Q6">
        <v>14</v>
      </c>
      <c r="R6">
        <v>16</v>
      </c>
      <c r="S6" t="str">
        <v>U</v>
      </c>
      <c r="T6" t="str">
        <v>U</v>
      </c>
      <c r="U6" t="str">
        <v>U</v>
      </c>
    </row>
    <row r="7" spans="1:21" x14ac:dyDescent="0.3">
      <c r="A7">
        <v>6</v>
      </c>
      <c r="B7">
        <v>2010992008</v>
      </c>
      <c r="C7" t="str">
        <v>NAVDEEP SINGH</v>
      </c>
      <c r="D7">
        <v>0</v>
      </c>
      <c r="E7" t="str">
        <v>EC112</v>
      </c>
      <c r="F7" t="str">
        <v>Network Analysis and Synthesis</v>
      </c>
      <c r="G7" t="str">
        <v>Theory</v>
      </c>
      <c r="H7" t="str">
        <v>B.E</v>
      </c>
      <c r="I7" t="str">
        <v>ECE</v>
      </c>
      <c r="J7">
        <v>2020</v>
      </c>
      <c r="K7">
        <v>3</v>
      </c>
      <c r="L7" t="s">
        <v>22</v>
      </c>
      <c r="M7">
        <v>9</v>
      </c>
      <c r="N7" t="str">
        <v>U</v>
      </c>
      <c r="O7" t="str">
        <v>U</v>
      </c>
      <c r="P7">
        <v>9</v>
      </c>
      <c r="Q7">
        <v>16</v>
      </c>
      <c r="R7">
        <v>18</v>
      </c>
      <c r="S7" t="str">
        <v>U</v>
      </c>
      <c r="T7" t="str">
        <v>U</v>
      </c>
      <c r="U7" t="str">
        <v>U</v>
      </c>
    </row>
    <row r="8" spans="1:21" x14ac:dyDescent="0.3">
      <c r="A8">
        <v>7</v>
      </c>
      <c r="B8">
        <v>2010992009</v>
      </c>
      <c r="C8" t="str">
        <v>RIYA</v>
      </c>
      <c r="D8">
        <v>0</v>
      </c>
      <c r="E8" t="str">
        <v>EC112</v>
      </c>
      <c r="F8" t="str">
        <v>Network Analysis and Synthesis</v>
      </c>
      <c r="G8" t="str">
        <v>Theory</v>
      </c>
      <c r="H8" t="str">
        <v>B.E</v>
      </c>
      <c r="I8" t="str">
        <v>ECE</v>
      </c>
      <c r="J8">
        <v>2020</v>
      </c>
      <c r="K8">
        <v>3</v>
      </c>
      <c r="L8" t="s">
        <v>22</v>
      </c>
      <c r="M8">
        <v>9</v>
      </c>
      <c r="N8" t="str">
        <v>U</v>
      </c>
      <c r="O8" t="str">
        <v>U</v>
      </c>
      <c r="P8">
        <v>9</v>
      </c>
      <c r="Q8">
        <v>16</v>
      </c>
      <c r="R8">
        <v>18</v>
      </c>
      <c r="S8" t="str">
        <v>U</v>
      </c>
      <c r="T8" t="str">
        <v>U</v>
      </c>
      <c r="U8" t="str">
        <v>U</v>
      </c>
    </row>
    <row r="9" spans="1:21" x14ac:dyDescent="0.3">
      <c r="A9">
        <v>8</v>
      </c>
      <c r="B9">
        <v>2010992010</v>
      </c>
      <c r="C9" t="str">
        <v>RISHABH TANDON</v>
      </c>
      <c r="D9">
        <v>0</v>
      </c>
      <c r="E9" t="str">
        <v>EC112</v>
      </c>
      <c r="F9" t="str">
        <v>Network Analysis and Synthesis</v>
      </c>
      <c r="G9" t="str">
        <v>Theory</v>
      </c>
      <c r="H9" t="str">
        <v>B.E</v>
      </c>
      <c r="I9" t="str">
        <v>ECE</v>
      </c>
      <c r="J9">
        <v>2020</v>
      </c>
      <c r="K9">
        <v>3</v>
      </c>
      <c r="L9" t="s">
        <v>22</v>
      </c>
      <c r="M9">
        <v>9</v>
      </c>
      <c r="N9" t="str">
        <v>U</v>
      </c>
      <c r="O9" t="str">
        <v>U</v>
      </c>
      <c r="P9">
        <v>9</v>
      </c>
      <c r="Q9">
        <v>17</v>
      </c>
      <c r="R9">
        <v>18</v>
      </c>
      <c r="S9" t="str">
        <v>U</v>
      </c>
      <c r="T9" t="str">
        <v>U</v>
      </c>
      <c r="U9" t="str">
        <v>U</v>
      </c>
    </row>
    <row r="10" spans="1:21" x14ac:dyDescent="0.3">
      <c r="A10">
        <v>9</v>
      </c>
      <c r="B10">
        <v>2010992011</v>
      </c>
      <c r="C10" t="str">
        <v>HEERENDRA SINGH CHAUHAN</v>
      </c>
      <c r="D10">
        <v>0</v>
      </c>
      <c r="E10" t="str">
        <v>EC112</v>
      </c>
      <c r="F10" t="str">
        <v>Network Analysis and Synthesis</v>
      </c>
      <c r="G10" t="str">
        <v>Theory</v>
      </c>
      <c r="H10" t="str">
        <v>B.E</v>
      </c>
      <c r="I10" t="str">
        <v>ECE</v>
      </c>
      <c r="J10">
        <v>2020</v>
      </c>
      <c r="K10">
        <v>3</v>
      </c>
      <c r="L10" t="s">
        <v>22</v>
      </c>
      <c r="M10">
        <v>10</v>
      </c>
      <c r="N10" t="str">
        <v>U</v>
      </c>
      <c r="O10" t="str">
        <v>U</v>
      </c>
      <c r="P10">
        <v>7</v>
      </c>
      <c r="Q10">
        <v>12</v>
      </c>
      <c r="R10">
        <v>10</v>
      </c>
      <c r="S10" t="str">
        <v>U</v>
      </c>
      <c r="T10" t="str">
        <v>U</v>
      </c>
      <c r="U10" t="str">
        <v>U</v>
      </c>
    </row>
    <row r="11" spans="1:21" x14ac:dyDescent="0.3">
      <c r="A11">
        <v>10</v>
      </c>
      <c r="B11">
        <v>2010992012</v>
      </c>
      <c r="C11" t="str">
        <v>AKSHAT</v>
      </c>
      <c r="D11">
        <v>0</v>
      </c>
      <c r="E11" t="str">
        <v>EC112</v>
      </c>
      <c r="F11" t="str">
        <v>Network Analysis and Synthesis</v>
      </c>
      <c r="G11" t="str">
        <v>Theory</v>
      </c>
      <c r="H11" t="str">
        <v>B.E</v>
      </c>
      <c r="I11" t="str">
        <v>ECE</v>
      </c>
      <c r="J11">
        <v>2020</v>
      </c>
      <c r="K11">
        <v>3</v>
      </c>
      <c r="L11" t="s">
        <v>22</v>
      </c>
      <c r="M11">
        <v>10</v>
      </c>
      <c r="N11" t="str">
        <v>U</v>
      </c>
      <c r="O11" t="str">
        <v>U</v>
      </c>
      <c r="P11">
        <v>10</v>
      </c>
      <c r="Q11">
        <v>16</v>
      </c>
      <c r="R11">
        <v>18</v>
      </c>
      <c r="S11" t="str">
        <v>U</v>
      </c>
      <c r="T11" t="str">
        <v>U</v>
      </c>
      <c r="U11" t="str">
        <v>U</v>
      </c>
    </row>
    <row r="12" spans="1:21" x14ac:dyDescent="0.3">
      <c r="A12">
        <v>11</v>
      </c>
      <c r="B12">
        <v>2010992014</v>
      </c>
      <c r="C12" t="str">
        <v>HARSHIT CHAHAL</v>
      </c>
      <c r="D12">
        <v>0</v>
      </c>
      <c r="E12" t="str">
        <v>EC112</v>
      </c>
      <c r="F12" t="str">
        <v>Network Analysis and Synthesis</v>
      </c>
      <c r="G12" t="str">
        <v>Theory</v>
      </c>
      <c r="H12" t="str">
        <v>B.E</v>
      </c>
      <c r="I12" t="str">
        <v>ECE</v>
      </c>
      <c r="J12">
        <v>2020</v>
      </c>
      <c r="K12">
        <v>3</v>
      </c>
      <c r="L12" t="s">
        <v>22</v>
      </c>
      <c r="M12">
        <v>7</v>
      </c>
      <c r="N12" t="str">
        <v>U</v>
      </c>
      <c r="O12" t="str">
        <v>U</v>
      </c>
      <c r="P12">
        <v>9</v>
      </c>
      <c r="Q12">
        <v>18</v>
      </c>
      <c r="R12">
        <v>16</v>
      </c>
      <c r="S12" t="str">
        <v>U</v>
      </c>
      <c r="T12" t="str">
        <v>U</v>
      </c>
      <c r="U12" t="str">
        <v>U</v>
      </c>
    </row>
    <row r="13" spans="1:21" x14ac:dyDescent="0.3">
      <c r="A13">
        <v>12</v>
      </c>
      <c r="B13">
        <v>2010992015</v>
      </c>
      <c r="C13" t="str">
        <v>URVANSH NAHATA</v>
      </c>
      <c r="D13">
        <v>0</v>
      </c>
      <c r="E13" t="str">
        <v>EC112</v>
      </c>
      <c r="F13" t="str">
        <v>Network Analysis and Synthesis</v>
      </c>
      <c r="G13" t="str">
        <v>Theory</v>
      </c>
      <c r="H13" t="str">
        <v>B.E</v>
      </c>
      <c r="I13" t="str">
        <v>ECE</v>
      </c>
      <c r="J13">
        <v>2020</v>
      </c>
      <c r="K13">
        <v>3</v>
      </c>
      <c r="L13" t="s">
        <v>22</v>
      </c>
      <c r="M13">
        <v>9</v>
      </c>
      <c r="N13" t="str">
        <v>U</v>
      </c>
      <c r="O13" t="str">
        <v>U</v>
      </c>
      <c r="P13">
        <v>7</v>
      </c>
      <c r="Q13">
        <v>14</v>
      </c>
      <c r="R13">
        <v>14</v>
      </c>
      <c r="S13" t="str">
        <v>U</v>
      </c>
      <c r="T13" t="str">
        <v>U</v>
      </c>
      <c r="U13" t="str">
        <v>U</v>
      </c>
    </row>
    <row r="14" spans="1:21" x14ac:dyDescent="0.3">
      <c r="A14">
        <v>13</v>
      </c>
      <c r="B14">
        <v>2010992016</v>
      </c>
      <c r="C14" t="str">
        <v>VARUN</v>
      </c>
      <c r="D14">
        <v>0</v>
      </c>
      <c r="E14" t="str">
        <v>EC112</v>
      </c>
      <c r="F14" t="str">
        <v>Network Analysis and Synthesis</v>
      </c>
      <c r="G14" t="str">
        <v>Theory</v>
      </c>
      <c r="H14" t="str">
        <v>B.E</v>
      </c>
      <c r="I14" t="str">
        <v>ECE</v>
      </c>
      <c r="J14">
        <v>2020</v>
      </c>
      <c r="K14">
        <v>3</v>
      </c>
      <c r="L14" t="s">
        <v>22</v>
      </c>
      <c r="M14">
        <v>9</v>
      </c>
      <c r="N14" t="str">
        <v>U</v>
      </c>
      <c r="O14" t="str">
        <v>U</v>
      </c>
      <c r="P14">
        <v>10</v>
      </c>
      <c r="Q14">
        <v>11</v>
      </c>
      <c r="R14">
        <v>10</v>
      </c>
      <c r="S14" t="str">
        <v>U</v>
      </c>
      <c r="T14" t="str">
        <v>U</v>
      </c>
      <c r="U14" t="str">
        <v>U</v>
      </c>
    </row>
    <row r="15" spans="1:21" x14ac:dyDescent="0.3">
      <c r="A15">
        <v>14</v>
      </c>
      <c r="B15">
        <v>2010992017</v>
      </c>
      <c r="C15" t="str">
        <v>MRIDUL AGGARWAL</v>
      </c>
      <c r="D15">
        <v>0</v>
      </c>
      <c r="E15" t="str">
        <v>EC112</v>
      </c>
      <c r="F15" t="str">
        <v>Network Analysis and Synthesis</v>
      </c>
      <c r="G15" t="str">
        <v>Theory</v>
      </c>
      <c r="H15" t="str">
        <v>B.E</v>
      </c>
      <c r="I15" t="str">
        <v>ECE</v>
      </c>
      <c r="J15">
        <v>2020</v>
      </c>
      <c r="K15">
        <v>3</v>
      </c>
      <c r="L15" t="s">
        <v>22</v>
      </c>
      <c r="M15">
        <v>7</v>
      </c>
      <c r="N15" t="str">
        <v>U</v>
      </c>
      <c r="O15" t="str">
        <v>U</v>
      </c>
      <c r="P15">
        <v>7</v>
      </c>
      <c r="Q15">
        <v>17</v>
      </c>
      <c r="R15">
        <v>16</v>
      </c>
      <c r="S15" t="str">
        <v>U</v>
      </c>
      <c r="T15" t="str">
        <v>U</v>
      </c>
      <c r="U15" t="str">
        <v>U</v>
      </c>
    </row>
    <row r="16" spans="1:21" x14ac:dyDescent="0.3">
      <c r="A16">
        <v>15</v>
      </c>
      <c r="B16">
        <v>2010992018</v>
      </c>
      <c r="C16" t="str">
        <v>SHAKSHI SINGH</v>
      </c>
      <c r="D16">
        <v>0</v>
      </c>
      <c r="E16" t="str">
        <v>EC112</v>
      </c>
      <c r="F16" t="str">
        <v>Network Analysis and Synthesis</v>
      </c>
      <c r="G16" t="str">
        <v>Theory</v>
      </c>
      <c r="H16" t="str">
        <v>B.E</v>
      </c>
      <c r="I16" t="str">
        <v>ECE</v>
      </c>
      <c r="J16">
        <v>2020</v>
      </c>
      <c r="K16">
        <v>3</v>
      </c>
      <c r="L16" t="s">
        <v>22</v>
      </c>
      <c r="M16">
        <v>7</v>
      </c>
      <c r="N16" t="str">
        <v>U</v>
      </c>
      <c r="O16" t="str">
        <v>U</v>
      </c>
      <c r="P16">
        <v>10</v>
      </c>
      <c r="Q16">
        <v>17</v>
      </c>
      <c r="R16">
        <v>16</v>
      </c>
      <c r="S16" t="str">
        <v>U</v>
      </c>
      <c r="T16" t="str">
        <v>U</v>
      </c>
      <c r="U16" t="str">
        <v>U</v>
      </c>
    </row>
    <row r="17" spans="1:21" x14ac:dyDescent="0.3">
      <c r="A17">
        <v>16</v>
      </c>
      <c r="B17">
        <v>2010992019</v>
      </c>
      <c r="C17" t="str">
        <v>KHAN MUBASHIR RASOOL</v>
      </c>
      <c r="D17">
        <v>0</v>
      </c>
      <c r="E17" t="str">
        <v>EC112</v>
      </c>
      <c r="F17" t="str">
        <v>Network Analysis and Synthesis</v>
      </c>
      <c r="G17" t="str">
        <v>Theory</v>
      </c>
      <c r="H17" t="str">
        <v>B.E</v>
      </c>
      <c r="I17" t="str">
        <v>ECE</v>
      </c>
      <c r="J17">
        <v>2020</v>
      </c>
      <c r="K17">
        <v>3</v>
      </c>
      <c r="L17" t="s">
        <v>22</v>
      </c>
      <c r="M17">
        <v>9</v>
      </c>
      <c r="N17" t="str">
        <v>U</v>
      </c>
      <c r="O17" t="str">
        <v>U</v>
      </c>
      <c r="P17">
        <v>10</v>
      </c>
      <c r="Q17">
        <v>16</v>
      </c>
      <c r="R17">
        <v>16</v>
      </c>
      <c r="S17" t="str">
        <v>U</v>
      </c>
      <c r="T17" t="str">
        <v>U</v>
      </c>
      <c r="U17" t="str">
        <v>U</v>
      </c>
    </row>
    <row r="18" spans="1:21" x14ac:dyDescent="0.3">
      <c r="A18">
        <v>17</v>
      </c>
      <c r="B18">
        <v>2010992163</v>
      </c>
      <c r="C18" t="str">
        <v>TAMANA SIAG</v>
      </c>
      <c r="D18">
        <v>0</v>
      </c>
      <c r="E18" t="str">
        <v>EC112</v>
      </c>
      <c r="F18" t="str">
        <v>Network Analysis and Synthesis</v>
      </c>
      <c r="G18" t="str">
        <v>Theory</v>
      </c>
      <c r="H18" t="str">
        <v>B.E</v>
      </c>
      <c r="I18" t="str">
        <v>ECE</v>
      </c>
      <c r="J18">
        <v>2020</v>
      </c>
      <c r="K18">
        <v>3</v>
      </c>
      <c r="L18" t="s">
        <v>22</v>
      </c>
      <c r="M18">
        <v>10</v>
      </c>
      <c r="N18" t="str">
        <v>U</v>
      </c>
      <c r="O18" t="str">
        <v>U</v>
      </c>
      <c r="P18">
        <v>10</v>
      </c>
      <c r="Q18">
        <v>16</v>
      </c>
      <c r="R18">
        <v>14</v>
      </c>
      <c r="S18" t="str">
        <v>U</v>
      </c>
      <c r="T18" t="str">
        <v>U</v>
      </c>
      <c r="U18" t="str">
        <v>U</v>
      </c>
    </row>
    <row r="19" spans="1:21" x14ac:dyDescent="0.3">
      <c r="A19">
        <v>18</v>
      </c>
      <c r="B19">
        <v>2010992202</v>
      </c>
      <c r="C19" t="str">
        <v>EKAMJOT SINGH MAINGI</v>
      </c>
      <c r="D19">
        <v>0</v>
      </c>
      <c r="E19" t="str">
        <v>EC112</v>
      </c>
      <c r="F19" t="str">
        <v>Network Analysis and Synthesis</v>
      </c>
      <c r="G19" t="str">
        <v>Theory</v>
      </c>
      <c r="H19" t="str">
        <v>B.E</v>
      </c>
      <c r="I19" t="str">
        <v>ECE</v>
      </c>
      <c r="J19">
        <v>2020</v>
      </c>
      <c r="K19">
        <v>3</v>
      </c>
      <c r="L19" t="s">
        <v>22</v>
      </c>
      <c r="M19">
        <v>7</v>
      </c>
      <c r="N19" t="str">
        <v>U</v>
      </c>
      <c r="O19" t="str">
        <v>U</v>
      </c>
      <c r="P19">
        <v>7</v>
      </c>
      <c r="Q19">
        <v>17</v>
      </c>
      <c r="R19">
        <v>16</v>
      </c>
      <c r="S19" t="str">
        <v>U</v>
      </c>
      <c r="T19" t="str">
        <v>U</v>
      </c>
      <c r="U19" t="str">
        <v>U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44BD-CAA2-4C61-BF23-17DD77A213C9}">
  <dimension ref="A1:J19"/>
  <sheetViews>
    <sheetView workbookViewId="0">
      <selection activeCell="B27" sqref="B27"/>
    </sheetView>
  </sheetViews>
  <sheetFormatPr defaultRowHeight="14.4" x14ac:dyDescent="0.3"/>
  <cols>
    <col min="1" max="1" width="11" bestFit="1" customWidth="1"/>
  </cols>
  <sheetData>
    <row r="1" spans="1:10" x14ac:dyDescent="0.3">
      <c r="A1" t="str" cm="1">
        <f t="array" ref="A1:A19">INDEX('ASN Result'!B:B, 1):INDEX('ASN Result'!B:B, COUNTA('ASN Result'!B:B))</f>
        <v>Admission No. (Roll No.)</v>
      </c>
      <c r="B1" t="str" cm="1">
        <f t="array" ref="B1:B19">INDEX('ASN Result'!M:M, 1):INDEX('ASN Result'!M:M, COUNTA('ASN Result'!M:M) )</f>
        <v>ST1-Assignment</v>
      </c>
      <c r="C1" t="str" cm="1">
        <f t="array" ref="C1:C19">INDEX('ASN Result'!N:N, 1):INDEX('ASN Result'!N:N, COUNTA('ASN Result'!N:N) )</f>
        <v>ST1-FA1</v>
      </c>
      <c r="D1" t="str" cm="1">
        <f t="array" ref="D1:D19">INDEX('ASN Result'!O:O, 1):INDEX('ASN Result'!O:O, COUNTA('ASN Result'!O:O) )</f>
        <v>ST1-FA2</v>
      </c>
      <c r="E1" t="str" cm="1">
        <f t="array" ref="E1:E19">INDEX('ASN Result'!P:P, 1):INDEX('ASN Result'!P:P, COUNTA('ASN Result'!P:P) )</f>
        <v>ST2-Assignment</v>
      </c>
      <c r="F1" t="str" cm="1">
        <f t="array" ref="F1:F19">INDEX('ASN Result'!Q:Q, 1):INDEX('ASN Result'!Q:Q, COUNTA('ASN Result'!Q:Q) )</f>
        <v>ST2-FA1</v>
      </c>
      <c r="G1" t="str" cm="1">
        <f t="array" ref="G1:G19">INDEX('ASN Result'!R:R, 1):INDEX('ASN Result'!R:R, COUNTA('ASN Result'!R:R) )</f>
        <v>ST2-FA2</v>
      </c>
      <c r="H1" t="str" cm="1">
        <f t="array" ref="H1:H19">INDEX('ASN Result'!S:S, 1):INDEX('ASN Result'!S:S, COUNTA('ASN Result'!S:S) )</f>
        <v>ST3-Assignment</v>
      </c>
      <c r="I1" t="str" cm="1">
        <f t="array" ref="I1:I19">INDEX('ASN Result'!T:T, 1):INDEX('ASN Result'!T:T, COUNTA('ASN Result'!T:T) )</f>
        <v>ST3-FA1</v>
      </c>
      <c r="J1" t="str" cm="1">
        <f t="array" ref="J1:J19">INDEX('ASN Result'!U:U, 1):INDEX('ASN Result'!U:U, COUNTA('ASN Result'!U:U) )</f>
        <v>ST3-FA2</v>
      </c>
    </row>
    <row r="2" spans="1:10" x14ac:dyDescent="0.3">
      <c r="A2">
        <v>2010990089</v>
      </c>
      <c r="B2">
        <v>7</v>
      </c>
      <c r="C2" t="str">
        <v>U</v>
      </c>
      <c r="D2" t="str">
        <v>U</v>
      </c>
      <c r="E2">
        <v>7</v>
      </c>
      <c r="F2">
        <v>15</v>
      </c>
      <c r="G2">
        <v>18</v>
      </c>
      <c r="H2" t="str">
        <v>U</v>
      </c>
      <c r="I2" t="str">
        <v>U</v>
      </c>
      <c r="J2" t="str">
        <v>U</v>
      </c>
    </row>
    <row r="3" spans="1:10" x14ac:dyDescent="0.3">
      <c r="A3">
        <v>2010992002</v>
      </c>
      <c r="B3">
        <v>10</v>
      </c>
      <c r="C3" t="str">
        <v>U</v>
      </c>
      <c r="D3" t="str">
        <v>U</v>
      </c>
      <c r="E3">
        <v>10</v>
      </c>
      <c r="F3">
        <v>16</v>
      </c>
      <c r="G3">
        <v>18</v>
      </c>
      <c r="H3" t="str">
        <v>U</v>
      </c>
      <c r="I3" t="str">
        <v>U</v>
      </c>
      <c r="J3" t="str">
        <v>U</v>
      </c>
    </row>
    <row r="4" spans="1:10" x14ac:dyDescent="0.3">
      <c r="A4">
        <v>2010992004</v>
      </c>
      <c r="B4">
        <v>10</v>
      </c>
      <c r="C4" t="str">
        <v>U</v>
      </c>
      <c r="D4" t="str">
        <v>U</v>
      </c>
      <c r="E4">
        <v>7</v>
      </c>
      <c r="F4">
        <v>15</v>
      </c>
      <c r="G4">
        <v>18</v>
      </c>
      <c r="H4" t="str">
        <v>U</v>
      </c>
      <c r="I4" t="str">
        <v>U</v>
      </c>
      <c r="J4" t="str">
        <v>U</v>
      </c>
    </row>
    <row r="5" spans="1:10" x14ac:dyDescent="0.3">
      <c r="A5">
        <v>2010992005</v>
      </c>
      <c r="B5">
        <v>10</v>
      </c>
      <c r="C5" t="str">
        <v>U</v>
      </c>
      <c r="D5" t="str">
        <v>U</v>
      </c>
      <c r="E5">
        <v>10</v>
      </c>
      <c r="F5">
        <v>17</v>
      </c>
      <c r="G5">
        <v>18</v>
      </c>
      <c r="H5" t="str">
        <v>U</v>
      </c>
      <c r="I5" t="str">
        <v>U</v>
      </c>
      <c r="J5" t="str">
        <v>U</v>
      </c>
    </row>
    <row r="6" spans="1:10" x14ac:dyDescent="0.3">
      <c r="A6">
        <v>2010992006</v>
      </c>
      <c r="B6">
        <v>7</v>
      </c>
      <c r="C6" t="str">
        <v>U</v>
      </c>
      <c r="D6" t="str">
        <v>U</v>
      </c>
      <c r="E6">
        <v>7</v>
      </c>
      <c r="F6">
        <v>14</v>
      </c>
      <c r="G6">
        <v>16</v>
      </c>
      <c r="H6" t="str">
        <v>U</v>
      </c>
      <c r="I6" t="str">
        <v>U</v>
      </c>
      <c r="J6" t="str">
        <v>U</v>
      </c>
    </row>
    <row r="7" spans="1:10" x14ac:dyDescent="0.3">
      <c r="A7">
        <v>2010992008</v>
      </c>
      <c r="B7">
        <v>9</v>
      </c>
      <c r="C7" t="str">
        <v>U</v>
      </c>
      <c r="D7" t="str">
        <v>U</v>
      </c>
      <c r="E7">
        <v>9</v>
      </c>
      <c r="F7">
        <v>16</v>
      </c>
      <c r="G7">
        <v>18</v>
      </c>
      <c r="H7" t="str">
        <v>U</v>
      </c>
      <c r="I7" t="str">
        <v>U</v>
      </c>
      <c r="J7" t="str">
        <v>U</v>
      </c>
    </row>
    <row r="8" spans="1:10" x14ac:dyDescent="0.3">
      <c r="A8">
        <v>2010992009</v>
      </c>
      <c r="B8">
        <v>9</v>
      </c>
      <c r="C8" t="str">
        <v>U</v>
      </c>
      <c r="D8" t="str">
        <v>U</v>
      </c>
      <c r="E8">
        <v>9</v>
      </c>
      <c r="F8">
        <v>16</v>
      </c>
      <c r="G8">
        <v>18</v>
      </c>
      <c r="H8" t="str">
        <v>U</v>
      </c>
      <c r="I8" t="str">
        <v>U</v>
      </c>
      <c r="J8" t="str">
        <v>U</v>
      </c>
    </row>
    <row r="9" spans="1:10" x14ac:dyDescent="0.3">
      <c r="A9">
        <v>2010992010</v>
      </c>
      <c r="B9">
        <v>9</v>
      </c>
      <c r="C9" t="str">
        <v>U</v>
      </c>
      <c r="D9" t="str">
        <v>U</v>
      </c>
      <c r="E9">
        <v>9</v>
      </c>
      <c r="F9">
        <v>17</v>
      </c>
      <c r="G9">
        <v>18</v>
      </c>
      <c r="H9" t="str">
        <v>U</v>
      </c>
      <c r="I9" t="str">
        <v>U</v>
      </c>
      <c r="J9" t="str">
        <v>U</v>
      </c>
    </row>
    <row r="10" spans="1:10" x14ac:dyDescent="0.3">
      <c r="A10">
        <v>2010992011</v>
      </c>
      <c r="B10">
        <v>10</v>
      </c>
      <c r="C10" t="str">
        <v>U</v>
      </c>
      <c r="D10" t="str">
        <v>U</v>
      </c>
      <c r="E10">
        <v>7</v>
      </c>
      <c r="F10">
        <v>12</v>
      </c>
      <c r="G10">
        <v>10</v>
      </c>
      <c r="H10" t="str">
        <v>U</v>
      </c>
      <c r="I10" t="str">
        <v>U</v>
      </c>
      <c r="J10" t="str">
        <v>U</v>
      </c>
    </row>
    <row r="11" spans="1:10" x14ac:dyDescent="0.3">
      <c r="A11">
        <v>2010992012</v>
      </c>
      <c r="B11">
        <v>10</v>
      </c>
      <c r="C11" t="str">
        <v>U</v>
      </c>
      <c r="D11" t="str">
        <v>U</v>
      </c>
      <c r="E11">
        <v>10</v>
      </c>
      <c r="F11">
        <v>16</v>
      </c>
      <c r="G11">
        <v>18</v>
      </c>
      <c r="H11" t="str">
        <v>U</v>
      </c>
      <c r="I11" t="str">
        <v>U</v>
      </c>
      <c r="J11" t="str">
        <v>U</v>
      </c>
    </row>
    <row r="12" spans="1:10" x14ac:dyDescent="0.3">
      <c r="A12">
        <v>2010992014</v>
      </c>
      <c r="B12">
        <v>7</v>
      </c>
      <c r="C12" t="str">
        <v>U</v>
      </c>
      <c r="D12" t="str">
        <v>U</v>
      </c>
      <c r="E12">
        <v>9</v>
      </c>
      <c r="F12">
        <v>18</v>
      </c>
      <c r="G12">
        <v>16</v>
      </c>
      <c r="H12" t="str">
        <v>U</v>
      </c>
      <c r="I12" t="str">
        <v>U</v>
      </c>
      <c r="J12" t="str">
        <v>U</v>
      </c>
    </row>
    <row r="13" spans="1:10" x14ac:dyDescent="0.3">
      <c r="A13">
        <v>2010992015</v>
      </c>
      <c r="B13">
        <v>9</v>
      </c>
      <c r="C13" t="str">
        <v>U</v>
      </c>
      <c r="D13" t="str">
        <v>U</v>
      </c>
      <c r="E13">
        <v>7</v>
      </c>
      <c r="F13">
        <v>14</v>
      </c>
      <c r="G13">
        <v>14</v>
      </c>
      <c r="H13" t="str">
        <v>U</v>
      </c>
      <c r="I13" t="str">
        <v>U</v>
      </c>
      <c r="J13" t="str">
        <v>U</v>
      </c>
    </row>
    <row r="14" spans="1:10" x14ac:dyDescent="0.3">
      <c r="A14">
        <v>2010992016</v>
      </c>
      <c r="B14">
        <v>9</v>
      </c>
      <c r="C14" t="str">
        <v>U</v>
      </c>
      <c r="D14" t="str">
        <v>U</v>
      </c>
      <c r="E14">
        <v>10</v>
      </c>
      <c r="F14">
        <v>11</v>
      </c>
      <c r="G14">
        <v>10</v>
      </c>
      <c r="H14" t="str">
        <v>U</v>
      </c>
      <c r="I14" t="str">
        <v>U</v>
      </c>
      <c r="J14" t="str">
        <v>U</v>
      </c>
    </row>
    <row r="15" spans="1:10" x14ac:dyDescent="0.3">
      <c r="A15">
        <v>2010992017</v>
      </c>
      <c r="B15">
        <v>7</v>
      </c>
      <c r="C15" t="str">
        <v>U</v>
      </c>
      <c r="D15" t="str">
        <v>U</v>
      </c>
      <c r="E15">
        <v>7</v>
      </c>
      <c r="F15">
        <v>17</v>
      </c>
      <c r="G15">
        <v>16</v>
      </c>
      <c r="H15" t="str">
        <v>U</v>
      </c>
      <c r="I15" t="str">
        <v>U</v>
      </c>
      <c r="J15" t="str">
        <v>U</v>
      </c>
    </row>
    <row r="16" spans="1:10" x14ac:dyDescent="0.3">
      <c r="A16">
        <v>2010992018</v>
      </c>
      <c r="B16">
        <v>7</v>
      </c>
      <c r="C16" t="str">
        <v>U</v>
      </c>
      <c r="D16" t="str">
        <v>U</v>
      </c>
      <c r="E16">
        <v>10</v>
      </c>
      <c r="F16">
        <v>17</v>
      </c>
      <c r="G16">
        <v>16</v>
      </c>
      <c r="H16" t="str">
        <v>U</v>
      </c>
      <c r="I16" t="str">
        <v>U</v>
      </c>
      <c r="J16" t="str">
        <v>U</v>
      </c>
    </row>
    <row r="17" spans="1:10" x14ac:dyDescent="0.3">
      <c r="A17">
        <v>2010992019</v>
      </c>
      <c r="B17">
        <v>9</v>
      </c>
      <c r="C17" t="str">
        <v>U</v>
      </c>
      <c r="D17" t="str">
        <v>U</v>
      </c>
      <c r="E17">
        <v>10</v>
      </c>
      <c r="F17">
        <v>16</v>
      </c>
      <c r="G17">
        <v>16</v>
      </c>
      <c r="H17" t="str">
        <v>U</v>
      </c>
      <c r="I17" t="str">
        <v>U</v>
      </c>
      <c r="J17" t="str">
        <v>U</v>
      </c>
    </row>
    <row r="18" spans="1:10" x14ac:dyDescent="0.3">
      <c r="A18">
        <v>2010992163</v>
      </c>
      <c r="B18">
        <v>10</v>
      </c>
      <c r="C18" t="str">
        <v>U</v>
      </c>
      <c r="D18" t="str">
        <v>U</v>
      </c>
      <c r="E18">
        <v>10</v>
      </c>
      <c r="F18">
        <v>16</v>
      </c>
      <c r="G18">
        <v>14</v>
      </c>
      <c r="H18" t="str">
        <v>U</v>
      </c>
      <c r="I18" t="str">
        <v>U</v>
      </c>
      <c r="J18" t="str">
        <v>U</v>
      </c>
    </row>
    <row r="19" spans="1:10" x14ac:dyDescent="0.3">
      <c r="A19">
        <v>2010992202</v>
      </c>
      <c r="B19">
        <v>7</v>
      </c>
      <c r="C19" t="str">
        <v>U</v>
      </c>
      <c r="D19" t="str">
        <v>U</v>
      </c>
      <c r="E19">
        <v>7</v>
      </c>
      <c r="F19">
        <v>17</v>
      </c>
      <c r="G19">
        <v>16</v>
      </c>
      <c r="H19" t="str">
        <v>U</v>
      </c>
      <c r="I19" t="str">
        <v>U</v>
      </c>
      <c r="J19" t="str">
        <v>U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2DB-35B3-44B1-A93E-BFF90DBDB52D}">
  <dimension ref="A1:J19"/>
  <sheetViews>
    <sheetView zoomScale="85" zoomScaleNormal="85" workbookViewId="0"/>
  </sheetViews>
  <sheetFormatPr defaultRowHeight="14.4" x14ac:dyDescent="0.3"/>
  <cols>
    <col min="1" max="1" width="21" bestFit="1" customWidth="1"/>
    <col min="2" max="2" width="11.6640625" bestFit="1" customWidth="1"/>
  </cols>
  <sheetData>
    <row r="1" spans="1:10" x14ac:dyDescent="0.3">
      <c r="A1" t="str" cm="1">
        <f t="array" ref="A1:A19">INDEX('ASN Result'!B:B, 1):INDEX('ASN Result'!B:B, COUNTA('ASN Result'!B:B))</f>
        <v>Admission No. (Roll No.)</v>
      </c>
      <c r="B1" t="str" cm="1">
        <f t="array" ref="B1:J1">TRANSPOSE('ASN Questions'!A2:A10)</f>
        <v>ST1-Assignment</v>
      </c>
      <c r="C1" t="str">
        <v>ST1-FA1</v>
      </c>
      <c r="D1" t="str">
        <v>ST1-FA2</v>
      </c>
      <c r="E1" t="str">
        <v>ST2-Assignment</v>
      </c>
      <c r="F1" t="str">
        <v>ST2-FA1</v>
      </c>
      <c r="G1" t="str">
        <v>ST2-FA2</v>
      </c>
      <c r="H1" t="str">
        <v>ST3-Assignment</v>
      </c>
      <c r="I1" t="str">
        <v>ST3-FA1</v>
      </c>
      <c r="J1" t="str">
        <v>ST3-FA2</v>
      </c>
    </row>
    <row r="2" spans="1:10" ht="18" customHeight="1" x14ac:dyDescent="0.3">
      <c r="A2">
        <v>2010990089</v>
      </c>
      <c r="B2" t="str" cm="1">
        <f t="array" ref="B2:B19">IF(_xlfn.XLOOKUP($A2:INDEX($A:$A,COUNTA($A:$A)),'ASN Student Marks'!$A$1:INDEX('ASN Student Marks'!$A:$A,COUNTA('ASN Student Marks'!$A:$A)),'ASN Student Marks'!B$1:INDEX('ASN Student Marks'!B:B,COUNTA('ASN Student Marks'!B:B)))="U","Unattempted",'ASN Student Marks'!B1)</f>
        <v>ST1-Assignment</v>
      </c>
      <c r="C2" t="str" cm="1">
        <f t="array" ref="C2:C19">IF(_xlfn.XLOOKUP($A2:INDEX($A:$A,COUNTA($A:$A)),'ASN Student Marks'!$A$1:INDEX('ASN Student Marks'!$A:$A,COUNTA('ASN Student Marks'!$A:$A)),'ASN Student Marks'!C$1:INDEX('ASN Student Marks'!C:C,COUNTA('ASN Student Marks'!C:C)))="U","Unattempted",'ASN Student Marks'!C1)</f>
        <v>Unattempted</v>
      </c>
      <c r="D2" t="str" cm="1">
        <f t="array" ref="D2:D19">IF(_xlfn.XLOOKUP($A2:INDEX($A:$A,COUNTA($A:$A)),'ASN Student Marks'!$A$1:INDEX('ASN Student Marks'!$A:$A,COUNTA('ASN Student Marks'!$A:$A)),'ASN Student Marks'!D$1:INDEX('ASN Student Marks'!D:D,COUNTA('ASN Student Marks'!D:D)))="U","Unattempted",'ASN Student Marks'!D1)</f>
        <v>Unattempted</v>
      </c>
      <c r="E2" t="str" cm="1">
        <f t="array" ref="E2:E19">IF(_xlfn.XLOOKUP($A2:INDEX($A:$A,COUNTA($A:$A)),'ASN Student Marks'!$A$1:INDEX('ASN Student Marks'!$A:$A,COUNTA('ASN Student Marks'!$A:$A)),'ASN Student Marks'!E$1:INDEX('ASN Student Marks'!E:E,COUNTA('ASN Student Marks'!E:E)))="U","Unattempted",'ASN Student Marks'!E1)</f>
        <v>ST2-Assignment</v>
      </c>
      <c r="F2" t="str" cm="1">
        <f t="array" ref="F2:F19">IF(_xlfn.XLOOKUP($A2:INDEX($A:$A,COUNTA($A:$A)),'ASN Student Marks'!$A$1:INDEX('ASN Student Marks'!$A:$A,COUNTA('ASN Student Marks'!$A:$A)),'ASN Student Marks'!F$1:INDEX('ASN Student Marks'!F:F,COUNTA('ASN Student Marks'!F:F)))="U","Unattempted",'ASN Student Marks'!F1)</f>
        <v>ST2-FA1</v>
      </c>
      <c r="G2" t="str" cm="1">
        <f t="array" ref="G2:G19">IF(_xlfn.XLOOKUP($A2:INDEX($A:$A,COUNTA($A:$A)),'ASN Student Marks'!$A$1:INDEX('ASN Student Marks'!$A:$A,COUNTA('ASN Student Marks'!$A:$A)),'ASN Student Marks'!G$1:INDEX('ASN Student Marks'!G:G,COUNTA('ASN Student Marks'!G:G)))="U","Unattempted",'ASN Student Marks'!G1)</f>
        <v>ST2-FA2</v>
      </c>
      <c r="H2" t="str" cm="1">
        <f t="array" ref="H2:H19">IF(_xlfn.XLOOKUP($A2:INDEX($A:$A,COUNTA($A:$A)),'ASN Student Marks'!$A$1:INDEX('ASN Student Marks'!$A:$A,COUNTA('ASN Student Marks'!$A:$A)),'ASN Student Marks'!H$1:INDEX('ASN Student Marks'!H:H,COUNTA('ASN Student Marks'!H:H)))="U","Unattempted",'ASN Student Marks'!H1)</f>
        <v>Unattempted</v>
      </c>
      <c r="I2" t="str" cm="1">
        <f t="array" ref="I2:I19">IF(_xlfn.XLOOKUP($A2:INDEX($A:$A,COUNTA($A:$A)),'ASN Student Marks'!$A$1:INDEX('ASN Student Marks'!$A:$A,COUNTA('ASN Student Marks'!$A:$A)),'ASN Student Marks'!I$1:INDEX('ASN Student Marks'!I:I,COUNTA('ASN Student Marks'!I:I)))="U","Unattempted",'ASN Student Marks'!I1)</f>
        <v>Unattempted</v>
      </c>
      <c r="J2" t="str" cm="1">
        <f t="array" ref="J2:J19">IF(_xlfn.XLOOKUP($A2:INDEX($A:$A,COUNTA($A:$A)),'ASN Student Marks'!$A$1:INDEX('ASN Student Marks'!$A:$A,COUNTA('ASN Student Marks'!$A:$A)),'ASN Student Marks'!J$1:INDEX('ASN Student Marks'!J:J,COUNTA('ASN Student Marks'!J:J)))="U","Unattempted",'ASN Student Marks'!J1)</f>
        <v>Unattempted</v>
      </c>
    </row>
    <row r="3" spans="1:10" ht="18" customHeight="1" x14ac:dyDescent="0.3">
      <c r="A3">
        <v>2010992002</v>
      </c>
      <c r="B3" t="str">
        <v>ST1-Assignment</v>
      </c>
      <c r="C3" t="str">
        <v>Unattempted</v>
      </c>
      <c r="D3" t="str">
        <v>Unattempted</v>
      </c>
      <c r="E3" t="str">
        <v>ST2-Assignment</v>
      </c>
      <c r="F3" t="str">
        <v>ST2-FA1</v>
      </c>
      <c r="G3" t="str">
        <v>ST2-FA2</v>
      </c>
      <c r="H3" t="str">
        <v>Unattempted</v>
      </c>
      <c r="I3" t="str">
        <v>Unattempted</v>
      </c>
      <c r="J3" t="str">
        <v>Unattempted</v>
      </c>
    </row>
    <row r="4" spans="1:10" x14ac:dyDescent="0.3">
      <c r="A4">
        <v>2010992004</v>
      </c>
      <c r="B4" t="str">
        <v>ST1-Assignment</v>
      </c>
      <c r="C4" t="str">
        <v>Unattempted</v>
      </c>
      <c r="D4" t="str">
        <v>Unattempted</v>
      </c>
      <c r="E4" t="str">
        <v>ST2-Assignment</v>
      </c>
      <c r="F4" t="str">
        <v>ST2-FA1</v>
      </c>
      <c r="G4" t="str">
        <v>ST2-FA2</v>
      </c>
      <c r="H4" t="str">
        <v>Unattempted</v>
      </c>
      <c r="I4" t="str">
        <v>Unattempted</v>
      </c>
      <c r="J4" t="str">
        <v>Unattempted</v>
      </c>
    </row>
    <row r="5" spans="1:10" x14ac:dyDescent="0.3">
      <c r="A5">
        <v>2010992005</v>
      </c>
      <c r="B5" t="str">
        <v>ST1-Assignment</v>
      </c>
      <c r="C5" t="str">
        <v>Unattempted</v>
      </c>
      <c r="D5" t="str">
        <v>Unattempted</v>
      </c>
      <c r="E5" t="str">
        <v>ST2-Assignment</v>
      </c>
      <c r="F5" t="str">
        <v>ST2-FA1</v>
      </c>
      <c r="G5" t="str">
        <v>ST2-FA2</v>
      </c>
      <c r="H5" t="str">
        <v>Unattempted</v>
      </c>
      <c r="I5" t="str">
        <v>Unattempted</v>
      </c>
      <c r="J5" t="str">
        <v>Unattempted</v>
      </c>
    </row>
    <row r="6" spans="1:10" x14ac:dyDescent="0.3">
      <c r="A6">
        <v>2010992006</v>
      </c>
      <c r="B6" t="str">
        <v>ST1-Assignment</v>
      </c>
      <c r="C6" t="str">
        <v>Unattempted</v>
      </c>
      <c r="D6" t="str">
        <v>Unattempted</v>
      </c>
      <c r="E6" t="str">
        <v>ST2-Assignment</v>
      </c>
      <c r="F6" t="str">
        <v>ST2-FA1</v>
      </c>
      <c r="G6" t="str">
        <v>ST2-FA2</v>
      </c>
      <c r="H6" t="str">
        <v>Unattempted</v>
      </c>
      <c r="I6" t="str">
        <v>Unattempted</v>
      </c>
      <c r="J6" t="str">
        <v>Unattempted</v>
      </c>
    </row>
    <row r="7" spans="1:10" x14ac:dyDescent="0.3">
      <c r="A7">
        <v>2010992008</v>
      </c>
      <c r="B7" t="str">
        <v>ST1-Assignment</v>
      </c>
      <c r="C7" t="str">
        <v>Unattempted</v>
      </c>
      <c r="D7" t="str">
        <v>Unattempted</v>
      </c>
      <c r="E7" t="str">
        <v>ST2-Assignment</v>
      </c>
      <c r="F7" t="str">
        <v>ST2-FA1</v>
      </c>
      <c r="G7" t="str">
        <v>ST2-FA2</v>
      </c>
      <c r="H7" t="str">
        <v>Unattempted</v>
      </c>
      <c r="I7" t="str">
        <v>Unattempted</v>
      </c>
      <c r="J7" t="str">
        <v>Unattempted</v>
      </c>
    </row>
    <row r="8" spans="1:10" x14ac:dyDescent="0.3">
      <c r="A8">
        <v>2010992009</v>
      </c>
      <c r="B8" t="str">
        <v>ST1-Assignment</v>
      </c>
      <c r="C8" t="str">
        <v>Unattempted</v>
      </c>
      <c r="D8" t="str">
        <v>Unattempted</v>
      </c>
      <c r="E8" t="str">
        <v>ST2-Assignment</v>
      </c>
      <c r="F8" t="str">
        <v>ST2-FA1</v>
      </c>
      <c r="G8" t="str">
        <v>ST2-FA2</v>
      </c>
      <c r="H8" t="str">
        <v>Unattempted</v>
      </c>
      <c r="I8" t="str">
        <v>Unattempted</v>
      </c>
      <c r="J8" t="str">
        <v>Unattempted</v>
      </c>
    </row>
    <row r="9" spans="1:10" x14ac:dyDescent="0.3">
      <c r="A9">
        <v>2010992010</v>
      </c>
      <c r="B9" t="str">
        <v>ST1-Assignment</v>
      </c>
      <c r="C9" t="str">
        <v>Unattempted</v>
      </c>
      <c r="D9" t="str">
        <v>Unattempted</v>
      </c>
      <c r="E9" t="str">
        <v>ST2-Assignment</v>
      </c>
      <c r="F9" t="str">
        <v>ST2-FA1</v>
      </c>
      <c r="G9" t="str">
        <v>ST2-FA2</v>
      </c>
      <c r="H9" t="str">
        <v>Unattempted</v>
      </c>
      <c r="I9" t="str">
        <v>Unattempted</v>
      </c>
      <c r="J9" t="str">
        <v>Unattempted</v>
      </c>
    </row>
    <row r="10" spans="1:10" x14ac:dyDescent="0.3">
      <c r="A10">
        <v>2010992011</v>
      </c>
      <c r="B10" t="str">
        <v>ST1-Assignment</v>
      </c>
      <c r="C10" t="str">
        <v>Unattempted</v>
      </c>
      <c r="D10" t="str">
        <v>Unattempted</v>
      </c>
      <c r="E10" t="str">
        <v>ST2-Assignment</v>
      </c>
      <c r="F10" t="str">
        <v>ST2-FA1</v>
      </c>
      <c r="G10" t="str">
        <v>ST2-FA2</v>
      </c>
      <c r="H10" t="str">
        <v>Unattempted</v>
      </c>
      <c r="I10" t="str">
        <v>Unattempted</v>
      </c>
      <c r="J10" t="str">
        <v>Unattempted</v>
      </c>
    </row>
    <row r="11" spans="1:10" x14ac:dyDescent="0.3">
      <c r="A11">
        <v>2010992012</v>
      </c>
      <c r="B11" t="str">
        <v>ST1-Assignment</v>
      </c>
      <c r="C11" t="str">
        <v>Unattempted</v>
      </c>
      <c r="D11" t="str">
        <v>Unattempted</v>
      </c>
      <c r="E11" t="str">
        <v>ST2-Assignment</v>
      </c>
      <c r="F11" t="str">
        <v>ST2-FA1</v>
      </c>
      <c r="G11" t="str">
        <v>ST2-FA2</v>
      </c>
      <c r="H11" t="str">
        <v>Unattempted</v>
      </c>
      <c r="I11" t="str">
        <v>Unattempted</v>
      </c>
      <c r="J11" t="str">
        <v>Unattempted</v>
      </c>
    </row>
    <row r="12" spans="1:10" x14ac:dyDescent="0.3">
      <c r="A12">
        <v>2010992014</v>
      </c>
      <c r="B12" t="str">
        <v>ST1-Assignment</v>
      </c>
      <c r="C12" t="str">
        <v>Unattempted</v>
      </c>
      <c r="D12" t="str">
        <v>Unattempted</v>
      </c>
      <c r="E12" t="str">
        <v>ST2-Assignment</v>
      </c>
      <c r="F12" t="str">
        <v>ST2-FA1</v>
      </c>
      <c r="G12" t="str">
        <v>ST2-FA2</v>
      </c>
      <c r="H12" t="str">
        <v>Unattempted</v>
      </c>
      <c r="I12" t="str">
        <v>Unattempted</v>
      </c>
      <c r="J12" t="str">
        <v>Unattempted</v>
      </c>
    </row>
    <row r="13" spans="1:10" x14ac:dyDescent="0.3">
      <c r="A13">
        <v>2010992015</v>
      </c>
      <c r="B13" t="str">
        <v>ST1-Assignment</v>
      </c>
      <c r="C13" t="str">
        <v>Unattempted</v>
      </c>
      <c r="D13" t="str">
        <v>Unattempted</v>
      </c>
      <c r="E13" t="str">
        <v>ST2-Assignment</v>
      </c>
      <c r="F13" t="str">
        <v>ST2-FA1</v>
      </c>
      <c r="G13" t="str">
        <v>ST2-FA2</v>
      </c>
      <c r="H13" t="str">
        <v>Unattempted</v>
      </c>
      <c r="I13" t="str">
        <v>Unattempted</v>
      </c>
      <c r="J13" t="str">
        <v>Unattempted</v>
      </c>
    </row>
    <row r="14" spans="1:10" x14ac:dyDescent="0.3">
      <c r="A14">
        <v>2010992016</v>
      </c>
      <c r="B14" t="str">
        <v>ST1-Assignment</v>
      </c>
      <c r="C14" t="str">
        <v>Unattempted</v>
      </c>
      <c r="D14" t="str">
        <v>Unattempted</v>
      </c>
      <c r="E14" t="str">
        <v>ST2-Assignment</v>
      </c>
      <c r="F14" t="str">
        <v>ST2-FA1</v>
      </c>
      <c r="G14" t="str">
        <v>ST2-FA2</v>
      </c>
      <c r="H14" t="str">
        <v>Unattempted</v>
      </c>
      <c r="I14" t="str">
        <v>Unattempted</v>
      </c>
      <c r="J14" t="str">
        <v>Unattempted</v>
      </c>
    </row>
    <row r="15" spans="1:10" x14ac:dyDescent="0.3">
      <c r="A15">
        <v>2010992017</v>
      </c>
      <c r="B15" t="str">
        <v>ST1-Assignment</v>
      </c>
      <c r="C15" t="str">
        <v>Unattempted</v>
      </c>
      <c r="D15" t="str">
        <v>Unattempted</v>
      </c>
      <c r="E15" t="str">
        <v>ST2-Assignment</v>
      </c>
      <c r="F15" t="str">
        <v>ST2-FA1</v>
      </c>
      <c r="G15" t="str">
        <v>ST2-FA2</v>
      </c>
      <c r="H15" t="str">
        <v>Unattempted</v>
      </c>
      <c r="I15" t="str">
        <v>Unattempted</v>
      </c>
      <c r="J15" t="str">
        <v>Unattempted</v>
      </c>
    </row>
    <row r="16" spans="1:10" x14ac:dyDescent="0.3">
      <c r="A16">
        <v>2010992018</v>
      </c>
      <c r="B16" t="str">
        <v>ST1-Assignment</v>
      </c>
      <c r="C16" t="str">
        <v>Unattempted</v>
      </c>
      <c r="D16" t="str">
        <v>Unattempted</v>
      </c>
      <c r="E16" t="str">
        <v>ST2-Assignment</v>
      </c>
      <c r="F16" t="str">
        <v>ST2-FA1</v>
      </c>
      <c r="G16" t="str">
        <v>ST2-FA2</v>
      </c>
      <c r="H16" t="str">
        <v>Unattempted</v>
      </c>
      <c r="I16" t="str">
        <v>Unattempted</v>
      </c>
      <c r="J16" t="str">
        <v>Unattempted</v>
      </c>
    </row>
    <row r="17" spans="1:10" x14ac:dyDescent="0.3">
      <c r="A17">
        <v>2010992019</v>
      </c>
      <c r="B17" t="str">
        <v>ST1-Assignment</v>
      </c>
      <c r="C17" t="str">
        <v>Unattempted</v>
      </c>
      <c r="D17" t="str">
        <v>Unattempted</v>
      </c>
      <c r="E17" t="str">
        <v>ST2-Assignment</v>
      </c>
      <c r="F17" t="str">
        <v>ST2-FA1</v>
      </c>
      <c r="G17" t="str">
        <v>ST2-FA2</v>
      </c>
      <c r="H17" t="str">
        <v>Unattempted</v>
      </c>
      <c r="I17" t="str">
        <v>Unattempted</v>
      </c>
      <c r="J17" t="str">
        <v>Unattempted</v>
      </c>
    </row>
    <row r="18" spans="1:10" x14ac:dyDescent="0.3">
      <c r="A18">
        <v>2010992163</v>
      </c>
      <c r="B18" t="str">
        <v>ST1-Assignment</v>
      </c>
      <c r="C18" t="str">
        <v>Unattempted</v>
      </c>
      <c r="D18" t="str">
        <v>Unattempted</v>
      </c>
      <c r="E18" t="str">
        <v>ST2-Assignment</v>
      </c>
      <c r="F18" t="str">
        <v>ST2-FA1</v>
      </c>
      <c r="G18" t="str">
        <v>ST2-FA2</v>
      </c>
      <c r="H18" t="str">
        <v>Unattempted</v>
      </c>
      <c r="I18" t="str">
        <v>Unattempted</v>
      </c>
      <c r="J18" t="str">
        <v>Unattempted</v>
      </c>
    </row>
    <row r="19" spans="1:10" x14ac:dyDescent="0.3">
      <c r="A19">
        <v>2010992202</v>
      </c>
      <c r="B19" t="str">
        <v>ST1-Assignment</v>
      </c>
      <c r="C19" t="str">
        <v>Unattempted</v>
      </c>
      <c r="D19" t="str">
        <v>Unattempted</v>
      </c>
      <c r="E19" t="str">
        <v>ST2-Assignment</v>
      </c>
      <c r="F19" t="str">
        <v>ST2-FA1</v>
      </c>
      <c r="G19" t="str">
        <v>ST2-FA2</v>
      </c>
      <c r="H19" t="str">
        <v>Unattempted</v>
      </c>
      <c r="I19" t="str">
        <v>Unattempted</v>
      </c>
      <c r="J19" t="str">
        <v>Unattempted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92C2-80D7-49F3-B8D2-F10CF0287267}">
  <dimension ref="A1:I19"/>
  <sheetViews>
    <sheetView workbookViewId="0">
      <selection activeCell="G2" sqref="G2"/>
    </sheetView>
  </sheetViews>
  <sheetFormatPr defaultRowHeight="14.4" x14ac:dyDescent="0.3"/>
  <cols>
    <col min="1" max="1" width="11" bestFit="1" customWidth="1"/>
    <col min="14" max="15" width="11.44140625" bestFit="1" customWidth="1"/>
  </cols>
  <sheetData>
    <row r="1" spans="1:9" x14ac:dyDescent="0.3">
      <c r="A1" t="str" cm="1">
        <f t="array" ref="A1:I1">TRANSPOSE('ASN Questions'!A2:A10)</f>
        <v>ST1-Assignment</v>
      </c>
      <c r="B1" t="str">
        <v>ST1-FA1</v>
      </c>
      <c r="C1" t="str">
        <v>ST1-FA2</v>
      </c>
      <c r="D1" t="str">
        <v>ST2-Assignment</v>
      </c>
      <c r="E1" t="str">
        <v>ST2-FA1</v>
      </c>
      <c r="F1" t="str">
        <v>ST2-FA2</v>
      </c>
      <c r="G1" t="str">
        <v>ST3-Assignment</v>
      </c>
      <c r="H1" t="str">
        <v>ST3-FA1</v>
      </c>
      <c r="I1" t="str">
        <v>ST3-FA2</v>
      </c>
    </row>
    <row r="2" spans="1:9" x14ac:dyDescent="0.3">
      <c r="A2" cm="1">
        <f t="array" ref="A2:I19">_xlfn.LET(
    _xlpm.student_ids, 'ASN Question Map'!A2:INDEX('ASN Question Map'!A:A,COUNTA('ASN Question Map'!A:A)),
    _xlpm.answers, 'ASN Question Map'!B2:INDEX('ASN Question Map'!J:J,COUNTA('ASN Question Map'!J:J)),
    _xlpm.num_students, ROWS(_xlpm.student_ids),
    _xlpm.num_questions, COLUMNS(_xlpm.answers),
    _xlfn.MAKEARRAY(_xlpm.num_students, _xlpm.num_questions, _xlfn.LAMBDA(_xlpm.r,_xlpm.c,
        _xlfn.LET(
            _xlpm.current_col, INDEX(_xlpm.answers, 0, _xlpm.c),
            _xlpm.filtered_list, _xlfn._xlws.FILTER(_xlpm.student_ids, (_xlpm.current_col&lt;&gt;"") * (NOT(ISNUMBER(SEARCH("Unattemp", _xlpm.current_col)))), ""),
            IFERROR(INDEX(_xlpm.filtered_list, _xlpm.r), "")
        )
    ))
)</f>
        <v>2010990089</v>
      </c>
      <c r="B2" t="str">
        <v/>
      </c>
      <c r="C2" t="str">
        <v/>
      </c>
      <c r="D2">
        <v>2010990089</v>
      </c>
      <c r="E2">
        <v>2010990089</v>
      </c>
      <c r="F2">
        <v>2010990089</v>
      </c>
      <c r="G2" t="str">
        <v/>
      </c>
      <c r="H2" t="str">
        <v/>
      </c>
      <c r="I2" t="str">
        <v/>
      </c>
    </row>
    <row r="3" spans="1:9" x14ac:dyDescent="0.3">
      <c r="A3">
        <v>2010992002</v>
      </c>
      <c r="B3" t="str">
        <v/>
      </c>
      <c r="C3" t="str">
        <v/>
      </c>
      <c r="D3">
        <v>2010992002</v>
      </c>
      <c r="E3">
        <v>2010992002</v>
      </c>
      <c r="F3">
        <v>2010992002</v>
      </c>
      <c r="G3" t="str">
        <v/>
      </c>
      <c r="H3" t="str">
        <v/>
      </c>
      <c r="I3" t="str">
        <v/>
      </c>
    </row>
    <row r="4" spans="1:9" x14ac:dyDescent="0.3">
      <c r="A4">
        <v>2010992004</v>
      </c>
      <c r="B4" t="str">
        <v/>
      </c>
      <c r="C4" t="str">
        <v/>
      </c>
      <c r="D4">
        <v>2010992004</v>
      </c>
      <c r="E4">
        <v>2010992004</v>
      </c>
      <c r="F4">
        <v>2010992004</v>
      </c>
      <c r="G4" t="str">
        <v/>
      </c>
      <c r="H4" t="str">
        <v/>
      </c>
      <c r="I4" t="str">
        <v/>
      </c>
    </row>
    <row r="5" spans="1:9" x14ac:dyDescent="0.3">
      <c r="A5">
        <v>2010992005</v>
      </c>
      <c r="B5" t="str">
        <v/>
      </c>
      <c r="C5" t="str">
        <v/>
      </c>
      <c r="D5">
        <v>2010992005</v>
      </c>
      <c r="E5">
        <v>2010992005</v>
      </c>
      <c r="F5">
        <v>2010992005</v>
      </c>
      <c r="G5" t="str">
        <v/>
      </c>
      <c r="H5" t="str">
        <v/>
      </c>
      <c r="I5" t="str">
        <v/>
      </c>
    </row>
    <row r="6" spans="1:9" x14ac:dyDescent="0.3">
      <c r="A6">
        <v>2010992006</v>
      </c>
      <c r="B6" t="str">
        <v/>
      </c>
      <c r="C6" t="str">
        <v/>
      </c>
      <c r="D6">
        <v>2010992006</v>
      </c>
      <c r="E6">
        <v>2010992006</v>
      </c>
      <c r="F6">
        <v>2010992006</v>
      </c>
      <c r="G6" t="str">
        <v/>
      </c>
      <c r="H6" t="str">
        <v/>
      </c>
      <c r="I6" t="str">
        <v/>
      </c>
    </row>
    <row r="7" spans="1:9" x14ac:dyDescent="0.3">
      <c r="A7">
        <v>2010992008</v>
      </c>
      <c r="B7" t="str">
        <v/>
      </c>
      <c r="C7" t="str">
        <v/>
      </c>
      <c r="D7">
        <v>2010992008</v>
      </c>
      <c r="E7">
        <v>2010992008</v>
      </c>
      <c r="F7">
        <v>2010992008</v>
      </c>
      <c r="G7" t="str">
        <v/>
      </c>
      <c r="H7" t="str">
        <v/>
      </c>
      <c r="I7" t="str">
        <v/>
      </c>
    </row>
    <row r="8" spans="1:9" x14ac:dyDescent="0.3">
      <c r="A8">
        <v>2010992009</v>
      </c>
      <c r="B8" t="str">
        <v/>
      </c>
      <c r="C8" t="str">
        <v/>
      </c>
      <c r="D8">
        <v>2010992009</v>
      </c>
      <c r="E8">
        <v>2010992009</v>
      </c>
      <c r="F8">
        <v>2010992009</v>
      </c>
      <c r="G8" t="str">
        <v/>
      </c>
      <c r="H8" t="str">
        <v/>
      </c>
      <c r="I8" t="str">
        <v/>
      </c>
    </row>
    <row r="9" spans="1:9" x14ac:dyDescent="0.3">
      <c r="A9">
        <v>2010992010</v>
      </c>
      <c r="B9" t="str">
        <v/>
      </c>
      <c r="C9" t="str">
        <v/>
      </c>
      <c r="D9">
        <v>2010992010</v>
      </c>
      <c r="E9">
        <v>2010992010</v>
      </c>
      <c r="F9">
        <v>2010992010</v>
      </c>
      <c r="G9" t="str">
        <v/>
      </c>
      <c r="H9" t="str">
        <v/>
      </c>
      <c r="I9" t="str">
        <v/>
      </c>
    </row>
    <row r="10" spans="1:9" x14ac:dyDescent="0.3">
      <c r="A10">
        <v>2010992011</v>
      </c>
      <c r="B10" t="str">
        <v/>
      </c>
      <c r="C10" t="str">
        <v/>
      </c>
      <c r="D10">
        <v>2010992011</v>
      </c>
      <c r="E10">
        <v>2010992011</v>
      </c>
      <c r="F10">
        <v>2010992011</v>
      </c>
      <c r="G10" t="str">
        <v/>
      </c>
      <c r="H10" t="str">
        <v/>
      </c>
      <c r="I10" t="str">
        <v/>
      </c>
    </row>
    <row r="11" spans="1:9" x14ac:dyDescent="0.3">
      <c r="A11">
        <v>2010992012</v>
      </c>
      <c r="B11" t="str">
        <v/>
      </c>
      <c r="C11" t="str">
        <v/>
      </c>
      <c r="D11">
        <v>2010992012</v>
      </c>
      <c r="E11">
        <v>2010992012</v>
      </c>
      <c r="F11">
        <v>2010992012</v>
      </c>
      <c r="G11" t="str">
        <v/>
      </c>
      <c r="H11" t="str">
        <v/>
      </c>
      <c r="I11" t="str">
        <v/>
      </c>
    </row>
    <row r="12" spans="1:9" x14ac:dyDescent="0.3">
      <c r="A12">
        <v>2010992014</v>
      </c>
      <c r="B12" t="str">
        <v/>
      </c>
      <c r="C12" t="str">
        <v/>
      </c>
      <c r="D12">
        <v>2010992014</v>
      </c>
      <c r="E12">
        <v>2010992014</v>
      </c>
      <c r="F12">
        <v>2010992014</v>
      </c>
      <c r="G12" t="str">
        <v/>
      </c>
      <c r="H12" t="str">
        <v/>
      </c>
      <c r="I12" t="str">
        <v/>
      </c>
    </row>
    <row r="13" spans="1:9" x14ac:dyDescent="0.3">
      <c r="A13">
        <v>2010992015</v>
      </c>
      <c r="B13" t="str">
        <v/>
      </c>
      <c r="C13" t="str">
        <v/>
      </c>
      <c r="D13">
        <v>2010992015</v>
      </c>
      <c r="E13">
        <v>2010992015</v>
      </c>
      <c r="F13">
        <v>2010992015</v>
      </c>
      <c r="G13" t="str">
        <v/>
      </c>
      <c r="H13" t="str">
        <v/>
      </c>
      <c r="I13" t="str">
        <v/>
      </c>
    </row>
    <row r="14" spans="1:9" x14ac:dyDescent="0.3">
      <c r="A14">
        <v>2010992016</v>
      </c>
      <c r="B14" t="str">
        <v/>
      </c>
      <c r="C14" t="str">
        <v/>
      </c>
      <c r="D14">
        <v>2010992016</v>
      </c>
      <c r="E14">
        <v>2010992016</v>
      </c>
      <c r="F14">
        <v>2010992016</v>
      </c>
      <c r="G14" t="str">
        <v/>
      </c>
      <c r="H14" t="str">
        <v/>
      </c>
      <c r="I14" t="str">
        <v/>
      </c>
    </row>
    <row r="15" spans="1:9" x14ac:dyDescent="0.3">
      <c r="A15">
        <v>2010992017</v>
      </c>
      <c r="B15" t="str">
        <v/>
      </c>
      <c r="C15" t="str">
        <v/>
      </c>
      <c r="D15">
        <v>2010992017</v>
      </c>
      <c r="E15">
        <v>2010992017</v>
      </c>
      <c r="F15">
        <v>2010992017</v>
      </c>
      <c r="G15" t="str">
        <v/>
      </c>
      <c r="H15" t="str">
        <v/>
      </c>
      <c r="I15" t="str">
        <v/>
      </c>
    </row>
    <row r="16" spans="1:9" x14ac:dyDescent="0.3">
      <c r="A16">
        <v>2010992018</v>
      </c>
      <c r="B16" t="str">
        <v/>
      </c>
      <c r="C16" t="str">
        <v/>
      </c>
      <c r="D16">
        <v>2010992018</v>
      </c>
      <c r="E16">
        <v>2010992018</v>
      </c>
      <c r="F16">
        <v>2010992018</v>
      </c>
      <c r="G16" t="str">
        <v/>
      </c>
      <c r="H16" t="str">
        <v/>
      </c>
      <c r="I16" t="str">
        <v/>
      </c>
    </row>
    <row r="17" spans="1:9" x14ac:dyDescent="0.3">
      <c r="A17">
        <v>2010992019</v>
      </c>
      <c r="B17" t="str">
        <v/>
      </c>
      <c r="C17" t="str">
        <v/>
      </c>
      <c r="D17">
        <v>2010992019</v>
      </c>
      <c r="E17">
        <v>2010992019</v>
      </c>
      <c r="F17">
        <v>2010992019</v>
      </c>
      <c r="G17" t="str">
        <v/>
      </c>
      <c r="H17" t="str">
        <v/>
      </c>
      <c r="I17" t="str">
        <v/>
      </c>
    </row>
    <row r="18" spans="1:9" x14ac:dyDescent="0.3">
      <c r="A18">
        <v>2010992163</v>
      </c>
      <c r="B18" t="str">
        <v/>
      </c>
      <c r="C18" t="str">
        <v/>
      </c>
      <c r="D18">
        <v>2010992163</v>
      </c>
      <c r="E18">
        <v>2010992163</v>
      </c>
      <c r="F18">
        <v>2010992163</v>
      </c>
      <c r="G18" t="str">
        <v/>
      </c>
      <c r="H18" t="str">
        <v/>
      </c>
      <c r="I18" t="str">
        <v/>
      </c>
    </row>
    <row r="19" spans="1:9" x14ac:dyDescent="0.3">
      <c r="A19">
        <v>2010992202</v>
      </c>
      <c r="B19" t="str">
        <v/>
      </c>
      <c r="C19" t="str">
        <v/>
      </c>
      <c r="D19">
        <v>2010992202</v>
      </c>
      <c r="E19">
        <v>2010992202</v>
      </c>
      <c r="F19">
        <v>2010992202</v>
      </c>
      <c r="G19" t="str">
        <v/>
      </c>
      <c r="H19" t="str">
        <v/>
      </c>
      <c r="I19" t="str">
        <v/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BE6A-121C-4969-A1B2-97E423E031E9}">
  <dimension ref="A1:F19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3" max="3" width="8.88671875" customWidth="1"/>
    <col min="10" max="10" width="11.44140625" bestFit="1" customWidth="1"/>
    <col min="18" max="21" width="11.44140625" bestFit="1" customWidth="1"/>
  </cols>
  <sheetData>
    <row r="1" spans="1:6" x14ac:dyDescent="0.3">
      <c r="A1" t="str" cm="1">
        <f t="array" ref="A1:F1">'ASN Questions'!C1:H1</f>
        <v>CO1</v>
      </c>
      <c r="B1" t="str">
        <v>CO2</v>
      </c>
      <c r="C1" t="str">
        <v>CO3</v>
      </c>
      <c r="D1" t="str">
        <v>CO4</v>
      </c>
      <c r="E1" t="str">
        <v>CO5</v>
      </c>
      <c r="F1" t="str">
        <v>CO6</v>
      </c>
    </row>
    <row r="2" spans="1:6" x14ac:dyDescent="0.3">
      <c r="A2" cm="1">
        <f t="array" ref="A2:A19">IFERROR(_xlfn.LET(
    _xlpm.TargetStudents,
    TRANSPOSE(
        _xlfn._xlws.FILTER(
            'ASN Questions'!$A$2:INDEX('ASN Questions'!$A:$A, COUNTA('ASN Questions'!$A:$A)),
            _xlfn.XLOOKUP(
                A$1,
                'ASN Questions'!$C$1:$H$1,
                'ASN Questions'!$C$2:INDEX('ASN Questions'!$H:$H, COUNTA('ASN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'ASN Attemped Qs'!$A$1:$I$1,
                    'ASN Attemped Qs'!$A$2:INDEX('ASN Attemped Qs'!$I:$I, COUNTA('ASN Attemped Qs'!$I:$I)),
                    "Not Found"
                )
            )
        )),
        , 1
    ),
    _xlpm.FlattenedList,
    _xlfn.TOCOL(_xlpm.DataGrid, 1),
    _xlfn.UNIQUE(
        _xlfn._xlws.FILTER(_xlpm.FlattenedList, _xlpm.FlattenedList &lt;&gt; "")
    )
),"Not Found")</f>
        <v>2010990089</v>
      </c>
      <c r="B2" cm="1">
        <f t="array" ref="B2:B19">IFERROR(_xlfn.LET(
    _xlpm.TargetStudents,
    TRANSPOSE(
        _xlfn._xlws.FILTER(
            'ASN Questions'!$A$2:INDEX('ASN Questions'!$A:$A, COUNTA('ASN Questions'!$A:$A)),
            _xlfn.XLOOKUP(
                B$1,
                'ASN Questions'!$C$1:$H$1,
                'ASN Questions'!$C$2:INDEX('ASN Questions'!$H:$H, COUNTA('ASN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'ASN Attemped Qs'!$A$1:$I$1,
                    'ASN Attemped Qs'!$A$2:INDEX('ASN Attemped Qs'!$I:$I, COUNTA('ASN Attemped Qs'!$I:$I)),
                    "Not Found"
                )
            )
        )),
        , 1
    ),
    _xlpm.FlattenedList,
    _xlfn.TOCOL(_xlpm.DataGrid, 1),
    _xlfn.UNIQUE(
        _xlfn._xlws.FILTER(_xlpm.FlattenedList, _xlpm.FlattenedList &lt;&gt; "")
    )
),"Not Found")</f>
        <v>2010990089</v>
      </c>
      <c r="C2" cm="1">
        <f t="array" ref="C2:C19">IFERROR(_xlfn.LET(
    _xlpm.TargetStudents,
    TRANSPOSE(
        _xlfn._xlws.FILTER(
            'ASN Questions'!$A$2:INDEX('ASN Questions'!$A:$A, COUNTA('ASN Questions'!$A:$A)),
            _xlfn.XLOOKUP(
                C$1,
                'ASN Questions'!$C$1:$H$1,
                'ASN Questions'!$C$2:INDEX('ASN Questions'!$H:$H, COUNTA('ASN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'ASN Attemped Qs'!$A$1:$I$1,
                    'ASN Attemped Qs'!$A$2:INDEX('ASN Attemped Qs'!$I:$I, COUNTA('ASN Attemped Qs'!$I:$I)),
                    "Not Found"
                )
            )
        )),
        , 1
    ),
    _xlpm.FlattenedList,
    _xlfn.TOCOL(_xlpm.DataGrid, 1),
    _xlfn.UNIQUE(
        _xlfn._xlws.FILTER(_xlpm.FlattenedList, _xlpm.FlattenedList &lt;&gt; "")
    )
),"Not Found")</f>
        <v>2010990089</v>
      </c>
      <c r="D2" t="str" cm="1">
        <f t="array" ref="D2">IFERROR(_xlfn.LET(
    _xlpm.TargetStudents,
    TRANSPOSE(
        _xlfn._xlws.FILTER(
            'ASN Questions'!$A$2:INDEX('ASN Questions'!$A:$A, COUNTA('ASN Questions'!$A:$A)),
            _xlfn.XLOOKUP(
                D$1,
                'ASN Questions'!$C$1:$H$1,
                'ASN Questions'!$C$2:INDEX('ASN Questions'!$H:$H, COUNTA('ASN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'ASN Attemped Qs'!$A$1:$I$1,
                    'ASN Attemped Qs'!$A$2:INDEX('ASN Attemped Qs'!$I:$I, COUNTA('ASN Attemped Qs'!$I:$I)),
                    "Not Found"
                )
            )
        )),
        , 1
    ),
    _xlpm.FlattenedList,
    _xlfn.TOCOL(_xlpm.DataGrid, 1),
    _xlfn.UNIQUE(
        _xlfn._xlws.FILTER(_xlpm.FlattenedList, _xlpm.FlattenedList &lt;&gt; "")
    )
),"Not Found")</f>
        <v>Not Found</v>
      </c>
      <c r="E2" t="str" cm="1">
        <f t="array" ref="E2">IFERROR(_xlfn.LET(
    _xlpm.TargetStudents,
    TRANSPOSE(
        _xlfn._xlws.FILTER(
            'ASN Questions'!$A$2:INDEX('ASN Questions'!$A:$A, COUNTA('ASN Questions'!$A:$A)),
            _xlfn.XLOOKUP(
                E$1,
                'ASN Questions'!$C$1:$H$1,
                'ASN Questions'!$C$2:INDEX('ASN Questions'!$H:$H, COUNTA('ASN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'ASN Attemped Qs'!$A$1:$I$1,
                    'ASN Attemped Qs'!$A$2:INDEX('ASN Attemped Qs'!$I:$I, COUNTA('ASN Attemped Qs'!$I:$I)),
                    "Not Found"
                )
            )
        )),
        , 1
    ),
    _xlpm.FlattenedList,
    _xlfn.TOCOL(_xlpm.DataGrid, 1),
    _xlfn.UNIQUE(
        _xlfn._xlws.FILTER(_xlpm.FlattenedList, _xlpm.FlattenedList &lt;&gt; "")
    )
),"Not Found")</f>
        <v>Not Found</v>
      </c>
      <c r="F2" t="str" cm="1">
        <f t="array" ref="F2">IFERROR(_xlfn.LET(
    _xlpm.TargetStudents,
    TRANSPOSE(
        _xlfn._xlws.FILTER(
            'ASN Questions'!$A$2:INDEX('ASN Questions'!$A:$A, COUNTA('ASN Questions'!$A:$A)),
            _xlfn.XLOOKUP(
                F$1,
                'ASN Questions'!$C$1:$H$1,
                'ASN Questions'!$C$2:INDEX('ASN Questions'!$H:$H, COUNTA('ASN Questions'!$H:$H))
            ),
            "No Matches"
        )
    ),
    _xlpm.DataGrid,
    _xlfn.DROP(
        _xlfn.REDUCE("", _xlpm.TargetStudents, _xlfn.LAMBDA(_xlpm.accumulator,_xlpm.student,
            _xlfn.HSTACK(
                _xlpm.accumulator,
                _xlfn.XLOOKUP(
                    _xlpm.student,
                    'ASN Attemped Qs'!$A$1:$I$1,
                    'ASN Attemped Qs'!$A$2:INDEX('ASN Attemped Qs'!$I:$I, COUNTA('ASN Attemped Qs'!$I:$I)),
                    "Not Found"
                )
            )
        )),
        , 1
    ),
    _xlpm.FlattenedList,
    _xlfn.TOCOL(_xlpm.DataGrid, 1),
    _xlfn.UNIQUE(
        _xlfn._xlws.FILTER(_xlpm.FlattenedList, _xlpm.FlattenedList &lt;&gt; "")
    )
),"Not Found")</f>
        <v>Not Found</v>
      </c>
    </row>
    <row r="3" spans="1:6" x14ac:dyDescent="0.3">
      <c r="A3">
        <v>2010992002</v>
      </c>
      <c r="B3">
        <v>2010992002</v>
      </c>
      <c r="C3">
        <v>2010992002</v>
      </c>
    </row>
    <row r="4" spans="1:6" x14ac:dyDescent="0.3">
      <c r="A4">
        <v>2010992004</v>
      </c>
      <c r="B4">
        <v>2010992004</v>
      </c>
      <c r="C4">
        <v>2010992004</v>
      </c>
    </row>
    <row r="5" spans="1:6" x14ac:dyDescent="0.3">
      <c r="A5">
        <v>2010992005</v>
      </c>
      <c r="B5">
        <v>2010992005</v>
      </c>
      <c r="C5">
        <v>2010992005</v>
      </c>
    </row>
    <row r="6" spans="1:6" x14ac:dyDescent="0.3">
      <c r="A6">
        <v>2010992006</v>
      </c>
      <c r="B6">
        <v>2010992006</v>
      </c>
      <c r="C6">
        <v>2010992006</v>
      </c>
    </row>
    <row r="7" spans="1:6" x14ac:dyDescent="0.3">
      <c r="A7">
        <v>2010992008</v>
      </c>
      <c r="B7">
        <v>2010992008</v>
      </c>
      <c r="C7">
        <v>2010992008</v>
      </c>
    </row>
    <row r="8" spans="1:6" x14ac:dyDescent="0.3">
      <c r="A8">
        <v>2010992009</v>
      </c>
      <c r="B8">
        <v>2010992009</v>
      </c>
      <c r="C8">
        <v>2010992009</v>
      </c>
    </row>
    <row r="9" spans="1:6" x14ac:dyDescent="0.3">
      <c r="A9">
        <v>2010992010</v>
      </c>
      <c r="B9">
        <v>2010992010</v>
      </c>
      <c r="C9">
        <v>2010992010</v>
      </c>
    </row>
    <row r="10" spans="1:6" x14ac:dyDescent="0.3">
      <c r="A10">
        <v>2010992011</v>
      </c>
      <c r="B10">
        <v>2010992011</v>
      </c>
      <c r="C10">
        <v>2010992011</v>
      </c>
    </row>
    <row r="11" spans="1:6" x14ac:dyDescent="0.3">
      <c r="A11">
        <v>2010992012</v>
      </c>
      <c r="B11">
        <v>2010992012</v>
      </c>
      <c r="C11">
        <v>2010992012</v>
      </c>
    </row>
    <row r="12" spans="1:6" x14ac:dyDescent="0.3">
      <c r="A12">
        <v>2010992014</v>
      </c>
      <c r="B12">
        <v>2010992014</v>
      </c>
      <c r="C12">
        <v>2010992014</v>
      </c>
    </row>
    <row r="13" spans="1:6" x14ac:dyDescent="0.3">
      <c r="A13">
        <v>2010992015</v>
      </c>
      <c r="B13">
        <v>2010992015</v>
      </c>
      <c r="C13">
        <v>2010992015</v>
      </c>
    </row>
    <row r="14" spans="1:6" x14ac:dyDescent="0.3">
      <c r="A14">
        <v>2010992016</v>
      </c>
      <c r="B14">
        <v>2010992016</v>
      </c>
      <c r="C14">
        <v>2010992016</v>
      </c>
    </row>
    <row r="15" spans="1:6" x14ac:dyDescent="0.3">
      <c r="A15">
        <v>2010992017</v>
      </c>
      <c r="B15">
        <v>2010992017</v>
      </c>
      <c r="C15">
        <v>2010992017</v>
      </c>
    </row>
    <row r="16" spans="1:6" x14ac:dyDescent="0.3">
      <c r="A16">
        <v>2010992018</v>
      </c>
      <c r="B16">
        <v>2010992018</v>
      </c>
      <c r="C16">
        <v>2010992018</v>
      </c>
    </row>
    <row r="17" spans="1:3" x14ac:dyDescent="0.3">
      <c r="A17">
        <v>2010992019</v>
      </c>
      <c r="B17">
        <v>2010992019</v>
      </c>
      <c r="C17">
        <v>2010992019</v>
      </c>
    </row>
    <row r="18" spans="1:3" x14ac:dyDescent="0.3">
      <c r="A18">
        <v>2010992163</v>
      </c>
      <c r="B18">
        <v>2010992163</v>
      </c>
      <c r="C18">
        <v>2010992163</v>
      </c>
    </row>
    <row r="19" spans="1:3" x14ac:dyDescent="0.3">
      <c r="A19">
        <v>2010992202</v>
      </c>
      <c r="B19">
        <v>2010992202</v>
      </c>
      <c r="C19">
        <v>2010992202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5512-B62F-4B9C-8B6F-62DE9292C4AF}">
  <dimension ref="A1:G19"/>
  <sheetViews>
    <sheetView zoomScale="85" zoomScaleNormal="85" workbookViewId="0"/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INDEX('ASN Result'!B:B, 1):INDEX('ASN Result'!B:B, COUNTA('ASN Result'!B:B))</f>
        <v>Admission No. (Roll No.)</v>
      </c>
      <c r="B1" t="str" cm="1">
        <f t="array" ref="B1:G1">'ASN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
    $A2:INDEX($A:$A,COUNTA($A:$A)),
    _xlfn.LAMBDA(_xlpm.studentID,
        SUM(
            IFERROR(
                _xlfn.XLOOKUP(
                    IF(
                        _xlfn.XLOOKUP(
                            B$1,
                            'ASN Questions'!$C$1:$H$1,
                            'ASN Questions'!$C$2:$H$10
                        ) = TRUE,
                        TRANSPOSE(
                            _xlfn.XLOOKUP(
                                _xlpm.studentID,
                                'ASN Question Map'!$A$2:INDEX('ASN Question Map'!$A:$A, COUNTA('ASN Question Map'!$A:$A)),
                                'ASN Question Map'!$B$2:INDEX('ASN Question Map'!$J:$J, COUNTA('ASN Question Map'!$J:$J))
                            )
                        )
                    ),
                    'ASN Questions'!$A$2:$A$10,
                    'ASN Questions'!$B$2:$B$10
                ),
                0
            )
        )
    )
)</f>
        <v>60</v>
      </c>
      <c r="C2" cm="1">
        <f t="array" ref="C2:C19">_xlfn.BYROW(
    $A2:INDEX($A:$A,COUNTA($A:$A)),
    _xlfn.LAMBDA(_xlpm.studentID,
        SUM(
            IFERROR(
                _xlfn.XLOOKUP(
                    IF(
                        _xlfn.XLOOKUP(
                            C$1,
                            'ASN Questions'!$C$1:$H$1,
                            'ASN Questions'!$C$2:$H$10
                        ) = TRUE,
                        TRANSPOSE(
                            _xlfn.XLOOKUP(
                                _xlpm.studentID,
                                'ASN Question Map'!$A$2:INDEX('ASN Question Map'!$A:$A, COUNTA('ASN Question Map'!$A:$A)),
                                'ASN Question Map'!$B$2:INDEX('ASN Question Map'!$J:$J, COUNTA('ASN Question Map'!$J:$J))
                            )
                        )
                    ),
                    'ASN Questions'!$A$2:$A$10,
                    'ASN Questions'!$B$2:$B$10
                ),
                0
            )
        )
    )
)</f>
        <v>60</v>
      </c>
      <c r="D2" cm="1">
        <f t="array" ref="D2:D19">_xlfn.BYROW(
    $A2:INDEX($A:$A,COUNTA($A:$A)),
    _xlfn.LAMBDA(_xlpm.studentID,
        SUM(
            IFERROR(
                _xlfn.XLOOKUP(
                    IF(
                        _xlfn.XLOOKUP(
                            D$1,
                            'ASN Questions'!$C$1:$H$1,
                            'ASN Questions'!$C$2:$H$10
                        ) = TRUE,
                        TRANSPOSE(
                            _xlfn.XLOOKUP(
                                _xlpm.studentID,
                                'ASN Question Map'!$A$2:INDEX('ASN Question Map'!$A:$A, COUNTA('ASN Question Map'!$A:$A)),
                                'ASN Question Map'!$B$2:INDEX('ASN Question Map'!$J:$J, COUNTA('ASN Question Map'!$J:$J))
                            )
                        )
                    ),
                    'ASN Questions'!$A$2:$A$10,
                    'ASN Questions'!$B$2:$B$10
                ),
                0
            )
        )
    )
)</f>
        <v>50</v>
      </c>
      <c r="E2" cm="1">
        <f t="array" ref="E2:E19">_xlfn.BYROW(
    $A2:INDEX($A:$A,COUNTA($A:$A)),
    _xlfn.LAMBDA(_xlpm.studentID,
        SUM(
            IFERROR(
                _xlfn.XLOOKUP(
                    IF(
                        _xlfn.XLOOKUP(
                            E$1,
                            'ASN Questions'!$C$1:$H$1,
                            'ASN Questions'!$C$2:$H$10
                        ) = TRUE,
                        TRANSPOSE(
                            _xlfn.XLOOKUP(
                                _xlpm.studentID,
                                'ASN Question Map'!$A$2:INDEX('ASN Question Map'!$A:$A, COUNTA('ASN Question Map'!$A:$A)),
                                'ASN Question Map'!$B$2:INDEX('ASN Question Map'!$J:$J, COUNTA('ASN Question Map'!$J:$J))
                            )
                        )
                    ),
                    'ASN Questions'!$A$2:$A$10,
                    'ASN Questions'!$B$2:$B$10
                ),
                0
            )
        )
    )
)</f>
        <v>0</v>
      </c>
      <c r="F2" cm="1">
        <f t="array" ref="F2:F19">_xlfn.BYROW(
    $A2:INDEX($A:$A,COUNTA($A:$A)),
    _xlfn.LAMBDA(_xlpm.studentID,
        SUM(
            IFERROR(
                _xlfn.XLOOKUP(
                    IF(
                        _xlfn.XLOOKUP(
                            F$1,
                            'ASN Questions'!$C$1:$H$1,
                            'ASN Questions'!$C$2:$H$10
                        ) = TRUE,
                        TRANSPOSE(
                            _xlfn.XLOOKUP(
                                _xlpm.studentID,
                                'ASN Question Map'!$A$2:INDEX('ASN Question Map'!$A:$A, COUNTA('ASN Question Map'!$A:$A)),
                                'ASN Question Map'!$B$2:INDEX('ASN Question Map'!$J:$J, COUNTA('ASN Question Map'!$J:$J))
                            )
                        )
                    ),
                    'ASN Questions'!$A$2:$A$10,
                    'ASN Questions'!$B$2:$B$10
                ),
                0
            )
        )
    )
)</f>
        <v>0</v>
      </c>
      <c r="G2" cm="1">
        <f t="array" ref="G2:G19">_xlfn.BYROW(
    $A2:INDEX($A:$A,COUNTA($A:$A)),
    _xlfn.LAMBDA(_xlpm.studentID,
        SUM(
            IFERROR(
                _xlfn.XLOOKUP(
                    IF(
                        _xlfn.XLOOKUP(
                            G$1,
                            'ASN Questions'!$C$1:$H$1,
                            'ASN Questions'!$C$2:$H$10
                        ) = TRUE,
                        TRANSPOSE(
                            _xlfn.XLOOKUP(
                                _xlpm.studentID,
                                'ASN Question Map'!$A$2:INDEX('ASN Question Map'!$A:$A, COUNTA('ASN Question Map'!$A:$A)),
                                'ASN Question Map'!$B$2:INDEX('ASN Question Map'!$J:$J, COUNTA('ASN Question Map'!$J:$J))
                            )
                        )
                    ),
                    'ASN Questions'!$A$2:$A$10,
                    'ASN Questions'!$B$2:$B$10
                ),
                0
            )
        )
    )
)</f>
        <v>0</v>
      </c>
    </row>
    <row r="3" spans="1:7" x14ac:dyDescent="0.3">
      <c r="A3">
        <v>2010992002</v>
      </c>
      <c r="B3">
        <v>60</v>
      </c>
      <c r="C3">
        <v>60</v>
      </c>
      <c r="D3">
        <v>50</v>
      </c>
      <c r="E3">
        <v>0</v>
      </c>
      <c r="F3">
        <v>0</v>
      </c>
      <c r="G3">
        <v>0</v>
      </c>
    </row>
    <row r="4" spans="1:7" x14ac:dyDescent="0.3">
      <c r="A4">
        <v>2010992004</v>
      </c>
      <c r="B4">
        <v>60</v>
      </c>
      <c r="C4">
        <v>60</v>
      </c>
      <c r="D4">
        <v>50</v>
      </c>
      <c r="E4">
        <v>0</v>
      </c>
      <c r="F4">
        <v>0</v>
      </c>
      <c r="G4">
        <v>0</v>
      </c>
    </row>
    <row r="5" spans="1:7" x14ac:dyDescent="0.3">
      <c r="A5">
        <v>2010992005</v>
      </c>
      <c r="B5">
        <v>60</v>
      </c>
      <c r="C5">
        <v>60</v>
      </c>
      <c r="D5">
        <v>50</v>
      </c>
      <c r="E5">
        <v>0</v>
      </c>
      <c r="F5">
        <v>0</v>
      </c>
      <c r="G5">
        <v>0</v>
      </c>
    </row>
    <row r="6" spans="1:7" x14ac:dyDescent="0.3">
      <c r="A6">
        <v>2010992006</v>
      </c>
      <c r="B6">
        <v>60</v>
      </c>
      <c r="C6">
        <v>60</v>
      </c>
      <c r="D6">
        <v>50</v>
      </c>
      <c r="E6">
        <v>0</v>
      </c>
      <c r="F6">
        <v>0</v>
      </c>
      <c r="G6">
        <v>0</v>
      </c>
    </row>
    <row r="7" spans="1:7" x14ac:dyDescent="0.3">
      <c r="A7">
        <v>2010992008</v>
      </c>
      <c r="B7">
        <v>60</v>
      </c>
      <c r="C7">
        <v>60</v>
      </c>
      <c r="D7">
        <v>50</v>
      </c>
      <c r="E7">
        <v>0</v>
      </c>
      <c r="F7">
        <v>0</v>
      </c>
      <c r="G7">
        <v>0</v>
      </c>
    </row>
    <row r="8" spans="1:7" x14ac:dyDescent="0.3">
      <c r="A8">
        <v>2010992009</v>
      </c>
      <c r="B8">
        <v>60</v>
      </c>
      <c r="C8">
        <v>60</v>
      </c>
      <c r="D8">
        <v>50</v>
      </c>
      <c r="E8">
        <v>0</v>
      </c>
      <c r="F8">
        <v>0</v>
      </c>
      <c r="G8">
        <v>0</v>
      </c>
    </row>
    <row r="9" spans="1:7" x14ac:dyDescent="0.3">
      <c r="A9">
        <v>2010992010</v>
      </c>
      <c r="B9">
        <v>60</v>
      </c>
      <c r="C9">
        <v>60</v>
      </c>
      <c r="D9">
        <v>50</v>
      </c>
      <c r="E9">
        <v>0</v>
      </c>
      <c r="F9">
        <v>0</v>
      </c>
      <c r="G9">
        <v>0</v>
      </c>
    </row>
    <row r="10" spans="1:7" x14ac:dyDescent="0.3">
      <c r="A10">
        <v>2010992011</v>
      </c>
      <c r="B10">
        <v>60</v>
      </c>
      <c r="C10">
        <v>60</v>
      </c>
      <c r="D10">
        <v>50</v>
      </c>
      <c r="E10">
        <v>0</v>
      </c>
      <c r="F10">
        <v>0</v>
      </c>
      <c r="G10">
        <v>0</v>
      </c>
    </row>
    <row r="11" spans="1:7" x14ac:dyDescent="0.3">
      <c r="A11">
        <v>2010992012</v>
      </c>
      <c r="B11">
        <v>60</v>
      </c>
      <c r="C11">
        <v>60</v>
      </c>
      <c r="D11">
        <v>50</v>
      </c>
      <c r="E11">
        <v>0</v>
      </c>
      <c r="F11">
        <v>0</v>
      </c>
      <c r="G11">
        <v>0</v>
      </c>
    </row>
    <row r="12" spans="1:7" x14ac:dyDescent="0.3">
      <c r="A12">
        <v>2010992014</v>
      </c>
      <c r="B12">
        <v>60</v>
      </c>
      <c r="C12">
        <v>60</v>
      </c>
      <c r="D12">
        <v>50</v>
      </c>
      <c r="E12">
        <v>0</v>
      </c>
      <c r="F12">
        <v>0</v>
      </c>
      <c r="G12">
        <v>0</v>
      </c>
    </row>
    <row r="13" spans="1:7" x14ac:dyDescent="0.3">
      <c r="A13">
        <v>2010992015</v>
      </c>
      <c r="B13">
        <v>60</v>
      </c>
      <c r="C13">
        <v>60</v>
      </c>
      <c r="D13">
        <v>50</v>
      </c>
      <c r="E13">
        <v>0</v>
      </c>
      <c r="F13">
        <v>0</v>
      </c>
      <c r="G13">
        <v>0</v>
      </c>
    </row>
    <row r="14" spans="1:7" x14ac:dyDescent="0.3">
      <c r="A14">
        <v>2010992016</v>
      </c>
      <c r="B14">
        <v>60</v>
      </c>
      <c r="C14">
        <v>60</v>
      </c>
      <c r="D14">
        <v>50</v>
      </c>
      <c r="E14">
        <v>0</v>
      </c>
      <c r="F14">
        <v>0</v>
      </c>
      <c r="G14">
        <v>0</v>
      </c>
    </row>
    <row r="15" spans="1:7" x14ac:dyDescent="0.3">
      <c r="A15">
        <v>2010992017</v>
      </c>
      <c r="B15">
        <v>60</v>
      </c>
      <c r="C15">
        <v>60</v>
      </c>
      <c r="D15">
        <v>50</v>
      </c>
      <c r="E15">
        <v>0</v>
      </c>
      <c r="F15">
        <v>0</v>
      </c>
      <c r="G15">
        <v>0</v>
      </c>
    </row>
    <row r="16" spans="1:7" x14ac:dyDescent="0.3">
      <c r="A16">
        <v>2010992018</v>
      </c>
      <c r="B16">
        <v>60</v>
      </c>
      <c r="C16">
        <v>60</v>
      </c>
      <c r="D16">
        <v>50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60</v>
      </c>
      <c r="C17">
        <v>60</v>
      </c>
      <c r="D17">
        <v>50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60</v>
      </c>
      <c r="C18">
        <v>60</v>
      </c>
      <c r="D18">
        <v>50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60</v>
      </c>
      <c r="C19">
        <v>60</v>
      </c>
      <c r="D19">
        <v>50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D05B-92FD-4CDB-B9D3-B5D9BCB08D71}">
  <dimension ref="A1:N19"/>
  <sheetViews>
    <sheetView zoomScaleNormal="100" workbookViewId="0"/>
  </sheetViews>
  <sheetFormatPr defaultRowHeight="14.4" x14ac:dyDescent="0.3"/>
  <cols>
    <col min="1" max="1" width="21" bestFit="1" customWidth="1"/>
  </cols>
  <sheetData>
    <row r="1" spans="1:14" x14ac:dyDescent="0.3">
      <c r="A1" t="str" cm="1">
        <f t="array" ref="A1:A19">INDEX('ASN Result'!B:B, 1):INDEX('ASN Result'!B:B, COUNTA('ASN Result'!B:B))</f>
        <v>Admission No. (Roll No.)</v>
      </c>
      <c r="B1" t="str" cm="1">
        <f t="array" ref="B1:G1">_xlfn.ANCHORARRAY('ASN Student MO CO Score'!B1)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14" x14ac:dyDescent="0.3">
      <c r="A2">
        <v>2010990089</v>
      </c>
      <c r="B2" cm="1">
        <f t="array" ref="B2:B19">_xlfn.BYROW(
$A2:INDEX($A:$A,COUNTA($A:$A)),
_xlfn.LAMBDA(_xlpm.studentID,
SUM(
IFERROR(
_xlfn.XLOOKUP(
IF(
_xlfn.XLOOKUP(
B$1,
'ASN Questions'!$C$1:$H$1,
'ASN Questions'!$C$2:$H$24
)=TRUE,
TRANSPOSE(
_xlfn.XLOOKUP(
_xlpm.studentID,
'ASN Question Map'!$A$2:INDEX('ASN Question Map'!$A:$A,COUNTA('ASN Question Map'!$A:$A)),
'ASN Question Map'!$B$2:INDEX('ASN Question Map'!$J:$J,COUNTA('ASN Question Map'!$J:$J))
)
)
),
'ASN Student Marks'!$C$1:$J$1,
_xlfn.XLOOKUP(
_xlpm.studentID,
'ASN Student Marks'!$A$1:INDEX('ASN Student Marks'!$A:$A,COUNTA('ASN Student Marks'!$A:$A)),
'ASN Student Marks'!$C$1:INDEX('ASN Student Marks'!$J:$J,COUNTA('ASN Student Marks'!$J:$J))
)
),
0
)
)
)
)</f>
        <v>40</v>
      </c>
      <c r="C2" cm="1">
        <f t="array" ref="C2:C19">_xlfn.BYROW(
$A2:INDEX($A:$A,COUNTA($A:$A)),
_xlfn.LAMBDA(_xlpm.studentID,
SUM(
IFERROR(
_xlfn.XLOOKUP(
IF(
_xlfn.XLOOKUP(
C$1,
'ASN Questions'!$C$1:$H$1,
'ASN Questions'!$C$2:$H$24
)=TRUE,
TRANSPOSE(
_xlfn.XLOOKUP(
_xlpm.studentID,
'ASN Question Map'!$A$2:INDEX('ASN Question Map'!$A:$A,COUNTA('ASN Question Map'!$A:$A)),
'ASN Question Map'!$B$2:INDEX('ASN Question Map'!$J:$J,COUNTA('ASN Question Map'!$J:$J))
)
)
),
'ASN Student Marks'!$C$1:$J$1,
_xlfn.XLOOKUP(
_xlpm.studentID,
'ASN Student Marks'!$A$1:INDEX('ASN Student Marks'!$A:$A,COUNTA('ASN Student Marks'!$A:$A)),
'ASN Student Marks'!$C$1:INDEX('ASN Student Marks'!$J:$J,COUNTA('ASN Student Marks'!$J:$J))
)
),
0
)
)
)
)</f>
        <v>40</v>
      </c>
      <c r="D2" cm="1">
        <f t="array" ref="D2:D19">_xlfn.BYROW(
$A2:INDEX($A:$A,COUNTA($A:$A)),
_xlfn.LAMBDA(_xlpm.studentID,
SUM(
IFERROR(
_xlfn.XLOOKUP(
IF(
_xlfn.XLOOKUP(
D$1,
'ASN Questions'!$C$1:$H$1,
'ASN Questions'!$C$2:$H$24
)=TRUE,
TRANSPOSE(
_xlfn.XLOOKUP(
_xlpm.studentID,
'ASN Question Map'!$A$2:INDEX('ASN Question Map'!$A:$A,COUNTA('ASN Question Map'!$A:$A)),
'ASN Question Map'!$B$2:INDEX('ASN Question Map'!$J:$J,COUNTA('ASN Question Map'!$J:$J))
)
)
),
'ASN Student Marks'!$C$1:$J$1,
_xlfn.XLOOKUP(
_xlpm.studentID,
'ASN Student Marks'!$A$1:INDEX('ASN Student Marks'!$A:$A,COUNTA('ASN Student Marks'!$A:$A)),
'ASN Student Marks'!$C$1:INDEX('ASN Student Marks'!$J:$J,COUNTA('ASN Student Marks'!$J:$J))
)
),
0
)
)
)
)</f>
        <v>40</v>
      </c>
      <c r="E2" cm="1">
        <f t="array" ref="E2:E19">_xlfn.BYROW(
$A2:INDEX($A:$A,COUNTA($A:$A)),
_xlfn.LAMBDA(_xlpm.studentID,
SUM(
IFERROR(
_xlfn.XLOOKUP(
IF(
_xlfn.XLOOKUP(
E$1,
'ASN Questions'!$C$1:$H$1,
'ASN Questions'!$C$2:$H$24
)=TRUE,
TRANSPOSE(
_xlfn.XLOOKUP(
_xlpm.studentID,
'ASN Question Map'!$A$2:INDEX('ASN Question Map'!$A:$A,COUNTA('ASN Question Map'!$A:$A)),
'ASN Question Map'!$B$2:INDEX('ASN Question Map'!$J:$J,COUNTA('ASN Question Map'!$J:$J))
)
)
),
'ASN Student Marks'!$C$1:$J$1,
_xlfn.XLOOKUP(
_xlpm.studentID,
'ASN Student Marks'!$A$1:INDEX('ASN Student Marks'!$A:$A,COUNTA('ASN Student Marks'!$A:$A)),
'ASN Student Marks'!$C$1:INDEX('ASN Student Marks'!$J:$J,COUNTA('ASN Student Marks'!$J:$J))
)
),
0
)
)
)
)</f>
        <v>0</v>
      </c>
      <c r="F2" cm="1">
        <f t="array" ref="F2:F19">_xlfn.BYROW(
$A2:INDEX($A:$A,COUNTA($A:$A)),
_xlfn.LAMBDA(_xlpm.studentID,
SUM(
IFERROR(
_xlfn.XLOOKUP(
IF(
_xlfn.XLOOKUP(
F$1,
'ASN Questions'!$C$1:$H$1,
'ASN Questions'!$C$2:$H$24
)=TRUE,
TRANSPOSE(
_xlfn.XLOOKUP(
_xlpm.studentID,
'ASN Question Map'!$A$2:INDEX('ASN Question Map'!$A:$A,COUNTA('ASN Question Map'!$A:$A)),
'ASN Question Map'!$B$2:INDEX('ASN Question Map'!$J:$J,COUNTA('ASN Question Map'!$J:$J))
)
)
),
'ASN Student Marks'!$C$1:$J$1,
_xlfn.XLOOKUP(
_xlpm.studentID,
'ASN Student Marks'!$A$1:INDEX('ASN Student Marks'!$A:$A,COUNTA('ASN Student Marks'!$A:$A)),
'ASN Student Marks'!$C$1:INDEX('ASN Student Marks'!$J:$J,COUNTA('ASN Student Marks'!$J:$J))
)
),
0
)
)
)
)</f>
        <v>0</v>
      </c>
      <c r="G2" cm="1">
        <f t="array" ref="G2:G19">_xlfn.BYROW(
$A2:INDEX($A:$A,COUNTA($A:$A)),
_xlfn.LAMBDA(_xlpm.studentID,
SUM(
IFERROR(
_xlfn.XLOOKUP(
IF(
_xlfn.XLOOKUP(
G$1,
'ASN Questions'!$C$1:$H$1,
'ASN Questions'!$C$2:$H$24
)=TRUE,
TRANSPOSE(
_xlfn.XLOOKUP(
_xlpm.studentID,
'ASN Question Map'!$A$2:INDEX('ASN Question Map'!$A:$A,COUNTA('ASN Question Map'!$A:$A)),
'ASN Question Map'!$B$2:INDEX('ASN Question Map'!$J:$J,COUNTA('ASN Question Map'!$J:$J))
)
)
),
'ASN Student Marks'!$C$1:$J$1,
_xlfn.XLOOKUP(
_xlpm.studentID,
'ASN Student Marks'!$A$1:INDEX('ASN Student Marks'!$A:$A,COUNTA('ASN Student Marks'!$A:$A)),
'ASN Student Marks'!$C$1:INDEX('ASN Student Marks'!$J:$J,COUNTA('ASN Student Marks'!$J:$J))
)
),
0
)
)
)
)</f>
        <v>0</v>
      </c>
    </row>
    <row r="3" spans="1:14" x14ac:dyDescent="0.3">
      <c r="A3">
        <v>2010992002</v>
      </c>
      <c r="B3">
        <v>44</v>
      </c>
      <c r="C3">
        <v>44</v>
      </c>
      <c r="D3">
        <v>44</v>
      </c>
      <c r="E3">
        <v>0</v>
      </c>
      <c r="F3">
        <v>0</v>
      </c>
      <c r="G3">
        <v>0</v>
      </c>
    </row>
    <row r="4" spans="1:14" ht="14.7" customHeight="1" x14ac:dyDescent="0.3">
      <c r="A4">
        <v>2010992004</v>
      </c>
      <c r="B4">
        <v>40</v>
      </c>
      <c r="C4">
        <v>40</v>
      </c>
      <c r="D4">
        <v>40</v>
      </c>
      <c r="E4">
        <v>0</v>
      </c>
      <c r="F4">
        <v>0</v>
      </c>
      <c r="G4">
        <v>0</v>
      </c>
      <c r="N4" s="1"/>
    </row>
    <row r="5" spans="1:14" x14ac:dyDescent="0.3">
      <c r="A5">
        <v>2010992005</v>
      </c>
      <c r="B5">
        <v>45</v>
      </c>
      <c r="C5">
        <v>45</v>
      </c>
      <c r="D5">
        <v>45</v>
      </c>
      <c r="E5">
        <v>0</v>
      </c>
      <c r="F5">
        <v>0</v>
      </c>
      <c r="G5">
        <v>0</v>
      </c>
    </row>
    <row r="6" spans="1:14" x14ac:dyDescent="0.3">
      <c r="A6">
        <v>2010992006</v>
      </c>
      <c r="B6">
        <v>37</v>
      </c>
      <c r="C6">
        <v>37</v>
      </c>
      <c r="D6">
        <v>37</v>
      </c>
      <c r="E6">
        <v>0</v>
      </c>
      <c r="F6">
        <v>0</v>
      </c>
      <c r="G6">
        <v>0</v>
      </c>
    </row>
    <row r="7" spans="1:14" x14ac:dyDescent="0.3">
      <c r="A7">
        <v>2010992008</v>
      </c>
      <c r="B7">
        <v>43</v>
      </c>
      <c r="C7">
        <v>43</v>
      </c>
      <c r="D7">
        <v>43</v>
      </c>
      <c r="E7">
        <v>0</v>
      </c>
      <c r="F7">
        <v>0</v>
      </c>
      <c r="G7">
        <v>0</v>
      </c>
    </row>
    <row r="8" spans="1:14" x14ac:dyDescent="0.3">
      <c r="A8">
        <v>2010992009</v>
      </c>
      <c r="B8">
        <v>43</v>
      </c>
      <c r="C8">
        <v>43</v>
      </c>
      <c r="D8">
        <v>43</v>
      </c>
      <c r="E8">
        <v>0</v>
      </c>
      <c r="F8">
        <v>0</v>
      </c>
      <c r="G8">
        <v>0</v>
      </c>
    </row>
    <row r="9" spans="1:14" x14ac:dyDescent="0.3">
      <c r="A9">
        <v>2010992010</v>
      </c>
      <c r="B9">
        <v>44</v>
      </c>
      <c r="C9">
        <v>44</v>
      </c>
      <c r="D9">
        <v>44</v>
      </c>
      <c r="E9">
        <v>0</v>
      </c>
      <c r="F9">
        <v>0</v>
      </c>
      <c r="G9">
        <v>0</v>
      </c>
    </row>
    <row r="10" spans="1:14" x14ac:dyDescent="0.3">
      <c r="A10">
        <v>2010992011</v>
      </c>
      <c r="B10">
        <v>29</v>
      </c>
      <c r="C10">
        <v>29</v>
      </c>
      <c r="D10">
        <v>29</v>
      </c>
      <c r="E10">
        <v>0</v>
      </c>
      <c r="F10">
        <v>0</v>
      </c>
      <c r="G10">
        <v>0</v>
      </c>
    </row>
    <row r="11" spans="1:14" x14ac:dyDescent="0.3">
      <c r="A11">
        <v>2010992012</v>
      </c>
      <c r="B11">
        <v>44</v>
      </c>
      <c r="C11">
        <v>44</v>
      </c>
      <c r="D11">
        <v>44</v>
      </c>
      <c r="E11">
        <v>0</v>
      </c>
      <c r="F11">
        <v>0</v>
      </c>
      <c r="G11">
        <v>0</v>
      </c>
    </row>
    <row r="12" spans="1:14" x14ac:dyDescent="0.3">
      <c r="A12">
        <v>2010992014</v>
      </c>
      <c r="B12">
        <v>43</v>
      </c>
      <c r="C12">
        <v>43</v>
      </c>
      <c r="D12">
        <v>43</v>
      </c>
      <c r="E12">
        <v>0</v>
      </c>
      <c r="F12">
        <v>0</v>
      </c>
      <c r="G12">
        <v>0</v>
      </c>
    </row>
    <row r="13" spans="1:14" x14ac:dyDescent="0.3">
      <c r="A13">
        <v>2010992015</v>
      </c>
      <c r="B13">
        <v>35</v>
      </c>
      <c r="C13">
        <v>35</v>
      </c>
      <c r="D13">
        <v>35</v>
      </c>
      <c r="E13">
        <v>0</v>
      </c>
      <c r="F13">
        <v>0</v>
      </c>
      <c r="G13">
        <v>0</v>
      </c>
    </row>
    <row r="14" spans="1:14" x14ac:dyDescent="0.3">
      <c r="A14">
        <v>2010992016</v>
      </c>
      <c r="B14">
        <v>31</v>
      </c>
      <c r="C14">
        <v>31</v>
      </c>
      <c r="D14">
        <v>31</v>
      </c>
      <c r="E14">
        <v>0</v>
      </c>
      <c r="F14">
        <v>0</v>
      </c>
      <c r="G14">
        <v>0</v>
      </c>
    </row>
    <row r="15" spans="1:14" x14ac:dyDescent="0.3">
      <c r="A15">
        <v>2010992017</v>
      </c>
      <c r="B15">
        <v>40</v>
      </c>
      <c r="C15">
        <v>40</v>
      </c>
      <c r="D15">
        <v>40</v>
      </c>
      <c r="E15">
        <v>0</v>
      </c>
      <c r="F15">
        <v>0</v>
      </c>
      <c r="G15">
        <v>0</v>
      </c>
    </row>
    <row r="16" spans="1:14" x14ac:dyDescent="0.3">
      <c r="A16">
        <v>2010992018</v>
      </c>
      <c r="B16">
        <v>43</v>
      </c>
      <c r="C16">
        <v>43</v>
      </c>
      <c r="D16">
        <v>43</v>
      </c>
      <c r="E16">
        <v>0</v>
      </c>
      <c r="F16">
        <v>0</v>
      </c>
      <c r="G16">
        <v>0</v>
      </c>
    </row>
    <row r="17" spans="1:7" x14ac:dyDescent="0.3">
      <c r="A17">
        <v>2010992019</v>
      </c>
      <c r="B17">
        <v>42</v>
      </c>
      <c r="C17">
        <v>42</v>
      </c>
      <c r="D17">
        <v>42</v>
      </c>
      <c r="E17">
        <v>0</v>
      </c>
      <c r="F17">
        <v>0</v>
      </c>
      <c r="G17">
        <v>0</v>
      </c>
    </row>
    <row r="18" spans="1:7" x14ac:dyDescent="0.3">
      <c r="A18">
        <v>2010992163</v>
      </c>
      <c r="B18">
        <v>40</v>
      </c>
      <c r="C18">
        <v>40</v>
      </c>
      <c r="D18">
        <v>40</v>
      </c>
      <c r="E18">
        <v>0</v>
      </c>
      <c r="F18">
        <v>0</v>
      </c>
      <c r="G18">
        <v>0</v>
      </c>
    </row>
    <row r="19" spans="1:7" x14ac:dyDescent="0.3">
      <c r="A19">
        <v>2010992202</v>
      </c>
      <c r="B19">
        <v>40</v>
      </c>
      <c r="C19">
        <v>40</v>
      </c>
      <c r="D19">
        <v>40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A2B8-B48E-49B7-AD5B-CBD75902945A}">
  <dimension ref="A1:G19"/>
  <sheetViews>
    <sheetView tabSelected="1" workbookViewId="0">
      <selection activeCell="G19" sqref="G19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INDEX('ASN Result'!B:B, 1):INDEX('ASN Result'!B:B, COUNTA('ASN Result'!B:B))</f>
        <v>Admission No. (Roll No.)</v>
      </c>
      <c r="B1" t="str" cm="1">
        <f t="array" ref="B1:G1">'ASN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
    $A2:INDEX($A:$A,COUNTA($A:$A)),
    _xlfn.LAMBDA(_xlpm.studentID,
        IFERROR(
            _xlfn.XLOOKUP(
                _xlpm.studentID,
                'ASN Student Attained CO Score'!$A:$A,
                'ASN Student Attained CO Score'!B:B
            ) /
            _xlfn.XLOOKUP(
                _xlpm.studentID,
                'ASN Student MO CO Score'!$A:$A,
                'ASN Student MO CO Score'!B:B
            )*100,
            "NA"
        )
    )
)</f>
        <v>66.666666666666657</v>
      </c>
      <c r="C2" cm="1">
        <f t="array" ref="C2:C19">_xlfn.BYROW(
    $A2:INDEX($A:$A,COUNTA($A:$A)),
    _xlfn.LAMBDA(_xlpm.studentID,
        IFERROR(
            _xlfn.XLOOKUP(
                _xlpm.studentID,
                'ASN Student Attained CO Score'!$A:$A,
                'ASN Student Attained CO Score'!C:C
            ) /
            _xlfn.XLOOKUP(
                _xlpm.studentID,
                'ASN Student MO CO Score'!$A:$A,
                'ASN Student MO CO Score'!C:C
            )*100,
            "CO questions Not Attempted"
        )
    )
)</f>
        <v>66.666666666666657</v>
      </c>
      <c r="D2" cm="1">
        <f t="array" ref="D2:D19">_xlfn.BYROW(
    $A2:INDEX($A:$A,COUNTA($A:$A)),
    _xlfn.LAMBDA(_xlpm.studentID,
        IFERROR(
            _xlfn.XLOOKUP(
                _xlpm.studentID,
                'ASN Student Attained CO Score'!$A:$A,
                'ASN Student Attained CO Score'!D:D
            ) /
            _xlfn.XLOOKUP(
                _xlpm.studentID,
                'ASN Student MO CO Score'!$A:$A,
                'ASN Student MO CO Score'!D:D
            )*100,
            "CO questions Not Attempted"
        )
    )
)</f>
        <v>80</v>
      </c>
      <c r="E2" t="str" cm="1">
        <f t="array" ref="E2:E19">_xlfn.BYROW(
    $A2:INDEX($A:$A,COUNTA($A:$A)),
    _xlfn.LAMBDA(_xlpm.studentID,
        IFERROR(
            _xlfn.XLOOKUP(
                _xlpm.studentID,
                'ASN Student Attained CO Score'!$A:$A,
                'ASN Student Attained CO Score'!E:E
            ) /
            _xlfn.XLOOKUP(
                _xlpm.studentID,
                'ASN Student MO CO Score'!$A:$A,
                'ASN Student MO CO Score'!E:E
            )*100,
            "CO questions Not Attempted"
        )
    )
)</f>
        <v>CO questions Not Attempted</v>
      </c>
      <c r="F2" t="str" cm="1">
        <f t="array" ref="F2:F19">_xlfn.BYROW(
    $A2:INDEX($A:$A,COUNTA($A:$A)),
    _xlfn.LAMBDA(_xlpm.studentID,
        IFERROR(
            _xlfn.XLOOKUP(
                _xlpm.studentID,
                'ASN Student Attained CO Score'!$A:$A,
                'ASN Student Attained CO Score'!F:F
            ) /
            _xlfn.XLOOKUP(
                _xlpm.studentID,
                'ASN Student MO CO Score'!$A:$A,
                'ASN Student MO CO Score'!F:F
            )*100,
            "CO questions Not Attempted"
        )
    )
)</f>
        <v>CO questions Not Attempted</v>
      </c>
      <c r="G2" t="str" cm="1">
        <f t="array" ref="G2:G19">_xlfn.BYROW(
    $A2:INDEX($A:$A,COUNTA($A:$A)),
    _xlfn.LAMBDA(_xlpm.studentID,
        IFERROR(
            _xlfn.XLOOKUP(
                _xlpm.studentID,
                'ASN Student Attained CO Score'!$A:$A,
                'ASN Student Attained CO Score'!G:G
            ) /
            _xlfn.XLOOKUP(
                _xlpm.studentID,
                'ASN Student MO CO Score'!$A:$A,
                'ASN Student MO CO Score'!G:G
            )*100,
            "CO questions Not Attempted"
        )
    )
)</f>
        <v>CO questions Not Attempted</v>
      </c>
    </row>
    <row r="3" spans="1:7" x14ac:dyDescent="0.3">
      <c r="A3">
        <v>2010992002</v>
      </c>
      <c r="B3">
        <v>73.333333333333329</v>
      </c>
      <c r="C3">
        <v>73.333333333333329</v>
      </c>
      <c r="D3">
        <v>88</v>
      </c>
      <c r="E3" t="str">
        <v>CO questions Not Attempted</v>
      </c>
      <c r="F3" t="str">
        <v>CO questions Not Attempted</v>
      </c>
      <c r="G3" t="str">
        <v>CO questions Not Attempted</v>
      </c>
    </row>
    <row r="4" spans="1:7" x14ac:dyDescent="0.3">
      <c r="A4">
        <v>2010992004</v>
      </c>
      <c r="B4">
        <v>66.666666666666657</v>
      </c>
      <c r="C4">
        <v>66.666666666666657</v>
      </c>
      <c r="D4">
        <v>80</v>
      </c>
      <c r="E4" t="str">
        <v>CO questions Not Attempted</v>
      </c>
      <c r="F4" t="str">
        <v>CO questions Not Attempted</v>
      </c>
      <c r="G4" t="str">
        <v>CO questions Not Attempted</v>
      </c>
    </row>
    <row r="5" spans="1:7" x14ac:dyDescent="0.3">
      <c r="A5">
        <v>2010992005</v>
      </c>
      <c r="B5">
        <v>75</v>
      </c>
      <c r="C5">
        <v>75</v>
      </c>
      <c r="D5">
        <v>90</v>
      </c>
      <c r="E5" t="str">
        <v>CO questions Not Attempted</v>
      </c>
      <c r="F5" t="str">
        <v>CO questions Not Attempted</v>
      </c>
      <c r="G5" t="str">
        <v>CO questions Not Attempted</v>
      </c>
    </row>
    <row r="6" spans="1:7" x14ac:dyDescent="0.3">
      <c r="A6">
        <v>2010992006</v>
      </c>
      <c r="B6">
        <v>61.666666666666671</v>
      </c>
      <c r="C6">
        <v>61.666666666666671</v>
      </c>
      <c r="D6">
        <v>74</v>
      </c>
      <c r="E6" t="str">
        <v>CO questions Not Attempted</v>
      </c>
      <c r="F6" t="str">
        <v>CO questions Not Attempted</v>
      </c>
      <c r="G6" t="str">
        <v>CO questions Not Attempted</v>
      </c>
    </row>
    <row r="7" spans="1:7" x14ac:dyDescent="0.3">
      <c r="A7">
        <v>2010992008</v>
      </c>
      <c r="B7">
        <v>71.666666666666671</v>
      </c>
      <c r="C7">
        <v>71.666666666666671</v>
      </c>
      <c r="D7">
        <v>86</v>
      </c>
      <c r="E7" t="str">
        <v>CO questions Not Attempted</v>
      </c>
      <c r="F7" t="str">
        <v>CO questions Not Attempted</v>
      </c>
      <c r="G7" t="str">
        <v>CO questions Not Attempted</v>
      </c>
    </row>
    <row r="8" spans="1:7" x14ac:dyDescent="0.3">
      <c r="A8">
        <v>2010992009</v>
      </c>
      <c r="B8">
        <v>71.666666666666671</v>
      </c>
      <c r="C8">
        <v>71.666666666666671</v>
      </c>
      <c r="D8">
        <v>86</v>
      </c>
      <c r="E8" t="str">
        <v>CO questions Not Attempted</v>
      </c>
      <c r="F8" t="str">
        <v>CO questions Not Attempted</v>
      </c>
      <c r="G8" t="str">
        <v>CO questions Not Attempted</v>
      </c>
    </row>
    <row r="9" spans="1:7" x14ac:dyDescent="0.3">
      <c r="A9">
        <v>2010992010</v>
      </c>
      <c r="B9">
        <v>73.333333333333329</v>
      </c>
      <c r="C9">
        <v>73.333333333333329</v>
      </c>
      <c r="D9">
        <v>88</v>
      </c>
      <c r="E9" t="str">
        <v>CO questions Not Attempted</v>
      </c>
      <c r="F9" t="str">
        <v>CO questions Not Attempted</v>
      </c>
      <c r="G9" t="str">
        <v>CO questions Not Attempted</v>
      </c>
    </row>
    <row r="10" spans="1:7" x14ac:dyDescent="0.3">
      <c r="A10">
        <v>2010992011</v>
      </c>
      <c r="B10">
        <v>48.333333333333336</v>
      </c>
      <c r="C10">
        <v>48.333333333333336</v>
      </c>
      <c r="D10">
        <v>57.999999999999993</v>
      </c>
      <c r="E10" t="str">
        <v>CO questions Not Attempted</v>
      </c>
      <c r="F10" t="str">
        <v>CO questions Not Attempted</v>
      </c>
      <c r="G10" t="str">
        <v>CO questions Not Attempted</v>
      </c>
    </row>
    <row r="11" spans="1:7" x14ac:dyDescent="0.3">
      <c r="A11">
        <v>2010992012</v>
      </c>
      <c r="B11">
        <v>73.333333333333329</v>
      </c>
      <c r="C11">
        <v>73.333333333333329</v>
      </c>
      <c r="D11">
        <v>88</v>
      </c>
      <c r="E11" t="str">
        <v>CO questions Not Attempted</v>
      </c>
      <c r="F11" t="str">
        <v>CO questions Not Attempted</v>
      </c>
      <c r="G11" t="str">
        <v>CO questions Not Attempted</v>
      </c>
    </row>
    <row r="12" spans="1:7" x14ac:dyDescent="0.3">
      <c r="A12">
        <v>2010992014</v>
      </c>
      <c r="B12">
        <v>71.666666666666671</v>
      </c>
      <c r="C12">
        <v>71.666666666666671</v>
      </c>
      <c r="D12">
        <v>86</v>
      </c>
      <c r="E12" t="str">
        <v>CO questions Not Attempted</v>
      </c>
      <c r="F12" t="str">
        <v>CO questions Not Attempted</v>
      </c>
      <c r="G12" t="str">
        <v>CO questions Not Attempted</v>
      </c>
    </row>
    <row r="13" spans="1:7" x14ac:dyDescent="0.3">
      <c r="A13">
        <v>2010992015</v>
      </c>
      <c r="B13">
        <v>58.333333333333336</v>
      </c>
      <c r="C13">
        <v>58.333333333333336</v>
      </c>
      <c r="D13">
        <v>70</v>
      </c>
      <c r="E13" t="str">
        <v>CO questions Not Attempted</v>
      </c>
      <c r="F13" t="str">
        <v>CO questions Not Attempted</v>
      </c>
      <c r="G13" t="str">
        <v>CO questions Not Attempted</v>
      </c>
    </row>
    <row r="14" spans="1:7" x14ac:dyDescent="0.3">
      <c r="A14">
        <v>2010992016</v>
      </c>
      <c r="B14">
        <v>51.666666666666671</v>
      </c>
      <c r="C14">
        <v>51.666666666666671</v>
      </c>
      <c r="D14">
        <v>62</v>
      </c>
      <c r="E14" t="str">
        <v>CO questions Not Attempted</v>
      </c>
      <c r="F14" t="str">
        <v>CO questions Not Attempted</v>
      </c>
      <c r="G14" t="str">
        <v>CO questions Not Attempted</v>
      </c>
    </row>
    <row r="15" spans="1:7" x14ac:dyDescent="0.3">
      <c r="A15">
        <v>2010992017</v>
      </c>
      <c r="B15">
        <v>66.666666666666657</v>
      </c>
      <c r="C15">
        <v>66.666666666666657</v>
      </c>
      <c r="D15">
        <v>80</v>
      </c>
      <c r="E15" t="str">
        <v>CO questions Not Attempted</v>
      </c>
      <c r="F15" t="str">
        <v>CO questions Not Attempted</v>
      </c>
      <c r="G15" t="str">
        <v>CO questions Not Attempted</v>
      </c>
    </row>
    <row r="16" spans="1:7" x14ac:dyDescent="0.3">
      <c r="A16">
        <v>2010992018</v>
      </c>
      <c r="B16">
        <v>71.666666666666671</v>
      </c>
      <c r="C16">
        <v>71.666666666666671</v>
      </c>
      <c r="D16">
        <v>86</v>
      </c>
      <c r="E16" t="str">
        <v>CO questions Not Attempted</v>
      </c>
      <c r="F16" t="str">
        <v>CO questions Not Attempted</v>
      </c>
      <c r="G16" t="str">
        <v>CO questions Not Attempted</v>
      </c>
    </row>
    <row r="17" spans="1:7" x14ac:dyDescent="0.3">
      <c r="A17">
        <v>2010992019</v>
      </c>
      <c r="B17">
        <v>70</v>
      </c>
      <c r="C17">
        <v>70</v>
      </c>
      <c r="D17">
        <v>84</v>
      </c>
      <c r="E17" t="str">
        <v>CO questions Not Attempted</v>
      </c>
      <c r="F17" t="str">
        <v>CO questions Not Attempted</v>
      </c>
      <c r="G17" t="str">
        <v>CO questions Not Attempted</v>
      </c>
    </row>
    <row r="18" spans="1:7" x14ac:dyDescent="0.3">
      <c r="A18">
        <v>2010992163</v>
      </c>
      <c r="B18">
        <v>66.666666666666657</v>
      </c>
      <c r="C18">
        <v>66.666666666666657</v>
      </c>
      <c r="D18">
        <v>80</v>
      </c>
      <c r="E18" t="str">
        <v>CO questions Not Attempted</v>
      </c>
      <c r="F18" t="str">
        <v>CO questions Not Attempted</v>
      </c>
      <c r="G18" t="str">
        <v>CO questions Not Attempted</v>
      </c>
    </row>
    <row r="19" spans="1:7" x14ac:dyDescent="0.3">
      <c r="A19">
        <v>2010992202</v>
      </c>
      <c r="B19">
        <v>66.666666666666657</v>
      </c>
      <c r="C19">
        <v>66.666666666666657</v>
      </c>
      <c r="D19">
        <v>80</v>
      </c>
      <c r="E19" t="str">
        <v>CO questions Not Attempted</v>
      </c>
      <c r="F19" t="str">
        <v>CO questions Not Attempted</v>
      </c>
      <c r="G19" t="str">
        <v>CO questions Not Attempted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B367-D13F-4547-B148-C084DDF26EF0}">
  <dimension ref="A1:G19"/>
  <sheetViews>
    <sheetView workbookViewId="0">
      <selection activeCell="B2" sqref="B2"/>
    </sheetView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INDEX('ASN Result'!B:B, 1):INDEX('ASN Result'!B:B, COUNTA('ASN Result'!B:B))</f>
        <v>Admission No. (Roll No.)</v>
      </c>
      <c r="B1" t="str" cm="1">
        <f t="array" ref="B1:G1">'ASN Questions'!C1:H1</f>
        <v>CO1</v>
      </c>
      <c r="C1" t="str">
        <v>CO2</v>
      </c>
      <c r="D1" t="str">
        <v>CO3</v>
      </c>
      <c r="E1" t="str">
        <v>CO4</v>
      </c>
      <c r="F1" t="str">
        <v>CO5</v>
      </c>
      <c r="G1" t="str">
        <v>CO6</v>
      </c>
    </row>
    <row r="2" spans="1:7" x14ac:dyDescent="0.3">
      <c r="A2">
        <v>2010990089</v>
      </c>
      <c r="B2" cm="1">
        <f t="array" ref="B2:B19">_xlfn.BYROW('ASN Student Attainment percent'!B2:INDEX('ASN Student Attainment percent'!B:B,COUNTA('ASN Student Attainment percent'!$B:$B)),_xlfn.LAMBDA(_xlpm.score,_xlfn.IFS(_xlpm.score="NA","NA",_xlpm.score&gt;'OBE Data'!$B$2-1,3,_xlpm.score&gt;'OBE Data'!$B$3-1,2,_xlpm.score&gt;'OBE Data'!$B$4-1,1,_xlpm.score&lt;'OBE Data'!$B$4,0)))</f>
        <v>3</v>
      </c>
      <c r="C2" cm="1">
        <f t="array" ref="C2:C19">_xlfn.BYROW('ASN Student Attainment percent'!C2:INDEX('ASN Student Attainment percent'!C:C,COUNTA('ASN Student Attainment percent'!$B:$B)),_xlfn.LAMBDA(_xlpm.score,_xlfn.IFS(_xlpm.score="NA","NA",_xlpm.score&gt;'OBE Data'!$B$2-1,3,_xlpm.score&gt;'OBE Data'!$B$3-1,2,_xlpm.score&gt;'OBE Data'!$B$4-1,1,_xlpm.score&lt;'OBE Data'!$B$4,0)))</f>
        <v>3</v>
      </c>
      <c r="D2" cm="1">
        <f t="array" ref="D2:D19">_xlfn.BYROW('ASN Student Attainment percent'!D2:INDEX('ASN Student Attainment percent'!D:D,COUNTA('ASN Student Attainment percent'!$B:$B)),_xlfn.LAMBDA(_xlpm.score,_xlfn.IFS(_xlpm.score="NA","NA",_xlpm.score&gt;'OBE Data'!$B$2-1,3,_xlpm.score&gt;'OBE Data'!$B$3-1,2,_xlpm.score&gt;'OBE Data'!$B$4-1,1,_xlpm.score&lt;'OBE Data'!$B$4,0)))</f>
        <v>3</v>
      </c>
      <c r="E2" cm="1">
        <f t="array" ref="E2:E19">_xlfn.BYROW('ASN Student Attainment percent'!E2:INDEX('ASN Student Attainment percent'!E:E,COUNTA('ASN Student Attainment percent'!$B:$B)),_xlfn.LAMBDA(_xlpm.score,_xlfn.IFS(_xlpm.score="NA","NA",_xlpm.score&gt;'OBE Data'!$B$2-1,3,_xlpm.score&gt;'OBE Data'!$B$3-1,2,_xlpm.score&gt;'OBE Data'!$B$4-1,1,_xlpm.score&lt;'OBE Data'!$B$4,0)))</f>
        <v>3</v>
      </c>
      <c r="F2" cm="1">
        <f t="array" ref="F2:F19">_xlfn.BYROW('ASN Student Attainment percent'!F2:INDEX('ASN Student Attainment percent'!F:F,COUNTA('ASN Student Attainment percent'!$B:$B)),_xlfn.LAMBDA(_xlpm.score,_xlfn.IFS(_xlpm.score="NA","NA",_xlpm.score&gt;'OBE Data'!$B$2-1,3,_xlpm.score&gt;'OBE Data'!$B$3-1,2,_xlpm.score&gt;'OBE Data'!$B$4-1,1,_xlpm.score&lt;'OBE Data'!$B$4,0)))</f>
        <v>3</v>
      </c>
      <c r="G2" cm="1">
        <f t="array" ref="G2:G19">_xlfn.BYROW('ASN Student Attainment percent'!G2:INDEX('ASN Student Attainment percent'!G:G,COUNTA('ASN Student Attainment percent'!$B:$B)),_xlfn.LAMBDA(_xlpm.score,_xlfn.IFS(_xlpm.score="NA","NA",_xlpm.score&gt;'OBE Data'!$B$2-1,3,_xlpm.score&gt;'OBE Data'!$B$3-1,2,_xlpm.score&gt;'OBE Data'!$B$4-1,1,_xlpm.score&lt;'OBE Data'!$B$4,0)))</f>
        <v>3</v>
      </c>
    </row>
    <row r="3" spans="1:7" x14ac:dyDescent="0.3">
      <c r="A3">
        <v>2010992002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3">
      <c r="A4">
        <v>2010992004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</row>
    <row r="5" spans="1:7" x14ac:dyDescent="0.3">
      <c r="A5">
        <v>2010992005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</row>
    <row r="6" spans="1:7" x14ac:dyDescent="0.3">
      <c r="A6">
        <v>2010992006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</row>
    <row r="7" spans="1:7" x14ac:dyDescent="0.3">
      <c r="A7">
        <v>2010992008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</row>
    <row r="8" spans="1:7" x14ac:dyDescent="0.3">
      <c r="A8">
        <v>2010992009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</row>
    <row r="9" spans="1:7" x14ac:dyDescent="0.3">
      <c r="A9">
        <v>2010992010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</row>
    <row r="10" spans="1:7" x14ac:dyDescent="0.3">
      <c r="A10">
        <v>2010992011</v>
      </c>
      <c r="B10">
        <v>0</v>
      </c>
      <c r="C10">
        <v>0</v>
      </c>
      <c r="D10">
        <v>0</v>
      </c>
      <c r="E10">
        <v>3</v>
      </c>
      <c r="F10">
        <v>3</v>
      </c>
      <c r="G10">
        <v>3</v>
      </c>
    </row>
    <row r="11" spans="1:7" x14ac:dyDescent="0.3">
      <c r="A11">
        <v>2010992012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</row>
    <row r="12" spans="1:7" x14ac:dyDescent="0.3">
      <c r="A12">
        <v>2010992014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</row>
    <row r="13" spans="1:7" x14ac:dyDescent="0.3">
      <c r="A13">
        <v>2010992015</v>
      </c>
      <c r="B13">
        <v>0</v>
      </c>
      <c r="C13">
        <v>0</v>
      </c>
      <c r="D13">
        <v>3</v>
      </c>
      <c r="E13">
        <v>3</v>
      </c>
      <c r="F13">
        <v>3</v>
      </c>
      <c r="G13">
        <v>3</v>
      </c>
    </row>
    <row r="14" spans="1:7" x14ac:dyDescent="0.3">
      <c r="A14">
        <v>2010992016</v>
      </c>
      <c r="B14">
        <v>0</v>
      </c>
      <c r="C14">
        <v>0</v>
      </c>
      <c r="D14">
        <v>3</v>
      </c>
      <c r="E14">
        <v>3</v>
      </c>
      <c r="F14">
        <v>3</v>
      </c>
      <c r="G14">
        <v>3</v>
      </c>
    </row>
    <row r="15" spans="1:7" x14ac:dyDescent="0.3">
      <c r="A15">
        <v>2010992017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</row>
    <row r="16" spans="1:7" x14ac:dyDescent="0.3">
      <c r="A16">
        <v>2010992018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</row>
    <row r="17" spans="1:7" x14ac:dyDescent="0.3">
      <c r="A17">
        <v>2010992019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</row>
    <row r="18" spans="1:7" x14ac:dyDescent="0.3">
      <c r="A18">
        <v>2010992163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</row>
    <row r="19" spans="1:7" x14ac:dyDescent="0.3">
      <c r="A19">
        <v>2010992202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06A6-B9E0-4FD1-9C40-B46EA8813C7B}">
  <dimension ref="A1:G19"/>
  <sheetViews>
    <sheetView workbookViewId="0"/>
  </sheetViews>
  <sheetFormatPr defaultRowHeight="14.4" x14ac:dyDescent="0.3"/>
  <cols>
    <col min="1" max="1" width="21" bestFit="1" customWidth="1"/>
  </cols>
  <sheetData>
    <row r="1" spans="1:7" x14ac:dyDescent="0.3">
      <c r="A1" t="str" cm="1">
        <f t="array" ref="A1:A19">INDEX('ASN Result'!B:B, 1):INDEX('ASN Result'!B:B, COUNTA('ASN Result'!B:B))</f>
        <v>Admission No. (Roll No.)</v>
      </c>
      <c r="B1" t="e" cm="1">
        <f t="array" ref="B1">#REF!</f>
        <v>#REF!</v>
      </c>
    </row>
    <row r="2" spans="1:7" x14ac:dyDescent="0.3">
      <c r="A2">
        <v>2010990089</v>
      </c>
      <c r="B2" t="str" cm="1">
        <f t="array" ref="B2:B19">_xlfn.BYROW('ASN Student Attainment percent'!B2:INDEX('ASN Student Attainment percent'!B:B,COUNTA('ASN Student Attainment percent'!B:B)),_xlfn.LAMBDA(_xlpm.score,_xlfn.IFS(_xlpm.score="NA","NA",_xlpm.score&gt;='OBE Data'!$B$5,"Y",_xlpm.score&lt;'OBE Data'!$B$5,"N")))</f>
        <v>Y</v>
      </c>
      <c r="C2" t="str" cm="1">
        <f t="array" ref="C2:C19">_xlfn.BYROW('ASN Student Attainment percent'!C2:INDEX('ASN Student Attainment percent'!C:C,COUNTA('ASN Student Attainment percent'!C:C)),_xlfn.LAMBDA(_xlpm.score,_xlfn.IFS(_xlpm.score="NA","NA",_xlpm.score&gt;='OBE Data'!$B$5,"Y",_xlpm.score&lt;'OBE Data'!$B$5,"N")))</f>
        <v>Y</v>
      </c>
      <c r="D2" t="str" cm="1">
        <f t="array" ref="D2:D19">_xlfn.BYROW('ASN Student Attainment percent'!D2:INDEX('ASN Student Attainment percent'!D:D,COUNTA('ASN Student Attainment percent'!D:D)),_xlfn.LAMBDA(_xlpm.score,_xlfn.IFS(_xlpm.score="NA","NA",_xlpm.score&gt;='OBE Data'!$B$5,"Y",_xlpm.score&lt;'OBE Data'!$B$5,"N")))</f>
        <v>Y</v>
      </c>
      <c r="E2" t="str" cm="1">
        <f t="array" ref="E2:E19">_xlfn.BYROW('ASN Student Attainment percent'!E2:INDEX('ASN Student Attainment percent'!E:E,COUNTA('ASN Student Attainment percent'!E:E)),_xlfn.LAMBDA(_xlpm.score,_xlfn.IFS(_xlpm.score="NA","NA",_xlpm.score&gt;='OBE Data'!$B$5,"Y",_xlpm.score&lt;'OBE Data'!$B$5,"N")))</f>
        <v>Y</v>
      </c>
      <c r="F2" t="str" cm="1">
        <f t="array" ref="F2:F19">_xlfn.BYROW('ASN Student Attainment percent'!F2:INDEX('ASN Student Attainment percent'!F:F,COUNTA('ASN Student Attainment percent'!F:F)),_xlfn.LAMBDA(_xlpm.score,_xlfn.IFS(_xlpm.score="NA","NA",_xlpm.score&gt;='OBE Data'!$B$5,"Y",_xlpm.score&lt;'OBE Data'!$B$5,"N")))</f>
        <v>Y</v>
      </c>
      <c r="G2" t="str" cm="1">
        <f t="array" ref="G2:G19">_xlfn.BYROW('ASN Student Attainment percent'!G2:INDEX('ASN Student Attainment percent'!G:G,COUNTA('ASN Student Attainment percent'!G:G)),_xlfn.LAMBDA(_xlpm.score,_xlfn.IFS(_xlpm.score="NA","NA",_xlpm.score&gt;='OBE Data'!$B$5,"Y",_xlpm.score&lt;'OBE Data'!$B$5,"N")))</f>
        <v>Y</v>
      </c>
    </row>
    <row r="3" spans="1:7" x14ac:dyDescent="0.3">
      <c r="A3">
        <v>2010992002</v>
      </c>
      <c r="B3" t="str">
        <v>Y</v>
      </c>
      <c r="C3" t="str">
        <v>Y</v>
      </c>
      <c r="D3" t="str">
        <v>Y</v>
      </c>
      <c r="E3" t="str">
        <v>Y</v>
      </c>
      <c r="F3" t="str">
        <v>Y</v>
      </c>
      <c r="G3" t="str">
        <v>Y</v>
      </c>
    </row>
    <row r="4" spans="1:7" x14ac:dyDescent="0.3">
      <c r="A4">
        <v>2010992004</v>
      </c>
      <c r="B4" t="str">
        <v>Y</v>
      </c>
      <c r="C4" t="str">
        <v>Y</v>
      </c>
      <c r="D4" t="str">
        <v>Y</v>
      </c>
      <c r="E4" t="str">
        <v>Y</v>
      </c>
      <c r="F4" t="str">
        <v>Y</v>
      </c>
      <c r="G4" t="str">
        <v>Y</v>
      </c>
    </row>
    <row r="5" spans="1:7" x14ac:dyDescent="0.3">
      <c r="A5">
        <v>2010992005</v>
      </c>
      <c r="B5" t="str">
        <v>Y</v>
      </c>
      <c r="C5" t="str">
        <v>Y</v>
      </c>
      <c r="D5" t="str">
        <v>Y</v>
      </c>
      <c r="E5" t="str">
        <v>Y</v>
      </c>
      <c r="F5" t="str">
        <v>Y</v>
      </c>
      <c r="G5" t="str">
        <v>Y</v>
      </c>
    </row>
    <row r="6" spans="1:7" x14ac:dyDescent="0.3">
      <c r="A6">
        <v>2010992006</v>
      </c>
      <c r="B6" t="str">
        <v>Y</v>
      </c>
      <c r="C6" t="str">
        <v>Y</v>
      </c>
      <c r="D6" t="str">
        <v>Y</v>
      </c>
      <c r="E6" t="str">
        <v>Y</v>
      </c>
      <c r="F6" t="str">
        <v>Y</v>
      </c>
      <c r="G6" t="str">
        <v>Y</v>
      </c>
    </row>
    <row r="7" spans="1:7" x14ac:dyDescent="0.3">
      <c r="A7">
        <v>2010992008</v>
      </c>
      <c r="B7" t="str">
        <v>Y</v>
      </c>
      <c r="C7" t="str">
        <v>Y</v>
      </c>
      <c r="D7" t="str">
        <v>Y</v>
      </c>
      <c r="E7" t="str">
        <v>Y</v>
      </c>
      <c r="F7" t="str">
        <v>Y</v>
      </c>
      <c r="G7" t="str">
        <v>Y</v>
      </c>
    </row>
    <row r="8" spans="1:7" x14ac:dyDescent="0.3">
      <c r="A8">
        <v>2010992009</v>
      </c>
      <c r="B8" t="str">
        <v>Y</v>
      </c>
      <c r="C8" t="str">
        <v>Y</v>
      </c>
      <c r="D8" t="str">
        <v>Y</v>
      </c>
      <c r="E8" t="str">
        <v>Y</v>
      </c>
      <c r="F8" t="str">
        <v>Y</v>
      </c>
      <c r="G8" t="str">
        <v>Y</v>
      </c>
    </row>
    <row r="9" spans="1:7" x14ac:dyDescent="0.3">
      <c r="A9">
        <v>2010992010</v>
      </c>
      <c r="B9" t="str">
        <v>Y</v>
      </c>
      <c r="C9" t="str">
        <v>Y</v>
      </c>
      <c r="D9" t="str">
        <v>Y</v>
      </c>
      <c r="E9" t="str">
        <v>Y</v>
      </c>
      <c r="F9" t="str">
        <v>Y</v>
      </c>
      <c r="G9" t="str">
        <v>Y</v>
      </c>
    </row>
    <row r="10" spans="1:7" x14ac:dyDescent="0.3">
      <c r="A10">
        <v>2010992011</v>
      </c>
      <c r="B10" t="str">
        <v>N</v>
      </c>
      <c r="C10" t="str">
        <v>N</v>
      </c>
      <c r="D10" t="str">
        <v>N</v>
      </c>
      <c r="E10" t="str">
        <v>Y</v>
      </c>
      <c r="F10" t="str">
        <v>Y</v>
      </c>
      <c r="G10" t="str">
        <v>Y</v>
      </c>
    </row>
    <row r="11" spans="1:7" x14ac:dyDescent="0.3">
      <c r="A11">
        <v>2010992012</v>
      </c>
      <c r="B11" t="str">
        <v>Y</v>
      </c>
      <c r="C11" t="str">
        <v>Y</v>
      </c>
      <c r="D11" t="str">
        <v>Y</v>
      </c>
      <c r="E11" t="str">
        <v>Y</v>
      </c>
      <c r="F11" t="str">
        <v>Y</v>
      </c>
      <c r="G11" t="str">
        <v>Y</v>
      </c>
    </row>
    <row r="12" spans="1:7" x14ac:dyDescent="0.3">
      <c r="A12">
        <v>2010992014</v>
      </c>
      <c r="B12" t="str">
        <v>Y</v>
      </c>
      <c r="C12" t="str">
        <v>Y</v>
      </c>
      <c r="D12" t="str">
        <v>Y</v>
      </c>
      <c r="E12" t="str">
        <v>Y</v>
      </c>
      <c r="F12" t="str">
        <v>Y</v>
      </c>
      <c r="G12" t="str">
        <v>Y</v>
      </c>
    </row>
    <row r="13" spans="1:7" x14ac:dyDescent="0.3">
      <c r="A13">
        <v>2010992015</v>
      </c>
      <c r="B13" t="str">
        <v>N</v>
      </c>
      <c r="C13" t="str">
        <v>N</v>
      </c>
      <c r="D13" t="str">
        <v>Y</v>
      </c>
      <c r="E13" t="str">
        <v>Y</v>
      </c>
      <c r="F13" t="str">
        <v>Y</v>
      </c>
      <c r="G13" t="str">
        <v>Y</v>
      </c>
    </row>
    <row r="14" spans="1:7" x14ac:dyDescent="0.3">
      <c r="A14">
        <v>2010992016</v>
      </c>
      <c r="B14" t="str">
        <v>N</v>
      </c>
      <c r="C14" t="str">
        <v>N</v>
      </c>
      <c r="D14" t="str">
        <v>Y</v>
      </c>
      <c r="E14" t="str">
        <v>Y</v>
      </c>
      <c r="F14" t="str">
        <v>Y</v>
      </c>
      <c r="G14" t="str">
        <v>Y</v>
      </c>
    </row>
    <row r="15" spans="1:7" x14ac:dyDescent="0.3">
      <c r="A15">
        <v>2010992017</v>
      </c>
      <c r="B15" t="str">
        <v>Y</v>
      </c>
      <c r="C15" t="str">
        <v>Y</v>
      </c>
      <c r="D15" t="str">
        <v>Y</v>
      </c>
      <c r="E15" t="str">
        <v>Y</v>
      </c>
      <c r="F15" t="str">
        <v>Y</v>
      </c>
      <c r="G15" t="str">
        <v>Y</v>
      </c>
    </row>
    <row r="16" spans="1:7" x14ac:dyDescent="0.3">
      <c r="A16">
        <v>2010992018</v>
      </c>
      <c r="B16" t="str">
        <v>Y</v>
      </c>
      <c r="C16" t="str">
        <v>Y</v>
      </c>
      <c r="D16" t="str">
        <v>Y</v>
      </c>
      <c r="E16" t="str">
        <v>Y</v>
      </c>
      <c r="F16" t="str">
        <v>Y</v>
      </c>
      <c r="G16" t="str">
        <v>Y</v>
      </c>
    </row>
    <row r="17" spans="1:7" x14ac:dyDescent="0.3">
      <c r="A17">
        <v>2010992019</v>
      </c>
      <c r="B17" t="str">
        <v>Y</v>
      </c>
      <c r="C17" t="str">
        <v>Y</v>
      </c>
      <c r="D17" t="str">
        <v>Y</v>
      </c>
      <c r="E17" t="str">
        <v>Y</v>
      </c>
      <c r="F17" t="str">
        <v>Y</v>
      </c>
      <c r="G17" t="str">
        <v>Y</v>
      </c>
    </row>
    <row r="18" spans="1:7" x14ac:dyDescent="0.3">
      <c r="A18">
        <v>2010992163</v>
      </c>
      <c r="B18" t="str">
        <v>Y</v>
      </c>
      <c r="C18" t="str">
        <v>Y</v>
      </c>
      <c r="D18" t="str">
        <v>Y</v>
      </c>
      <c r="E18" t="str">
        <v>Y</v>
      </c>
      <c r="F18" t="str">
        <v>Y</v>
      </c>
      <c r="G18" t="str">
        <v>Y</v>
      </c>
    </row>
    <row r="19" spans="1:7" x14ac:dyDescent="0.3">
      <c r="A19">
        <v>2010992202</v>
      </c>
      <c r="B19" t="str">
        <v>Y</v>
      </c>
      <c r="C19" t="str">
        <v>Y</v>
      </c>
      <c r="D19" t="str">
        <v>Y</v>
      </c>
      <c r="E19" t="str">
        <v>Y</v>
      </c>
      <c r="F19" t="str">
        <v>Y</v>
      </c>
      <c r="G19" t="str">
        <v>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OBE Data</vt:lpstr>
      <vt:lpstr>ST1 Questions</vt:lpstr>
      <vt:lpstr>ST1 Result</vt:lpstr>
      <vt:lpstr>ST1 Student Marks</vt:lpstr>
      <vt:lpstr>ST1 Question Map</vt:lpstr>
      <vt:lpstr>ST1 Attemped Qs</vt:lpstr>
      <vt:lpstr>ST1 Attempted COs</vt:lpstr>
      <vt:lpstr>ST1 Student MO CO Score</vt:lpstr>
      <vt:lpstr>ST1 Student Attained CO Score</vt:lpstr>
      <vt:lpstr>ST1 Student Attainment percent</vt:lpstr>
      <vt:lpstr>ST1 CO Attainment Score</vt:lpstr>
      <vt:lpstr>ST1 Target Attained</vt:lpstr>
      <vt:lpstr>ST2 Questions</vt:lpstr>
      <vt:lpstr>ST2 Result</vt:lpstr>
      <vt:lpstr>ST2 Student Marks</vt:lpstr>
      <vt:lpstr>ST2 Question Map</vt:lpstr>
      <vt:lpstr>ST2 Attemped Qs</vt:lpstr>
      <vt:lpstr>ST2 Attempted COs</vt:lpstr>
      <vt:lpstr>ST2 Student MO CO Score</vt:lpstr>
      <vt:lpstr>ST2 Student Attained CO Score</vt:lpstr>
      <vt:lpstr>ST2 Student Attainment percent</vt:lpstr>
      <vt:lpstr>ST2 CO Attainment Score</vt:lpstr>
      <vt:lpstr>ST2 Target Attained</vt:lpstr>
      <vt:lpstr>ST3 Questions</vt:lpstr>
      <vt:lpstr>ST3 Result</vt:lpstr>
      <vt:lpstr>ST3 Student Marks</vt:lpstr>
      <vt:lpstr>ST3 Question Map</vt:lpstr>
      <vt:lpstr>ST3 Attemped Qs</vt:lpstr>
      <vt:lpstr>ST3 Attempted COs</vt:lpstr>
      <vt:lpstr>ST3 Student MO CO Score</vt:lpstr>
      <vt:lpstr>ST3 Student Attained CO Score</vt:lpstr>
      <vt:lpstr>ST3 Student Attainment percent</vt:lpstr>
      <vt:lpstr>ST3 CO Attainment Score</vt:lpstr>
      <vt:lpstr>ST3 Target Attained</vt:lpstr>
      <vt:lpstr>ETE Questions</vt:lpstr>
      <vt:lpstr>ETE Result</vt:lpstr>
      <vt:lpstr>ETE Student Marks</vt:lpstr>
      <vt:lpstr>ETE Question Map</vt:lpstr>
      <vt:lpstr>ETE Attemped Qs</vt:lpstr>
      <vt:lpstr>ETE Attempted COs</vt:lpstr>
      <vt:lpstr>ETE Student MO CO Score</vt:lpstr>
      <vt:lpstr>ETE Student Attained CO Score</vt:lpstr>
      <vt:lpstr>ETE Student Attainment percent</vt:lpstr>
      <vt:lpstr>ETE CO Attainment Score</vt:lpstr>
      <vt:lpstr>ETE Target Attained</vt:lpstr>
      <vt:lpstr>ASN Questions</vt:lpstr>
      <vt:lpstr>ASN Result</vt:lpstr>
      <vt:lpstr>ASN Student Marks</vt:lpstr>
      <vt:lpstr>ASN Question Map</vt:lpstr>
      <vt:lpstr>ASN Attemped Qs</vt:lpstr>
      <vt:lpstr>ASN Attempted COs</vt:lpstr>
      <vt:lpstr>ASN Student MO CO Score</vt:lpstr>
      <vt:lpstr>ASN Student Attained CO Score</vt:lpstr>
      <vt:lpstr>ASN Student Attainment percent</vt:lpstr>
      <vt:lpstr>ASN CO Attainment Score</vt:lpstr>
      <vt:lpstr>ASN Target Attained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Prateek Singh</cp:lastModifiedBy>
  <dcterms:created xsi:type="dcterms:W3CDTF">2015-06-05T18:17:20Z</dcterms:created>
  <dcterms:modified xsi:type="dcterms:W3CDTF">2025-12-23T05:25:39Z</dcterms:modified>
</cp:coreProperties>
</file>