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CE Showcase\"/>
    </mc:Choice>
  </mc:AlternateContent>
  <xr:revisionPtr revIDLastSave="0" documentId="13_ncr:1_{54F9F667-4060-4A73-92F6-008B09F6BCC9}" xr6:coauthVersionLast="47" xr6:coauthVersionMax="47" xr10:uidLastSave="{00000000-0000-0000-0000-000000000000}"/>
  <bookViews>
    <workbookView xWindow="-108" yWindow="-108" windowWidth="23256" windowHeight="12576" firstSheet="1" activeTab="3" xr2:uid="{00000000-000D-0000-FFFF-FFFF00000000}"/>
  </bookViews>
  <sheets>
    <sheet name="OBE Details" sheetId="1" r:id="rId1"/>
    <sheet name="ST1 Question Map" sheetId="2" r:id="rId2"/>
    <sheet name="ST1 Result" sheetId="3" r:id="rId3"/>
    <sheet name="ST2 Question Map" sheetId="4" r:id="rId4"/>
    <sheet name="ST2 Result" sheetId="5" r:id="rId5"/>
    <sheet name="ST3 Question Map" sheetId="6" r:id="rId6"/>
    <sheet name="ST3 Result" sheetId="7" r:id="rId7"/>
    <sheet name="ETE Question Map" sheetId="8" r:id="rId8"/>
    <sheet name="ETE Resul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ChlpRzumkIp0VwNlr6tjVjcsjIw675Kgl5TbzpSvrGs="/>
    </ext>
  </extLst>
</workbook>
</file>

<file path=xl/calcChain.xml><?xml version="1.0" encoding="utf-8"?>
<calcChain xmlns="http://schemas.openxmlformats.org/spreadsheetml/2006/main">
  <c r="AJ3" i="3" l="1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" i="3"/>
  <c r="AJ3" i="9"/>
  <c r="AJ4" i="9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" i="9"/>
  <c r="AJ7" i="7"/>
  <c r="AK3" i="7"/>
  <c r="AK2" i="7"/>
  <c r="AJ19" i="7"/>
  <c r="AK19" i="7" s="1"/>
  <c r="AJ18" i="7"/>
  <c r="AK18" i="7" s="1"/>
  <c r="AK17" i="7"/>
  <c r="AJ17" i="7"/>
  <c r="AJ16" i="7"/>
  <c r="AK16" i="7" s="1"/>
  <c r="AJ15" i="7"/>
  <c r="AK15" i="7" s="1"/>
  <c r="AK14" i="7"/>
  <c r="AJ14" i="7"/>
  <c r="AJ13" i="7"/>
  <c r="AK13" i="7" s="1"/>
  <c r="AJ12" i="7"/>
  <c r="AK12" i="7" s="1"/>
  <c r="AJ11" i="7"/>
  <c r="AK11" i="7" s="1"/>
  <c r="AJ10" i="7"/>
  <c r="AK10" i="7" s="1"/>
  <c r="AJ9" i="7"/>
  <c r="AK9" i="7" s="1"/>
  <c r="AJ8" i="7"/>
  <c r="AK8" i="7" s="1"/>
  <c r="AK7" i="7"/>
  <c r="AJ6" i="7"/>
  <c r="AK6" i="7" s="1"/>
  <c r="AJ6" i="5"/>
  <c r="AJ7" i="5"/>
  <c r="AJ8" i="5"/>
  <c r="AJ9" i="5"/>
  <c r="AJ10" i="5"/>
  <c r="AJ11" i="5"/>
  <c r="AJ12" i="5"/>
  <c r="AJ13" i="5"/>
  <c r="AJ14" i="5"/>
  <c r="AJ15" i="5"/>
  <c r="AJ16" i="5"/>
  <c r="AJ17" i="5"/>
  <c r="AJ18" i="5"/>
  <c r="AJ19" i="5"/>
  <c r="M1" i="9" a="1"/>
  <c r="AE1" i="9" s="1"/>
  <c r="AJ5" i="7"/>
  <c r="AK5" i="7" s="1"/>
  <c r="AJ4" i="7"/>
  <c r="AK4" i="7" s="1"/>
  <c r="AJ3" i="7"/>
  <c r="AJ2" i="7"/>
  <c r="M1" i="7" a="1"/>
  <c r="AI1" i="7" s="1"/>
  <c r="AJ5" i="5"/>
  <c r="AJ4" i="5"/>
  <c r="AJ3" i="5"/>
  <c r="AJ2" i="5"/>
  <c r="M1" i="5" a="1"/>
  <c r="AE1" i="5" s="1"/>
  <c r="M1" i="3" a="1"/>
  <c r="AI1" i="3" s="1"/>
  <c r="U1" i="5" l="1"/>
  <c r="AC1" i="5"/>
  <c r="Q1" i="7"/>
  <c r="AG1" i="7"/>
  <c r="AB1" i="3"/>
  <c r="AF1" i="9"/>
  <c r="Q1" i="3"/>
  <c r="Y1" i="3"/>
  <c r="AG1" i="3"/>
  <c r="Y1" i="7"/>
  <c r="M1" i="3"/>
  <c r="T1" i="3"/>
  <c r="P1" i="5"/>
  <c r="X1" i="5"/>
  <c r="AF1" i="5"/>
  <c r="M1" i="7"/>
  <c r="T1" i="7"/>
  <c r="AB1" i="7"/>
  <c r="P1" i="9"/>
  <c r="X1" i="9"/>
  <c r="AC1" i="3"/>
  <c r="Q1" i="9"/>
  <c r="Y1" i="9"/>
  <c r="AG1" i="9"/>
  <c r="R1" i="9"/>
  <c r="Z1" i="9"/>
  <c r="AH1" i="9"/>
  <c r="U1" i="3"/>
  <c r="Q1" i="5"/>
  <c r="Y1" i="5"/>
  <c r="AG1" i="5"/>
  <c r="S1" i="9"/>
  <c r="AA1" i="9"/>
  <c r="AI1" i="9"/>
  <c r="U1" i="7"/>
  <c r="AC1" i="7"/>
  <c r="N1" i="3"/>
  <c r="V1" i="3"/>
  <c r="AD1" i="3"/>
  <c r="R1" i="5"/>
  <c r="Z1" i="5"/>
  <c r="AH1" i="5"/>
  <c r="N1" i="7"/>
  <c r="V1" i="7"/>
  <c r="AD1" i="7"/>
  <c r="O1" i="3"/>
  <c r="W1" i="3"/>
  <c r="AE1" i="3"/>
  <c r="S1" i="5"/>
  <c r="AA1" i="5"/>
  <c r="AI1" i="5"/>
  <c r="O1" i="7"/>
  <c r="W1" i="7"/>
  <c r="AE1" i="7"/>
  <c r="P1" i="3"/>
  <c r="X1" i="3"/>
  <c r="AF1" i="3"/>
  <c r="M1" i="5"/>
  <c r="T1" i="5"/>
  <c r="AB1" i="5"/>
  <c r="P1" i="7"/>
  <c r="X1" i="7"/>
  <c r="AF1" i="7"/>
  <c r="M1" i="9"/>
  <c r="T1" i="9"/>
  <c r="AB1" i="9"/>
  <c r="U1" i="9"/>
  <c r="AC1" i="9"/>
  <c r="R1" i="3"/>
  <c r="Z1" i="3"/>
  <c r="AH1" i="3"/>
  <c r="N1" i="5"/>
  <c r="V1" i="5"/>
  <c r="AD1" i="5"/>
  <c r="R1" i="7"/>
  <c r="Z1" i="7"/>
  <c r="AH1" i="7"/>
  <c r="N1" i="9"/>
  <c r="V1" i="9"/>
  <c r="AD1" i="9"/>
  <c r="S1" i="3"/>
  <c r="AA1" i="3"/>
  <c r="O1" i="5"/>
  <c r="W1" i="5"/>
  <c r="S1" i="7"/>
  <c r="AA1" i="7"/>
  <c r="O1" i="9"/>
  <c r="W1" i="9"/>
</calcChain>
</file>

<file path=xl/sharedStrings.xml><?xml version="1.0" encoding="utf-8"?>
<sst xmlns="http://schemas.openxmlformats.org/spreadsheetml/2006/main" count="2078" uniqueCount="91">
  <si>
    <t>CO Score</t>
  </si>
  <si>
    <t>Percentage of Co attained</t>
  </si>
  <si>
    <t>Attained 3</t>
  </si>
  <si>
    <t>Attained 2</t>
  </si>
  <si>
    <t>Attained 1</t>
  </si>
  <si>
    <t>Threshold</t>
  </si>
  <si>
    <t>Target achieved is sover threshold value</t>
  </si>
  <si>
    <t>Types</t>
  </si>
  <si>
    <t>Weightages</t>
  </si>
  <si>
    <t>Internal (Avg of ST1,ST2,ST3)</t>
  </si>
  <si>
    <t>External(ETE)</t>
  </si>
  <si>
    <t>Q_Id</t>
  </si>
  <si>
    <t>Max Marks</t>
  </si>
  <si>
    <t>CO1</t>
  </si>
  <si>
    <t>CO2</t>
  </si>
  <si>
    <t>CO3</t>
  </si>
  <si>
    <t>CO4</t>
  </si>
  <si>
    <t>CO5</t>
  </si>
  <si>
    <t>CO6</t>
  </si>
  <si>
    <t>1a</t>
  </si>
  <si>
    <t>1b</t>
  </si>
  <si>
    <t>1c</t>
  </si>
  <si>
    <t>1d</t>
  </si>
  <si>
    <t>1e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</si>
  <si>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</si>
  <si>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</si>
  <si>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</si>
  <si>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</si>
  <si>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</si>
  <si>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</si>
  <si>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</si>
  <si>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</si>
  <si>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</si>
  <si>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</si>
  <si>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</si>
  <si>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</si>
  <si>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</si>
  <si>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</si>
  <si>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</si>
  <si>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Assignment</t>
  </si>
  <si>
    <t>FA1</t>
  </si>
  <si>
    <t>FA2</t>
  </si>
  <si>
    <t>Sr.no</t>
  </si>
  <si>
    <t>Admission No. (Roll No.)</t>
  </si>
  <si>
    <t>Name of Student</t>
  </si>
  <si>
    <t>Division(Section)</t>
  </si>
  <si>
    <t>Course Code</t>
  </si>
  <si>
    <t>Course Name</t>
  </si>
  <si>
    <t>Lecture Type (Theory/Practical)</t>
  </si>
  <si>
    <t>Program Name</t>
  </si>
  <si>
    <t>Department Name</t>
  </si>
  <si>
    <t>Class Name (Batch)</t>
  </si>
  <si>
    <t>Semester Name</t>
  </si>
  <si>
    <t>Exam Name (ETE/ST/FA)</t>
  </si>
  <si>
    <t>Total Marks</t>
  </si>
  <si>
    <t>max Marks</t>
  </si>
  <si>
    <t>Theory</t>
  </si>
  <si>
    <t>ST1</t>
  </si>
  <si>
    <t>U</t>
  </si>
  <si>
    <t>ST2</t>
  </si>
  <si>
    <t>ST3</t>
  </si>
  <si>
    <t>ANSH GARG</t>
  </si>
  <si>
    <t>PANSY VERMA</t>
  </si>
  <si>
    <t>UTKARSH BHATT</t>
  </si>
  <si>
    <t>RATANABH SHARMA</t>
  </si>
  <si>
    <t>AYUSH SHARMA</t>
  </si>
  <si>
    <t>NAVDEEP SINGH</t>
  </si>
  <si>
    <t>RIYA</t>
  </si>
  <si>
    <t>RISHABH TANDON</t>
  </si>
  <si>
    <t>HEERENDRA SINGH CHAUHAN</t>
  </si>
  <si>
    <t>AKSHAT</t>
  </si>
  <si>
    <t>HARSHIT CHAHAL</t>
  </si>
  <si>
    <t>URVANSH NAHATA</t>
  </si>
  <si>
    <t>VARUN</t>
  </si>
  <si>
    <t>MRIDUL AGGARWAL</t>
  </si>
  <si>
    <t>SHAKSHI SINGH</t>
  </si>
  <si>
    <t>KHAN MUBASHIR RASOOL</t>
  </si>
  <si>
    <t>TAMANA SIAG</t>
  </si>
  <si>
    <t>EKAMJOT SINGH MAINGI</t>
  </si>
  <si>
    <t>EC112</t>
  </si>
  <si>
    <t>B.E</t>
  </si>
  <si>
    <t>ECE</t>
  </si>
  <si>
    <t>Network Analysis and Synthesis</t>
  </si>
  <si>
    <t>ETE</t>
  </si>
  <si>
    <t>50 percent and over, CO score attained is 3</t>
  </si>
  <si>
    <t>50 percent to 49 CO score attained is 2</t>
  </si>
  <si>
    <t>50 percent to 49 CO score attained is 1</t>
  </si>
  <si>
    <t>Perecntage of students attaining Target</t>
  </si>
  <si>
    <t>CO score is 3 if 70 precent students attain atleast 50 percent CO's marks</t>
  </si>
  <si>
    <t>CO score is 2 if 55 precent students attain atleast 50 percent CO's marks</t>
  </si>
  <si>
    <t>CO score is 1 if 40 precent students attain atleast 50 percent CO's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</si>
</sst>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0"/>
      <color theme="1"/>
      <name val="Times New Roman"/>
      <family val="1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0"/>
      <color theme="1"/>
      <name val="Arial"/>
      <family val="2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4" fillId="0" borderId="5" xfId="0" applyFont="1" applyBorder="1"/>
    <xf numFmtId="0" fontId="0" fillId="0" borderId="5" xfId="0" applyBorder="1"/>
    <xf numFmtId="0" fontId="1" fillId="0" borderId="0" xfId="0" applyFont="1"/>
    <xf numFmtId="0" fontId="3" fillId="0" borderId="5" xfId="0" applyFont="1" applyBorder="1"/>
    <xf numFmtId="0" fontId="4" fillId="2" borderId="5" xfId="0" applyFont="1" applyFill="1" applyBorder="1" applyAlignment="1">
      <alignment horizontal="center" vertical="top" wrapText="1"/>
    </xf>
    <xf numFmtId="0" fontId="6" fillId="0" borderId="6" xfId="0" applyFont="1" applyBorder="1" applyAlignment="1">
      <alignment wrapText="1"/>
    </xf>
    <xf numFmtId="0" fontId="6" fillId="0" borderId="7" xfId="0" applyFont="1" applyBorder="1" applyAlignment="1">
      <alignment vertical="center"/>
    </xf>
    <xf numFmtId="0" fontId="7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5" fillId="0" borderId="10" xfId="0" applyFont="1" applyBorder="1" applyAlignment="1">
      <alignment horizontal="right" wrapText="1"/>
    </xf>
    <xf numFmtId="0" fontId="5" fillId="0" borderId="8" xfId="0" applyFont="1" applyBorder="1" applyAlignment="1">
      <alignment vertical="center"/>
    </xf>
    <xf numFmtId="0" fontId="7" fillId="0" borderId="11" xfId="0" applyFont="1" applyBorder="1" applyAlignment="1">
      <alignment wrapText="1"/>
    </xf>
    <xf numFmtId="0" fontId="6" fillId="0" borderId="10" xfId="0" applyFont="1" applyBorder="1" applyAlignment="1">
      <alignment wrapText="1"/>
    </xf>
    <xf numFmtId="9" fontId="5" fillId="0" borderId="10" xfId="0" applyNumberFormat="1" applyFont="1" applyBorder="1" applyAlignment="1">
      <alignment horizontal="right" wrapText="1"/>
    </xf>
    <xf numFmtId="0" fontId="6" fillId="0" borderId="11" xfId="0" applyFont="1" applyBorder="1" applyAlignment="1">
      <alignment vertical="center"/>
    </xf>
    <xf numFmtId="0" fontId="5" fillId="0" borderId="9" xfId="0" applyFont="1" applyBorder="1" applyAlignment="1">
      <alignment horizontal="right" wrapText="1"/>
    </xf>
    <xf numFmtId="0" fontId="8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ST1 Question Map-style" pivot="0" count="3" xr9:uid="{00000000-0011-0000-FFFF-FFFF00000000}">
      <tableStyleElement type="headerRow" dxfId="18"/>
      <tableStyleElement type="firstRowStripe" dxfId="17"/>
      <tableStyleElement type="secondRowStripe" dxfId="16"/>
    </tableStyle>
    <tableStyle name="ST2 Question Map-style" pivot="0" count="3" xr9:uid="{00000000-0011-0000-FFFF-FFFF01000000}">
      <tableStyleElement type="headerRow" dxfId="15"/>
      <tableStyleElement type="firstRowStripe" dxfId="14"/>
      <tableStyleElement type="secondRowStripe" dxfId="13"/>
    </tableStyle>
    <tableStyle name="ST3 Question Map-style" pivot="0" count="3" xr9:uid="{00000000-0011-0000-FFFF-FFFF02000000}">
      <tableStyleElement type="headerRow" dxfId="12"/>
      <tableStyleElement type="firstRowStripe" dxfId="11"/>
      <tableStyleElement type="secondRowStripe" dxfId="10"/>
    </tableStyle>
    <tableStyle name="ETE Question Map-style" pivot="0" count="3" xr9:uid="{00000000-0011-0000-FFFF-FFFF03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24">
  <tableColumns count="8">
    <tableColumn id="1" xr3:uid="{00000000-0010-0000-0000-000001000000}" name="Q_Id"/>
    <tableColumn id="2" xr3:uid="{00000000-0010-0000-0000-000002000000}" name="Max Marks"/>
    <tableColumn id="3" xr3:uid="{00000000-0010-0000-0000-000003000000}" name="CO1"/>
    <tableColumn id="4" xr3:uid="{00000000-0010-0000-0000-000004000000}" name="CO2"/>
    <tableColumn id="5" xr3:uid="{00000000-0010-0000-0000-000005000000}" name="CO3"/>
    <tableColumn id="6" xr3:uid="{00000000-0010-0000-0000-000006000000}" name="CO4"/>
    <tableColumn id="7" xr3:uid="{00000000-0010-0000-0000-000007000000}" name="CO5"/>
    <tableColumn id="8" xr3:uid="{00000000-0010-0000-0000-000008000000}" name="CO6"/>
  </tableColumns>
  <tableStyleInfo name="ST1 Question Map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H24">
  <tableColumns count="8">
    <tableColumn id="1" xr3:uid="{00000000-0010-0000-0100-000001000000}" name="Q_Id"/>
    <tableColumn id="2" xr3:uid="{00000000-0010-0000-0100-000002000000}" name="Max Marks"/>
    <tableColumn id="3" xr3:uid="{00000000-0010-0000-0100-000003000000}" name="CO1"/>
    <tableColumn id="4" xr3:uid="{00000000-0010-0000-0100-000004000000}" name="CO2"/>
    <tableColumn id="5" xr3:uid="{00000000-0010-0000-0100-000005000000}" name="CO3"/>
    <tableColumn id="6" xr3:uid="{00000000-0010-0000-0100-000006000000}" name="CO4"/>
    <tableColumn id="7" xr3:uid="{00000000-0010-0000-0100-000007000000}" name="CO5"/>
    <tableColumn id="8" xr3:uid="{00000000-0010-0000-0100-000008000000}" name="CO6"/>
  </tableColumns>
  <tableStyleInfo name="ST2 Question Map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H24">
  <tableColumns count="8">
    <tableColumn id="1" xr3:uid="{00000000-0010-0000-0200-000001000000}" name="Q_Id"/>
    <tableColumn id="2" xr3:uid="{00000000-0010-0000-0200-000002000000}" name="Max Marks" dataDxfId="6"/>
    <tableColumn id="3" xr3:uid="{00000000-0010-0000-0200-000003000000}" name="CO1" dataDxfId="5"/>
    <tableColumn id="4" xr3:uid="{00000000-0010-0000-0200-000004000000}" name="CO2" dataDxfId="4"/>
    <tableColumn id="5" xr3:uid="{00000000-0010-0000-0200-000005000000}" name="CO3" dataDxfId="3"/>
    <tableColumn id="6" xr3:uid="{00000000-0010-0000-0200-000006000000}" name="CO4" dataDxfId="2"/>
    <tableColumn id="7" xr3:uid="{00000000-0010-0000-0200-000007000000}" name="CO5" dataDxfId="1"/>
    <tableColumn id="8" xr3:uid="{00000000-0010-0000-0200-000008000000}" name="CO6" dataDxfId="0"/>
  </tableColumns>
  <tableStyleInfo name="ST3 Question Map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H24">
  <tableColumns count="8">
    <tableColumn id="1" xr3:uid="{00000000-0010-0000-0300-000001000000}" name="Q_Id"/>
    <tableColumn id="2" xr3:uid="{00000000-0010-0000-0300-000002000000}" name="Max Marks"/>
    <tableColumn id="3" xr3:uid="{00000000-0010-0000-0300-000003000000}" name="CO1"/>
    <tableColumn id="4" xr3:uid="{00000000-0010-0000-0300-000004000000}" name="CO2"/>
    <tableColumn id="5" xr3:uid="{00000000-0010-0000-0300-000005000000}" name="CO3"/>
    <tableColumn id="6" xr3:uid="{00000000-0010-0000-0300-000006000000}" name="CO4"/>
    <tableColumn id="7" xr3:uid="{00000000-0010-0000-0300-000007000000}" name="CO5"/>
    <tableColumn id="8" xr3:uid="{00000000-0010-0000-0300-000008000000}" name="CO6"/>
  </tableColumns>
  <tableStyleInfo name="ETE Question Ma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15" sqref="B15"/>
    </sheetView>
  </sheetViews>
  <sheetFormatPr defaultColWidth="12.6640625" defaultRowHeight="15" customHeight="1"/>
  <cols>
    <col min="1" max="1" width="26.109375" customWidth="1"/>
    <col min="2" max="2" width="23.6640625" customWidth="1"/>
    <col min="3" max="26" width="8.6640625" customWidth="1"/>
  </cols>
  <sheetData>
    <row r="1" spans="1:26" thickBot="1">
      <c r="A1" s="11" t="s">
        <v>0</v>
      </c>
      <c r="B1" s="12" t="s">
        <v>1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thickBot="1">
      <c r="A2" s="14" t="s">
        <v>2</v>
      </c>
      <c r="B2" s="15">
        <v>60</v>
      </c>
      <c r="C2" s="13"/>
      <c r="D2" s="16" t="s">
        <v>84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thickBot="1">
      <c r="A3" s="14" t="s">
        <v>3</v>
      </c>
      <c r="B3" s="15">
        <v>60</v>
      </c>
      <c r="C3" s="13"/>
      <c r="D3" s="16" t="s">
        <v>85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thickBot="1">
      <c r="A4" s="14" t="s">
        <v>4</v>
      </c>
      <c r="B4" s="15">
        <v>60</v>
      </c>
      <c r="C4" s="13"/>
      <c r="D4" s="16" t="s">
        <v>86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thickBot="1">
      <c r="A5" s="14" t="s">
        <v>5</v>
      </c>
      <c r="B5" s="15">
        <v>60</v>
      </c>
      <c r="C5" s="13"/>
      <c r="D5" s="16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" customHeight="1" thickBo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" customHeight="1" thickBot="1">
      <c r="A7" s="17"/>
      <c r="B7" s="17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thickBot="1">
      <c r="A8" s="14" t="s">
        <v>7</v>
      </c>
      <c r="B8" s="18" t="s">
        <v>8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thickBot="1">
      <c r="A9" s="14" t="s">
        <v>9</v>
      </c>
      <c r="B9" s="19">
        <v>0.4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thickBot="1">
      <c r="A10" s="14" t="s">
        <v>10</v>
      </c>
      <c r="B10" s="19">
        <v>0.6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" customHeight="1" thickBot="1">
      <c r="A11" s="17"/>
      <c r="B11" s="17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" customHeight="1" thickBot="1">
      <c r="A12" s="14" t="s">
        <v>0</v>
      </c>
      <c r="B12" s="20" t="s">
        <v>87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" customHeight="1" thickBot="1">
      <c r="A13" s="21">
        <v>3</v>
      </c>
      <c r="B13" s="19">
        <v>0.8</v>
      </c>
      <c r="C13" s="13"/>
      <c r="D13" s="16" t="s">
        <v>88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" customHeight="1" thickBot="1">
      <c r="A14" s="21">
        <v>2</v>
      </c>
      <c r="B14" s="19">
        <v>0.7</v>
      </c>
      <c r="C14" s="13"/>
      <c r="D14" s="16" t="s">
        <v>89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" customHeight="1" thickBot="1">
      <c r="A15" s="21">
        <v>1</v>
      </c>
      <c r="B15" s="19">
        <v>0.6</v>
      </c>
      <c r="C15" s="13"/>
      <c r="D15" s="16" t="s">
        <v>90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" customHeight="1" thickBo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" customHeight="1" thickBo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" customHeight="1" thickBo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" customHeight="1" thickBo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" customHeight="1" thickBo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 thickBo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 thickBo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 thickBo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 thickBo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 thickBo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 thickBo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 thickBo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 thickBo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 thickBo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 thickBo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 thickBo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 thickBo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 thickBo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 thickBo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 thickBo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 thickBo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 thickBo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 thickBo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 thickBo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 thickBo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 thickBo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 thickBo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 thickBo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 thickBo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 thickBo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 thickBo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 thickBo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 thickBo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 thickBo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 thickBo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thickBo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thickBo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thickBo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thickBo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thickBo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thickBo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thickBo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thickBo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thickBo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thickBo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thickBo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thickBo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thickBo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thickBo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thickBo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thickBo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thickBo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thickBo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thickBo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thickBo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thickBo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thickBo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thickBo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thickBo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thickBo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thickBo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thickBo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thickBo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thickBo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thickBo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thickBo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thickBo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thickBo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thickBo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thickBo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thickBo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 thickBo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 thickBo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 thickBo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 thickBo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 thickBo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 thickBo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 thickBo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 thickBo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 thickBo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 thickBo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 thickBo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 thickBo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 thickBo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 thickBo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 thickBo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 thickBo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 thickBo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 thickBo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 thickBo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 thickBo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 thickBo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 thickBo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 thickBo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 thickBo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 thickBo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 thickBo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 thickBo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 thickBo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 thickBo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 thickBo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 thickBo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 thickBo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 thickBo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 thickBo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 thickBo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 thickBo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 thickBo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 thickBo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 thickBo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 thickBo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 thickBo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 thickBo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 thickBo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 thickBo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 thickBo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 thickBo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 thickBo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 thickBo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 thickBo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 thickBo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 thickBo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 thickBo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 thickBo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 thickBo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 thickBo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 thickBo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 thickBo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 thickBo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 thickBo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 thickBo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 thickBo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 thickBo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 thickBo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 thickBo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 thickBo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 thickBo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 thickBo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 thickBo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 thickBo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 thickBo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 thickBo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 thickBo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 thickBo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 thickBo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 thickBo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 thickBo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 thickBo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 thickBo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 thickBo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 thickBo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 thickBo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 thickBo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 thickBo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 thickBo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 thickBo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 thickBo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 thickBo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 thickBo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 thickBo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 thickBo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 thickBo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 thickBo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 thickBo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 thickBo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 thickBo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 thickBo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 thickBo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 thickBo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 thickBo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 thickBo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 thickBo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 thickBo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 thickBo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 thickBo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 thickBo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 thickBo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 thickBo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 thickBo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 thickBo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 thickBo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 thickBo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 thickBo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 thickBo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 thickBo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 thickBo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 thickBo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 thickBo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 thickBo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 thickBo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 thickBo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 thickBo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 thickBo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 thickBo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 thickBo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 thickBo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 thickBo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 thickBo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 thickBo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 thickBo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 thickBo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 thickBo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 thickBo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 thickBo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 thickBo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 thickBo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 thickBo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 thickBo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 thickBo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 thickBo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 thickBo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 thickBo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 thickBo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 thickBo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 thickBo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 thickBo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 thickBo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 thickBo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 thickBo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 thickBo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 thickBo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 thickBo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 thickBo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 thickBo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 thickBo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 thickBo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 thickBo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 thickBo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 thickBo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 thickBo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 thickBo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 thickBo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 thickBo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 thickBo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 thickBo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 thickBo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 thickBo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 thickBo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 thickBo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 thickBo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 thickBo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 thickBo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 thickBo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 thickBo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 thickBo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 thickBo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 thickBo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 thickBo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 thickBo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 thickBo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 thickBo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 thickBo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 thickBo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 thickBo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 thickBo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 thickBo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 thickBo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 thickBo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 thickBo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 thickBo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 thickBo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 thickBo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 thickBo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 thickBo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 thickBo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 thickBo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 thickBo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 thickBo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 thickBo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 thickBo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 thickBo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 thickBo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 thickBo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 thickBo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 thickBo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 thickBo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 thickBo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 thickBo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 thickBo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 thickBo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 thickBo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 thickBo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 thickBo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 thickBo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 thickBo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 thickBo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 thickBo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 thickBo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 thickBo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 thickBo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 thickBo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 thickBo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 thickBo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 thickBo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 thickBo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 thickBo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 thickBo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 thickBo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 thickBo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 thickBo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 thickBo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 thickBo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 thickBo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 thickBo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 thickBo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 thickBo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 thickBo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 thickBo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 thickBo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 thickBo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 thickBo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 thickBo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 thickBo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 thickBo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 thickBo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 thickBo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 thickBo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 thickBo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 thickBo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 thickBo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 thickBo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 thickBo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 thickBo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 thickBo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 thickBo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 thickBo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 thickBo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 thickBo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 thickBo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 thickBo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 thickBo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 thickBo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 thickBo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 thickBo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 thickBo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 thickBo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 thickBo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 thickBo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 thickBo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 thickBo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 thickBo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 thickBo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 thickBo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 thickBo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 thickBo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 thickBo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 thickBo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 thickBo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 thickBo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 thickBo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 thickBo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 thickBo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 thickBo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 thickBo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 thickBo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 thickBo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 thickBo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 thickBo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 thickBo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 thickBo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 thickBo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 thickBo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 thickBo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 thickBo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 thickBo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 thickBo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 thickBo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 thickBo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 thickBo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 thickBo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 thickBo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 thickBo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 thickBo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 thickBo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 thickBo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 thickBo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 thickBo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 thickBo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 thickBo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 thickBo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 thickBo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 thickBo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 thickBo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 thickBo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 thickBo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 thickBo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 thickBo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 thickBo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 thickBo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 thickBo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 thickBo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 thickBo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 thickBo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 thickBo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 thickBo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 thickBo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 thickBo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 thickBo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 thickBo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 thickBo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 thickBo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 thickBo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 thickBo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 thickBo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 thickBo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 thickBo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 thickBo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 thickBo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 thickBo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 thickBo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 thickBo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 thickBo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 thickBo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 thickBo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 thickBo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 thickBo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 thickBo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 thickBo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 thickBo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 thickBo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 thickBo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 thickBo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 thickBo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 thickBo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 thickBo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 thickBo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 thickBo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 thickBo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 thickBo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 thickBo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 thickBo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 thickBo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 thickBo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 thickBo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 thickBo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 thickBo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 thickBo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 thickBo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 thickBo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 thickBo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 thickBo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 thickBo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 thickBo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 thickBo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 thickBo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 thickBo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 thickBo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 thickBo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 thickBo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 thickBo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 thickBo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 thickBo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 thickBo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 thickBo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 thickBo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 thickBo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 thickBo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 thickBo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 thickBo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 thickBo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 thickBo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 thickBo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 thickBo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 thickBo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 thickBo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 thickBo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 thickBo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 thickBo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 thickBo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 thickBo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 thickBo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 thickBo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 thickBo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 thickBo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 thickBo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 thickBo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 thickBo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 thickBo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 thickBo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 thickBo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 thickBo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 thickBo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 thickBo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 thickBo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 thickBo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 thickBo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 thickBo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 thickBo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 thickBo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 thickBo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 thickBo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 thickBo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 thickBo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 thickBo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 thickBo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 thickBo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 thickBo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 thickBo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 thickBo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 thickBo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 thickBo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 thickBo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 thickBo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 thickBo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 thickBo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 thickBo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 thickBo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 thickBo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 thickBo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 thickBo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 thickBo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 thickBo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 thickBo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 thickBo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 thickBo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 thickBo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 thickBo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 thickBo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 thickBo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 thickBo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 thickBo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.75" customHeight="1" thickBo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.75" customHeight="1" thickBo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.75" customHeight="1" thickBo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.75" customHeight="1" thickBo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.75" customHeight="1" thickBo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.75" customHeight="1" thickBo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.75" customHeight="1" thickBo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.75" customHeight="1" thickBo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.75" customHeight="1" thickBo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.75" customHeight="1" thickBo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.75" customHeight="1" thickBo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.75" customHeight="1" thickBo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.75" customHeight="1" thickBo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.75" customHeight="1" thickBo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.75" customHeight="1" thickBo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.75" customHeight="1" thickBo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.75" customHeight="1" thickBo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.75" customHeight="1" thickBo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.75" customHeight="1" thickBo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.75" customHeight="1" thickBo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.75" customHeight="1" thickBo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.75" customHeight="1" thickBo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.75" customHeight="1" thickBo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.75" customHeight="1" thickBo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.75" customHeight="1" thickBo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.75" customHeight="1" thickBo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.75" customHeight="1" thickBo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.75" customHeight="1" thickBo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.75" customHeight="1" thickBo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.75" customHeight="1" thickBo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.75" customHeight="1" thickBo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.75" customHeight="1" thickBo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.75" customHeight="1" thickBo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.75" customHeight="1" thickBo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.75" customHeight="1" thickBo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.75" customHeight="1" thickBo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.75" customHeight="1" thickBo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.75" customHeight="1" thickBo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.75" customHeight="1" thickBo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.75" customHeight="1" thickBo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.75" customHeight="1" thickBo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.75" customHeight="1" thickBo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.75" customHeight="1" thickBo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.75" customHeight="1" thickBo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.75" customHeight="1" thickBo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.75" customHeight="1" thickBo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.75" customHeight="1" thickBo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.75" customHeight="1" thickBo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.75" customHeight="1" thickBo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.75" customHeight="1" thickBo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.75" customHeight="1" thickBo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.75" customHeight="1" thickBo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.75" customHeight="1" thickBo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.75" customHeight="1" thickBo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.75" customHeight="1" thickBo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.75" customHeight="1" thickBo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.75" customHeight="1" thickBo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.75" customHeight="1" thickBo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.75" customHeight="1" thickBo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.75" customHeight="1" thickBo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.75" customHeight="1" thickBo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.75" customHeight="1" thickBo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.75" customHeight="1" thickBo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.75" customHeight="1" thickBo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.75" customHeight="1" thickBo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.75" customHeight="1" thickBo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.75" customHeight="1" thickBo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.75" customHeight="1" thickBo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.75" customHeight="1" thickBo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.75" customHeight="1" thickBo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.75" customHeight="1" thickBo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.75" customHeight="1" thickBo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.75" customHeight="1" thickBo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.75" customHeight="1" thickBo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.75" customHeight="1" thickBo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.75" customHeight="1" thickBo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.75" customHeight="1" thickBo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.75" customHeight="1" thickBo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.75" customHeight="1" thickBo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.75" customHeight="1" thickBo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.75" customHeight="1" thickBo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.75" customHeight="1" thickBo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.75" customHeight="1" thickBo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.75" customHeight="1" thickBo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.75" customHeight="1" thickBo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.75" customHeight="1" thickBo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.75" customHeight="1" thickBo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.75" customHeight="1" thickBo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.75" customHeight="1" thickBo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.75" customHeight="1" thickBo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.75" customHeight="1" thickBo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.75" customHeight="1" thickBo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.75" customHeight="1" thickBo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.75" customHeight="1" thickBo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.75" customHeight="1" thickBo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.75" customHeight="1" thickBo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.75" customHeight="1" thickBo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.75" customHeight="1" thickBo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.75" customHeight="1" thickBo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.75" customHeight="1" thickBo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.75" customHeight="1" thickBo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.75" customHeight="1" thickBo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.75" customHeight="1" thickBo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.75" customHeight="1" thickBo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.75" customHeight="1" thickBo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.75" customHeight="1" thickBo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.75" customHeight="1" thickBo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.75" customHeight="1" thickBo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.75" customHeight="1" thickBo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.75" customHeight="1" thickBo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.75" customHeight="1" thickBo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.75" customHeight="1" thickBo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.75" customHeight="1" thickBo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.75" customHeight="1" thickBo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.75" customHeight="1" thickBo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.75" customHeight="1" thickBo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.75" customHeight="1" thickBo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.75" customHeight="1" thickBo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.75" customHeight="1" thickBo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.75" customHeight="1" thickBo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.75" customHeight="1" thickBo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.75" customHeight="1" thickBo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.75" customHeight="1" thickBo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.75" customHeight="1" thickBo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.75" customHeight="1" thickBo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.75" customHeight="1" thickBo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.75" customHeight="1" thickBo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.75" customHeight="1" thickBo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.75" customHeight="1" thickBo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.75" customHeight="1" thickBo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.75" customHeight="1" thickBo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.75" customHeight="1" thickBo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.75" customHeight="1" thickBo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.75" customHeight="1" thickBo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.75" customHeight="1" thickBo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.75" customHeight="1" thickBo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.75" customHeight="1" thickBo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.75" customHeight="1" thickBo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.75" customHeight="1" thickBo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.75" customHeight="1" thickBo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.75" customHeight="1" thickBo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.75" customHeight="1" thickBo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.75" customHeight="1" thickBo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.75" customHeight="1" thickBo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.75" customHeight="1" thickBo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.75" customHeight="1" thickBo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.75" customHeight="1" thickBo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.75" customHeight="1" thickBo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.75" customHeight="1" thickBo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.75" customHeight="1" thickBo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.75" customHeight="1" thickBo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.75" customHeight="1" thickBo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.75" customHeight="1" thickBo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.75" customHeight="1" thickBo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.75" customHeight="1" thickBo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.75" customHeight="1" thickBo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.75" customHeight="1" thickBo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.75" customHeight="1" thickBo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.75" customHeight="1" thickBo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.75" customHeight="1" thickBo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.75" customHeight="1" thickBo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.75" customHeight="1" thickBo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.75" customHeight="1" thickBo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.75" customHeight="1" thickBo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.75" customHeight="1" thickBo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.75" customHeight="1" thickBo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.75" customHeight="1" thickBo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.75" customHeight="1" thickBo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.75" customHeight="1" thickBo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.75" customHeight="1" thickBo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.75" customHeight="1" thickBo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.75" customHeight="1" thickBo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.75" customHeight="1" thickBo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.75" customHeight="1" thickBo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.75" customHeight="1" thickBo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.75" customHeight="1" thickBo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.75" customHeight="1" thickBo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.75" customHeight="1" thickBo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.75" customHeight="1" thickBo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.75" customHeight="1" thickBo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.75" customHeight="1" thickBo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.75" customHeight="1" thickBo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.75" customHeight="1" thickBo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.75" customHeight="1" thickBo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.75" customHeight="1" thickBo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.75" customHeight="1" thickBo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.75" customHeight="1" thickBo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.75" customHeight="1" thickBo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.75" customHeight="1" thickBo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.75" customHeight="1" thickBo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.75" customHeight="1" thickBo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.75" customHeight="1" thickBo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.75" customHeight="1" thickBo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.75" customHeight="1" thickBo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.75" customHeight="1" thickBo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.75" customHeight="1" thickBo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.75" customHeight="1" thickBo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.75" customHeight="1" thickBo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.75" customHeight="1" thickBo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.75" customHeight="1" thickBo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.75" customHeight="1" thickBo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.75" customHeight="1" thickBo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.75" customHeight="1" thickBo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.75" customHeight="1" thickBo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.75" customHeight="1" thickBo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.75" customHeight="1" thickBo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.75" customHeight="1" thickBo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.75" customHeight="1" thickBo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.75" customHeight="1" thickBo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.75" customHeight="1" thickBo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.75" customHeight="1" thickBo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.75" customHeight="1" thickBo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.75" customHeight="1" thickBo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.75" customHeight="1" thickBo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.75" customHeight="1" thickBo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.75" customHeight="1" thickBo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.75" customHeight="1" thickBo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.75" customHeight="1" thickBo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.75" customHeight="1" thickBo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.75" customHeight="1" thickBo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.75" customHeight="1" thickBo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.75" customHeight="1" thickBo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.75" customHeight="1" thickBo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.75" customHeight="1" thickBo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.75" customHeight="1" thickBo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.75" customHeight="1" thickBo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.75" customHeight="1" thickBo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.75" customHeight="1" thickBo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.75" customHeight="1" thickBo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.75" customHeight="1" thickBo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.75" customHeight="1" thickBo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.75" customHeight="1" thickBo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.75" customHeight="1" thickBo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.75" customHeight="1" thickBo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.75" customHeight="1" thickBo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.75" customHeight="1" thickBo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.75" customHeight="1" thickBo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.75" customHeight="1" thickBo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.75" customHeight="1" thickBo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.75" customHeight="1" thickBo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.75" customHeight="1" thickBo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.75" customHeight="1" thickBo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.75" customHeight="1" thickBo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.75" customHeight="1" thickBo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.75" customHeight="1" thickBo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.75" customHeight="1" thickBo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.75" customHeight="1" thickBo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.75" customHeight="1" thickBo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.75" customHeight="1" thickBo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.75" customHeight="1" thickBo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.75" customHeight="1" thickBo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.75" customHeight="1" thickBo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.75" customHeight="1" thickBo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.75" customHeight="1" thickBo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.75" customHeight="1" thickBo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.75" customHeight="1" thickBo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.75" customHeight="1" thickBo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.75" customHeight="1" thickBo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.75" customHeight="1" thickBo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.75" customHeight="1" thickBo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.75" customHeight="1" thickBo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.75" customHeight="1" thickBo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.75" customHeight="1" thickBo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.75" customHeight="1" thickBo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.75" customHeight="1" thickBo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.75" customHeight="1" thickBo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.75" customHeight="1" thickBo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.75" customHeight="1" thickBo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.75" customHeight="1" thickBo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.75" customHeight="1" thickBo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.75" customHeight="1" thickBo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.75" customHeight="1" thickBo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.75" customHeight="1" thickBo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.75" customHeight="1" thickBo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.75" customHeight="1" thickBo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.75" customHeight="1" thickBo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.75" customHeight="1" thickBo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.75" customHeight="1" thickBo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.75" customHeight="1" thickBo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.75" customHeight="1" thickBo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.75" customHeight="1" thickBo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.75" customHeight="1" thickBo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.75" customHeight="1" thickBo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.75" customHeight="1" thickBo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.75" customHeight="1" thickBo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.75" customHeight="1" thickBo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.75" customHeight="1" thickBo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.75" customHeight="1" thickBo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.75" customHeight="1" thickBo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.75" customHeight="1" thickBo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.75" customHeight="1" thickBo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.75" customHeight="1" thickBo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.75" customHeight="1" thickBo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.75" customHeight="1" thickBo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.75" customHeight="1" thickBo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.75" customHeight="1" thickBo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.75" customHeight="1" thickBo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.75" customHeight="1" thickBo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.75" customHeight="1" thickBo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.75" customHeight="1" thickBo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.75" customHeight="1" thickBo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.75" customHeight="1" thickBo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.75" customHeight="1" thickBo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.75" customHeight="1" thickBo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.75" customHeight="1" thickBo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.75" customHeight="1" thickBo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.75" customHeight="1" thickBo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.75" customHeight="1" thickBo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.75" customHeight="1" thickBo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.75" customHeight="1" thickBo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.75" customHeight="1" thickBo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.75" customHeight="1" thickBo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.75" customHeight="1" thickBo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.75" customHeight="1" thickBo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.75" customHeight="1" thickBo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.75" customHeight="1" thickBo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.75" customHeight="1" thickBo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.75" customHeight="1" thickBo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.75" customHeight="1" thickBo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.75" customHeight="1" thickBo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.75" customHeight="1" thickBo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.75" customHeight="1" thickBo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.75" customHeight="1" thickBo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.75" customHeight="1" thickBo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.75" customHeight="1" thickBo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.75" customHeight="1" thickBo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.75" customHeight="1" thickBo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.75" customHeight="1" thickBo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.75" customHeight="1" thickBo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.75" customHeight="1" thickBo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.75" customHeight="1" thickBo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.75" customHeight="1" thickBo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.75" customHeight="1" thickBo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.75" customHeight="1" thickBo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.75" customHeight="1" thickBo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.75" customHeight="1" thickBo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.75" customHeight="1" thickBo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.75" customHeight="1" thickBo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.75" customHeight="1" thickBo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.75" customHeight="1" thickBo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.75" customHeight="1" thickBo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.75" customHeight="1" thickBo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.75" customHeight="1" thickBo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.75" customHeight="1" thickBo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.75" customHeight="1" thickBo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.75" customHeight="1" thickBo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.75" customHeight="1" thickBo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.75" customHeight="1" thickBo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.75" customHeight="1" thickBo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.75" customHeight="1" thickBo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.75" customHeight="1" thickBo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.75" customHeight="1" thickBo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.75" customHeight="1" thickBo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.75" customHeight="1" thickBo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.75" customHeight="1" thickBo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.75" customHeight="1" thickBo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.75" customHeight="1" thickBo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.75" customHeight="1" thickBo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.75" customHeight="1" thickBo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.75" customHeight="1" thickBo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.75" customHeight="1" thickBo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.75" customHeight="1" thickBo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.75" customHeight="1" thickBo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.75" customHeight="1" thickBo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.75" customHeight="1" thickBo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.75" customHeight="1" thickBo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.75" customHeight="1" thickBo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.75" customHeight="1" thickBo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.75" customHeight="1" thickBo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.75" customHeight="1" thickBo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.75" customHeight="1" thickBo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.75" customHeight="1" thickBo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.75" customHeight="1" thickBo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5.75" customHeight="1" thickBo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5.75" customHeight="1" thickBo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5.75" customHeight="1" thickBo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5.75" customHeight="1" thickBo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5.75" customHeight="1" thickBo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5.75" customHeight="1" thickBo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5.75" customHeight="1" thickBo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5.75" customHeight="1" thickBo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5.75" customHeight="1" thickBo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5.75" customHeight="1" thickBo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5.75" customHeight="1" thickBo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5.75" customHeight="1" thickBo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5.75" customHeight="1" thickBo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5.75" customHeight="1" thickBo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5.75" customHeight="1" thickBo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5.75" customHeight="1" thickBo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5.75" customHeight="1" thickBo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5.75" customHeight="1" thickBo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5.75" customHeight="1" thickBo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5.75" customHeight="1" thickBo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5.75" customHeight="1" thickBo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5.75" customHeight="1" thickBo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5.75" customHeight="1" thickBo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5.75" customHeight="1" thickBo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5.75" customHeight="1" thickBo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5.75" customHeight="1" thickBo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5.75" customHeight="1" thickBo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5.75" customHeight="1" thickBo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5.75" customHeight="1" thickBo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5.75" customHeight="1" thickBo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5.75" customHeight="1" thickBo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5.75" customHeight="1" thickBo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5.75" customHeight="1" thickBo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5.75" customHeight="1" thickBo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5.75" customHeight="1" thickBo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5.75" customHeight="1" thickBo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5.75" customHeight="1" thickBo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5.75" customHeight="1" thickBo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5.75" customHeight="1" thickBo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5.75" customHeight="1" thickBo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5.75" customHeight="1" thickBo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5.75" customHeight="1" thickBo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5.75" customHeight="1" thickBo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5.75" customHeight="1" thickBo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5.75" customHeight="1" thickBo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5.75" customHeight="1" thickBo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5.75" customHeight="1" thickBo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5.75" customHeight="1" thickBo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5.75" customHeight="1" thickBo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5.75" customHeight="1" thickBo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5.75" customHeight="1" thickBo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5.75" customHeight="1" thickBo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5.75" customHeight="1" thickBo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5.75" customHeight="1" thickBo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5.75" customHeight="1" thickBo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5.75" customHeight="1" thickBo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5.75" customHeight="1" thickBo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5.75" customHeight="1" thickBo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5.75" customHeight="1" thickBo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5.75" customHeight="1" thickBo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5.75" customHeight="1" thickBo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5.75" customHeight="1" thickBo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5.75" customHeight="1" thickBo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5.75" customHeight="1" thickBo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5.75" customHeight="1" thickBo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5.75" customHeight="1" thickBo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5.75" customHeight="1" thickBo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5.75" customHeight="1" thickBo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5.75" customHeight="1" thickBo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5.75" customHeight="1" thickBo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5.75" customHeight="1" thickBo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5.75" customHeight="1" thickBo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5.75" customHeight="1" thickBo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5.75" customHeight="1" thickBo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5.75" customHeight="1" thickBo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5.75" customHeight="1" thickBo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5.75" customHeight="1" thickBo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5.75" customHeight="1" thickBo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5.75" customHeight="1" thickBo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5.75" customHeight="1" thickBo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5.75" customHeight="1" thickBo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5.75" customHeight="1" thickBo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5.75" customHeight="1" thickBo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5.75" customHeight="1" thickBo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5.75" customHeight="1" thickBo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5.75" customHeight="1" thickBo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5.75" customHeight="1" thickBo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5.75" customHeight="1" thickBo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5.75" customHeight="1" thickBo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5.75" customHeight="1" thickBo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5.75" customHeight="1" thickBo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pane ySplit="1" topLeftCell="A2" activePane="bottomLeft" state="frozen"/>
      <selection pane="bottomLeft" sqref="A1:H1"/>
    </sheetView>
  </sheetViews>
  <sheetFormatPr defaultColWidth="12.6640625" defaultRowHeight="15" customHeight="1"/>
  <cols>
    <col min="1" max="1" width="11.33203125" customWidth="1"/>
    <col min="2" max="2" width="17.6640625" customWidth="1"/>
    <col min="3" max="8" width="12.44140625" customWidth="1"/>
    <col min="9" max="26" width="8.6640625" customWidth="1"/>
  </cols>
  <sheetData>
    <row r="1" spans="1:8" ht="14.4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4" t="s">
        <v>18</v>
      </c>
    </row>
    <row r="2" spans="1:8" ht="14.4">
      <c r="A2" s="5" t="s">
        <v>19</v>
      </c>
      <c r="B2" s="5">
        <v>0</v>
      </c>
      <c r="C2" s="5" t="b">
        <v>0</v>
      </c>
      <c r="D2" s="5" t="b">
        <v>0</v>
      </c>
      <c r="E2" s="5" t="b">
        <v>0</v>
      </c>
      <c r="F2" s="5" t="b">
        <v>0</v>
      </c>
      <c r="G2" s="5" t="b">
        <v>0</v>
      </c>
      <c r="H2" s="5" t="b">
        <v>0</v>
      </c>
    </row>
    <row r="3" spans="1:8" ht="14.4">
      <c r="A3" s="5" t="s">
        <v>20</v>
      </c>
      <c r="B3" s="5">
        <v>0</v>
      </c>
      <c r="C3" s="5" t="b">
        <v>0</v>
      </c>
      <c r="D3" s="5" t="b">
        <v>0</v>
      </c>
      <c r="E3" s="5" t="b">
        <v>0</v>
      </c>
      <c r="F3" s="5" t="b">
        <v>0</v>
      </c>
      <c r="G3" s="5" t="b">
        <v>0</v>
      </c>
      <c r="H3" s="5" t="b">
        <v>0</v>
      </c>
    </row>
    <row r="4" spans="1:8" ht="14.4">
      <c r="A4" s="5" t="s">
        <v>21</v>
      </c>
      <c r="B4" s="5">
        <v>0</v>
      </c>
      <c r="C4" s="5" t="b">
        <v>0</v>
      </c>
      <c r="D4" s="5" t="b">
        <v>0</v>
      </c>
      <c r="E4" s="5" t="b">
        <v>0</v>
      </c>
      <c r="F4" s="5" t="b">
        <v>0</v>
      </c>
      <c r="G4" s="5" t="b">
        <v>0</v>
      </c>
      <c r="H4" s="5" t="b">
        <v>0</v>
      </c>
    </row>
    <row r="5" spans="1:8" ht="14.4">
      <c r="A5" s="5" t="s">
        <v>22</v>
      </c>
      <c r="B5" s="5">
        <v>0</v>
      </c>
      <c r="C5" s="5" t="b">
        <v>0</v>
      </c>
      <c r="D5" s="5" t="b">
        <v>0</v>
      </c>
      <c r="E5" s="5" t="b">
        <v>0</v>
      </c>
      <c r="F5" s="5" t="b">
        <v>0</v>
      </c>
      <c r="G5" s="5" t="b">
        <v>0</v>
      </c>
      <c r="H5" s="5" t="b">
        <v>0</v>
      </c>
    </row>
    <row r="6" spans="1:8" ht="14.4">
      <c r="A6" s="5" t="s">
        <v>23</v>
      </c>
      <c r="B6" s="5">
        <v>0</v>
      </c>
      <c r="C6" s="5" t="b">
        <v>0</v>
      </c>
      <c r="D6" s="5" t="b">
        <v>0</v>
      </c>
      <c r="E6" s="5" t="b">
        <v>0</v>
      </c>
      <c r="F6" s="5" t="b">
        <v>0</v>
      </c>
      <c r="G6" s="5" t="b">
        <v>0</v>
      </c>
      <c r="H6" s="5" t="b">
        <v>0</v>
      </c>
    </row>
    <row r="7" spans="1:8" ht="14.4">
      <c r="A7" s="5" t="s">
        <v>24</v>
      </c>
      <c r="B7" s="5">
        <v>2</v>
      </c>
      <c r="C7" s="5" t="b">
        <v>1</v>
      </c>
      <c r="D7" s="5" t="b">
        <v>0</v>
      </c>
      <c r="E7" s="5" t="b">
        <v>1</v>
      </c>
      <c r="F7" s="5" t="b">
        <v>0</v>
      </c>
      <c r="G7" s="5" t="b">
        <v>0</v>
      </c>
      <c r="H7" s="5" t="b">
        <v>0</v>
      </c>
    </row>
    <row r="8" spans="1:8" ht="14.4">
      <c r="A8" s="5" t="s">
        <v>25</v>
      </c>
      <c r="B8" s="5">
        <v>2</v>
      </c>
      <c r="C8" s="5" t="b">
        <v>1</v>
      </c>
      <c r="D8" s="5" t="b">
        <v>0</v>
      </c>
      <c r="E8" s="5" t="b">
        <v>0</v>
      </c>
      <c r="F8" s="5" t="b">
        <v>0</v>
      </c>
      <c r="G8" s="5" t="b">
        <v>0</v>
      </c>
      <c r="H8" s="5" t="b">
        <v>0</v>
      </c>
    </row>
    <row r="9" spans="1:8" ht="14.4">
      <c r="A9" s="5" t="s">
        <v>26</v>
      </c>
      <c r="B9" s="5">
        <v>2</v>
      </c>
      <c r="C9" s="5" t="b">
        <v>1</v>
      </c>
      <c r="D9" s="5" t="b">
        <v>1</v>
      </c>
      <c r="E9" s="5" t="b">
        <v>0</v>
      </c>
      <c r="F9" s="5" t="b">
        <v>1</v>
      </c>
      <c r="G9" s="5" t="b">
        <v>0</v>
      </c>
      <c r="H9" s="5" t="b">
        <v>0</v>
      </c>
    </row>
    <row r="10" spans="1:8" ht="14.4">
      <c r="A10" s="5" t="s">
        <v>27</v>
      </c>
      <c r="B10" s="5">
        <v>2</v>
      </c>
      <c r="C10" s="5" t="b">
        <v>1</v>
      </c>
      <c r="D10" s="5" t="b">
        <v>1</v>
      </c>
      <c r="E10" s="5" t="b">
        <v>0</v>
      </c>
      <c r="F10" s="5" t="b">
        <v>0</v>
      </c>
      <c r="G10" s="5" t="b">
        <v>1</v>
      </c>
      <c r="H10" s="5" t="b">
        <v>0</v>
      </c>
    </row>
    <row r="11" spans="1:8" ht="14.4">
      <c r="A11" s="5" t="s">
        <v>28</v>
      </c>
      <c r="B11" s="5">
        <v>2</v>
      </c>
      <c r="C11" s="5" t="b">
        <v>1</v>
      </c>
      <c r="D11" s="5" t="b">
        <v>1</v>
      </c>
      <c r="E11" s="5" t="b">
        <v>0</v>
      </c>
      <c r="F11" s="5" t="b">
        <v>0</v>
      </c>
      <c r="G11" s="5" t="b">
        <v>0</v>
      </c>
      <c r="H11" s="5" t="b">
        <v>0</v>
      </c>
    </row>
    <row r="12" spans="1:8" ht="14.4">
      <c r="A12" s="5" t="s">
        <v>29</v>
      </c>
      <c r="B12" s="5">
        <v>0</v>
      </c>
      <c r="C12" s="5" t="b">
        <v>0</v>
      </c>
      <c r="D12" s="5" t="b">
        <v>0</v>
      </c>
      <c r="E12" s="5" t="b">
        <v>0</v>
      </c>
      <c r="F12" s="5" t="b">
        <v>0</v>
      </c>
      <c r="G12" s="5" t="b">
        <v>0</v>
      </c>
      <c r="H12" s="5" t="b">
        <v>0</v>
      </c>
    </row>
    <row r="13" spans="1:8" ht="14.4">
      <c r="A13" s="5" t="s">
        <v>30</v>
      </c>
      <c r="B13" s="5">
        <v>5</v>
      </c>
      <c r="C13" s="5" t="b">
        <v>1</v>
      </c>
      <c r="D13" s="5" t="b">
        <v>1</v>
      </c>
      <c r="E13" s="5" t="b">
        <v>0</v>
      </c>
      <c r="F13" s="5" t="b">
        <v>0</v>
      </c>
      <c r="G13" s="5" t="b">
        <v>0</v>
      </c>
      <c r="H13" s="5" t="b">
        <v>0</v>
      </c>
    </row>
    <row r="14" spans="1:8" ht="14.4">
      <c r="A14" s="5" t="s">
        <v>31</v>
      </c>
      <c r="B14" s="5">
        <v>5</v>
      </c>
      <c r="C14" s="5" t="b">
        <v>1</v>
      </c>
      <c r="D14" s="5" t="b">
        <v>0</v>
      </c>
      <c r="E14" s="5" t="b">
        <v>1</v>
      </c>
      <c r="F14" s="5" t="b">
        <v>0</v>
      </c>
      <c r="G14" s="5" t="b">
        <v>0</v>
      </c>
      <c r="H14" s="5" t="b">
        <v>0</v>
      </c>
    </row>
    <row r="15" spans="1:8" ht="14.4">
      <c r="A15" s="5" t="s">
        <v>32</v>
      </c>
      <c r="B15" s="5">
        <v>5</v>
      </c>
      <c r="C15" s="5" t="b">
        <v>1</v>
      </c>
      <c r="D15" s="5" t="b">
        <v>1</v>
      </c>
      <c r="E15" s="5" t="b">
        <v>0</v>
      </c>
      <c r="F15" s="5" t="b">
        <v>1</v>
      </c>
      <c r="G15" s="5" t="b">
        <v>0</v>
      </c>
      <c r="H15" s="5" t="b">
        <v>0</v>
      </c>
    </row>
    <row r="16" spans="1:8" ht="14.4">
      <c r="A16" s="5" t="s">
        <v>33</v>
      </c>
      <c r="B16" s="5">
        <v>5</v>
      </c>
      <c r="C16" s="5" t="b">
        <v>1</v>
      </c>
      <c r="D16" s="5" t="b">
        <v>0</v>
      </c>
      <c r="E16" s="5" t="b">
        <v>0</v>
      </c>
      <c r="F16" s="5" t="b">
        <v>1</v>
      </c>
      <c r="G16" s="5" t="b">
        <v>0</v>
      </c>
      <c r="H16" s="5" t="b">
        <v>1</v>
      </c>
    </row>
    <row r="17" spans="1:8" ht="14.4">
      <c r="A17" s="5" t="s">
        <v>34</v>
      </c>
      <c r="B17" s="5">
        <v>0</v>
      </c>
      <c r="C17" s="5" t="b">
        <v>0</v>
      </c>
      <c r="D17" s="5" t="b">
        <v>0</v>
      </c>
      <c r="E17" s="5" t="b">
        <v>0</v>
      </c>
      <c r="F17" s="5" t="b">
        <v>0</v>
      </c>
      <c r="G17" s="5" t="b">
        <v>0</v>
      </c>
      <c r="H17" s="5" t="b">
        <v>0</v>
      </c>
    </row>
    <row r="18" spans="1:8" ht="14.4">
      <c r="A18" s="5" t="s">
        <v>35</v>
      </c>
      <c r="B18" s="5">
        <v>0</v>
      </c>
      <c r="C18" s="5" t="b">
        <v>0</v>
      </c>
      <c r="D18" s="5" t="b">
        <v>0</v>
      </c>
      <c r="E18" s="5" t="b">
        <v>0</v>
      </c>
      <c r="F18" s="5" t="b">
        <v>0</v>
      </c>
      <c r="G18" s="5" t="b">
        <v>0</v>
      </c>
      <c r="H18" s="5" t="b">
        <v>0</v>
      </c>
    </row>
    <row r="19" spans="1:8" ht="14.4">
      <c r="A19" s="5" t="s">
        <v>36</v>
      </c>
      <c r="B19" s="5">
        <v>10</v>
      </c>
      <c r="C19" s="5" t="b">
        <v>1</v>
      </c>
      <c r="D19" s="5" t="b">
        <v>1</v>
      </c>
      <c r="E19" s="5" t="b">
        <v>1</v>
      </c>
      <c r="F19" s="5" t="b">
        <v>1</v>
      </c>
      <c r="G19" s="5" t="b">
        <v>0</v>
      </c>
      <c r="H19" s="5" t="b">
        <v>1</v>
      </c>
    </row>
    <row r="20" spans="1:8" ht="14.4">
      <c r="A20" s="5" t="s">
        <v>37</v>
      </c>
      <c r="B20" s="5">
        <v>0</v>
      </c>
      <c r="C20" s="5" t="b">
        <v>0</v>
      </c>
      <c r="D20" s="5" t="b">
        <v>0</v>
      </c>
      <c r="E20" s="5" t="b">
        <v>0</v>
      </c>
      <c r="F20" s="5" t="b">
        <v>0</v>
      </c>
      <c r="G20" s="5" t="b">
        <v>0</v>
      </c>
      <c r="H20" s="5" t="b">
        <v>0</v>
      </c>
    </row>
    <row r="21" spans="1:8" ht="15.75" customHeight="1">
      <c r="A21" s="5" t="s">
        <v>38</v>
      </c>
      <c r="B21" s="5">
        <v>0</v>
      </c>
      <c r="C21" s="5" t="b">
        <v>0</v>
      </c>
      <c r="D21" s="5" t="b">
        <v>0</v>
      </c>
      <c r="E21" s="5" t="b">
        <v>1</v>
      </c>
      <c r="F21" s="5" t="b">
        <v>0</v>
      </c>
      <c r="G21" s="5" t="b">
        <v>0</v>
      </c>
      <c r="H21" s="5" t="b">
        <v>1</v>
      </c>
    </row>
    <row r="22" spans="1:8" ht="15.75" customHeight="1">
      <c r="A22" s="5" t="s">
        <v>39</v>
      </c>
      <c r="B22" s="5">
        <v>10</v>
      </c>
      <c r="C22" s="5" t="b">
        <v>1</v>
      </c>
      <c r="D22" s="5" t="b">
        <v>1</v>
      </c>
      <c r="E22" s="5" t="b">
        <v>0</v>
      </c>
      <c r="F22" s="5" t="b">
        <v>0</v>
      </c>
      <c r="G22" s="5" t="b">
        <v>0</v>
      </c>
      <c r="H22" s="5" t="b">
        <v>0</v>
      </c>
    </row>
    <row r="23" spans="1:8" ht="15.75" customHeight="1">
      <c r="A23" s="5" t="s">
        <v>40</v>
      </c>
      <c r="B23" s="5">
        <v>0</v>
      </c>
      <c r="C23" s="5" t="b">
        <v>0</v>
      </c>
      <c r="D23" s="5" t="b">
        <v>0</v>
      </c>
      <c r="E23" s="5" t="b">
        <v>1</v>
      </c>
      <c r="F23" s="5" t="b">
        <v>1</v>
      </c>
      <c r="G23" s="5" t="b">
        <v>0</v>
      </c>
      <c r="H23" s="5" t="b">
        <v>0</v>
      </c>
    </row>
    <row r="24" spans="1:8" ht="15.75" customHeight="1">
      <c r="A24" s="5" t="s">
        <v>41</v>
      </c>
      <c r="B24" s="5">
        <v>0</v>
      </c>
      <c r="C24" s="5" t="b">
        <v>1</v>
      </c>
      <c r="D24" s="5" t="b">
        <v>0</v>
      </c>
      <c r="E24" s="5" t="b">
        <v>0</v>
      </c>
      <c r="F24" s="5" t="b">
        <v>0</v>
      </c>
      <c r="G24" s="5" t="b">
        <v>0</v>
      </c>
      <c r="H24" s="5" t="b">
        <v>1</v>
      </c>
    </row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3">
    <dataValidation type="list" allowBlank="1" showDropDown="1" showErrorMessage="1" sqref="C19:E19 D20:E24 E6:H18 D6:D8 C11 C9:D10 C13:C18 C6:C7 C2:H5 D11:D18 C22 F19:H24" xr:uid="{00000000-0002-0000-0100-000000000000}">
      <formula1>"FALSE,TRUE"</formula1>
    </dataValidation>
    <dataValidation type="custom" allowBlank="1" showDropDown="1" sqref="B2:B24" xr:uid="{00000000-0002-0000-0100-000003000000}">
      <formula1>AND(ISNUMBER(B2),(NOT(OR(NOT(ISERROR(DATEVALUE(B2))), AND(ISNUMBER(B2), LEFT(CELL("format", B2))="D")))))</formula1>
    </dataValidation>
    <dataValidation type="list" allowBlank="1" showDropDown="1" showErrorMessage="1" sqref="C12 C8 C20:C21 C23:C24" xr:uid="{00000000-0002-0000-0100-000004000000}">
      <formula1>"TRUE,FALSE"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00"/>
  <sheetViews>
    <sheetView topLeftCell="R1" workbookViewId="0">
      <selection activeCell="AH20" sqref="AH20"/>
    </sheetView>
  </sheetViews>
  <sheetFormatPr defaultColWidth="12.6640625" defaultRowHeight="15" customHeight="1"/>
  <cols>
    <col min="1" max="1" width="8.6640625" customWidth="1"/>
    <col min="2" max="2" width="11.44140625" customWidth="1"/>
    <col min="3" max="3" width="8.6640625" customWidth="1"/>
    <col min="4" max="4" width="7" customWidth="1"/>
    <col min="5" max="5" width="8.6640625" customWidth="1"/>
    <col min="6" max="6" width="29.33203125" bestFit="1" customWidth="1"/>
    <col min="7" max="32" width="8.6640625" customWidth="1"/>
    <col min="33" max="33" width="9.88671875" customWidth="1"/>
    <col min="34" max="37" width="8.6640625" customWidth="1"/>
  </cols>
  <sheetData>
    <row r="1" spans="1:37" ht="14.4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tr">
        <f t="array" ref="M1:AI1">TRANSPOSE('ST1 Question Map'!A2:A24)</f>
        <v>1a</v>
      </c>
      <c r="N1" s="1" t="str">
        <v>1b</v>
      </c>
      <c r="O1" s="1" t="str">
        <v>1c</v>
      </c>
      <c r="P1" s="1" t="str">
        <v>1d</v>
      </c>
      <c r="Q1" s="1" t="str">
        <v>1e</v>
      </c>
      <c r="R1" s="1" t="str">
        <v>Q2</v>
      </c>
      <c r="S1" s="1" t="str">
        <v>Q3</v>
      </c>
      <c r="T1" s="1" t="str">
        <v>Q4</v>
      </c>
      <c r="U1" s="1" t="str">
        <v>Q5</v>
      </c>
      <c r="V1" s="1" t="str">
        <v>Q6</v>
      </c>
      <c r="W1" s="1" t="str">
        <v>Q7</v>
      </c>
      <c r="X1" s="1" t="str">
        <v>Q8</v>
      </c>
      <c r="Y1" s="1" t="str">
        <v>Q9</v>
      </c>
      <c r="Z1" s="1" t="str">
        <v>Q10</v>
      </c>
      <c r="AA1" s="1" t="str">
        <v>Q11</v>
      </c>
      <c r="AB1" s="1" t="str">
        <v>Q12</v>
      </c>
      <c r="AC1" s="1" t="str">
        <v>Q13</v>
      </c>
      <c r="AD1" s="1" t="str">
        <v>Q14</v>
      </c>
      <c r="AE1" s="1" t="str">
        <v>Q15</v>
      </c>
      <c r="AF1" s="1" t="str">
        <v>Q16</v>
      </c>
      <c r="AG1" s="1" t="str">
        <v>Assignment</v>
      </c>
      <c r="AH1" s="1" t="str">
        <v>FA1</v>
      </c>
      <c r="AI1" s="1" t="str">
        <v>FA2</v>
      </c>
      <c r="AJ1" s="1" t="s">
        <v>54</v>
      </c>
      <c r="AK1" s="1" t="s">
        <v>55</v>
      </c>
    </row>
    <row r="2" spans="1:37" ht="14.4">
      <c r="A2" s="1">
        <v>1</v>
      </c>
      <c r="B2" s="6">
        <v>2010990089</v>
      </c>
      <c r="C2" s="6" t="s">
        <v>61</v>
      </c>
      <c r="E2" t="s">
        <v>79</v>
      </c>
      <c r="F2" t="s">
        <v>82</v>
      </c>
      <c r="G2" s="7" t="s">
        <v>56</v>
      </c>
      <c r="H2" s="7" t="s">
        <v>80</v>
      </c>
      <c r="I2" s="7" t="s">
        <v>81</v>
      </c>
      <c r="J2" s="7">
        <v>2020</v>
      </c>
      <c r="K2" s="7">
        <v>3</v>
      </c>
      <c r="L2" s="1" t="s">
        <v>57</v>
      </c>
      <c r="M2" t="s">
        <v>58</v>
      </c>
      <c r="N2" t="s">
        <v>58</v>
      </c>
      <c r="O2" t="s">
        <v>58</v>
      </c>
      <c r="P2" t="s">
        <v>58</v>
      </c>
      <c r="Q2" t="s">
        <v>58</v>
      </c>
      <c r="R2" s="1">
        <v>0</v>
      </c>
      <c r="S2" s="1">
        <v>0</v>
      </c>
      <c r="T2" s="1">
        <v>1</v>
      </c>
      <c r="U2" t="s">
        <v>58</v>
      </c>
      <c r="V2" t="s">
        <v>58</v>
      </c>
      <c r="W2" t="s">
        <v>58</v>
      </c>
      <c r="X2" s="1">
        <v>2</v>
      </c>
      <c r="Y2" s="1">
        <v>2</v>
      </c>
      <c r="Z2" s="1">
        <v>1</v>
      </c>
      <c r="AA2">
        <v>4</v>
      </c>
      <c r="AB2" t="s">
        <v>58</v>
      </c>
      <c r="AC2" t="s">
        <v>58</v>
      </c>
      <c r="AD2" s="1">
        <v>4</v>
      </c>
      <c r="AE2" t="s">
        <v>58</v>
      </c>
      <c r="AF2" t="s">
        <v>58</v>
      </c>
      <c r="AG2" s="1">
        <v>7</v>
      </c>
      <c r="AH2" t="s">
        <v>58</v>
      </c>
      <c r="AI2" t="s">
        <v>58</v>
      </c>
      <c r="AJ2" s="1">
        <f>SUM(M2:AG2)</f>
        <v>21</v>
      </c>
      <c r="AK2" s="1">
        <v>50</v>
      </c>
    </row>
    <row r="3" spans="1:37" ht="14.4">
      <c r="A3" s="1">
        <v>2</v>
      </c>
      <c r="B3" s="6">
        <v>2010992002</v>
      </c>
      <c r="C3" s="6" t="s">
        <v>62</v>
      </c>
      <c r="E3" t="s">
        <v>79</v>
      </c>
      <c r="F3" t="s">
        <v>82</v>
      </c>
      <c r="G3" s="7" t="s">
        <v>56</v>
      </c>
      <c r="H3" s="7" t="s">
        <v>80</v>
      </c>
      <c r="I3" s="7" t="s">
        <v>81</v>
      </c>
      <c r="J3" s="7">
        <v>2020</v>
      </c>
      <c r="K3" s="7">
        <v>3</v>
      </c>
      <c r="L3" s="1" t="s">
        <v>57</v>
      </c>
      <c r="M3" t="s">
        <v>58</v>
      </c>
      <c r="N3" t="s">
        <v>58</v>
      </c>
      <c r="O3" t="s">
        <v>58</v>
      </c>
      <c r="P3" t="s">
        <v>58</v>
      </c>
      <c r="Q3" t="s">
        <v>58</v>
      </c>
      <c r="R3" s="1">
        <v>2</v>
      </c>
      <c r="S3" s="1">
        <v>2</v>
      </c>
      <c r="T3" s="1">
        <v>2</v>
      </c>
      <c r="U3" t="s">
        <v>58</v>
      </c>
      <c r="V3" t="s">
        <v>58</v>
      </c>
      <c r="W3" t="s">
        <v>58</v>
      </c>
      <c r="X3" s="1">
        <v>5</v>
      </c>
      <c r="Y3" s="1">
        <v>5</v>
      </c>
      <c r="Z3" s="1">
        <v>4</v>
      </c>
      <c r="AA3">
        <v>4</v>
      </c>
      <c r="AB3" t="s">
        <v>58</v>
      </c>
      <c r="AC3" t="s">
        <v>58</v>
      </c>
      <c r="AD3" s="1">
        <v>10</v>
      </c>
      <c r="AE3" t="s">
        <v>58</v>
      </c>
      <c r="AF3" t="s">
        <v>58</v>
      </c>
      <c r="AG3" s="1">
        <v>10</v>
      </c>
      <c r="AH3" t="s">
        <v>58</v>
      </c>
      <c r="AI3" t="s">
        <v>58</v>
      </c>
      <c r="AJ3" s="1">
        <f t="shared" ref="AJ3:AJ19" si="0">SUM(M3:AG3)</f>
        <v>44</v>
      </c>
      <c r="AK3" s="1">
        <v>50</v>
      </c>
    </row>
    <row r="4" spans="1:37" ht="14.4">
      <c r="A4" s="1">
        <v>3</v>
      </c>
      <c r="B4" s="6">
        <v>2010992004</v>
      </c>
      <c r="C4" s="6" t="s">
        <v>63</v>
      </c>
      <c r="E4" t="s">
        <v>79</v>
      </c>
      <c r="F4" t="s">
        <v>82</v>
      </c>
      <c r="G4" s="7" t="s">
        <v>56</v>
      </c>
      <c r="H4" s="7" t="s">
        <v>80</v>
      </c>
      <c r="I4" s="7" t="s">
        <v>81</v>
      </c>
      <c r="J4" s="7">
        <v>2020</v>
      </c>
      <c r="K4" s="7">
        <v>3</v>
      </c>
      <c r="L4" s="1" t="s">
        <v>57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s="1">
        <v>2</v>
      </c>
      <c r="S4" s="1">
        <v>2</v>
      </c>
      <c r="T4" s="1">
        <v>1</v>
      </c>
      <c r="U4">
        <v>2</v>
      </c>
      <c r="V4">
        <v>1</v>
      </c>
      <c r="W4" t="s">
        <v>58</v>
      </c>
      <c r="X4" s="1">
        <v>3</v>
      </c>
      <c r="Y4" s="1">
        <v>3</v>
      </c>
      <c r="Z4" s="1">
        <v>4</v>
      </c>
      <c r="AA4">
        <v>3</v>
      </c>
      <c r="AB4" t="s">
        <v>58</v>
      </c>
      <c r="AC4" t="s">
        <v>58</v>
      </c>
      <c r="AD4" s="1">
        <v>7</v>
      </c>
      <c r="AE4" t="s">
        <v>58</v>
      </c>
      <c r="AF4" t="s">
        <v>58</v>
      </c>
      <c r="AG4" s="1">
        <v>10</v>
      </c>
      <c r="AH4" t="s">
        <v>58</v>
      </c>
      <c r="AI4" t="s">
        <v>58</v>
      </c>
      <c r="AJ4" s="1">
        <f t="shared" si="0"/>
        <v>38</v>
      </c>
      <c r="AK4" s="1">
        <v>50</v>
      </c>
    </row>
    <row r="5" spans="1:37" ht="14.4">
      <c r="A5" s="1">
        <v>4</v>
      </c>
      <c r="B5" s="6">
        <v>2010992005</v>
      </c>
      <c r="C5" s="6" t="s">
        <v>64</v>
      </c>
      <c r="E5" t="s">
        <v>79</v>
      </c>
      <c r="F5" t="s">
        <v>82</v>
      </c>
      <c r="G5" s="7" t="s">
        <v>56</v>
      </c>
      <c r="H5" s="7" t="s">
        <v>80</v>
      </c>
      <c r="I5" s="7" t="s">
        <v>81</v>
      </c>
      <c r="J5" s="7">
        <v>2020</v>
      </c>
      <c r="K5" s="7">
        <v>3</v>
      </c>
      <c r="L5" s="1" t="s">
        <v>57</v>
      </c>
      <c r="M5" t="s">
        <v>58</v>
      </c>
      <c r="N5" t="s">
        <v>58</v>
      </c>
      <c r="O5" t="s">
        <v>58</v>
      </c>
      <c r="P5" t="s">
        <v>58</v>
      </c>
      <c r="Q5" t="s">
        <v>58</v>
      </c>
      <c r="R5" s="1">
        <v>2</v>
      </c>
      <c r="S5" s="1">
        <v>1</v>
      </c>
      <c r="T5" s="1">
        <v>1</v>
      </c>
      <c r="U5" t="s">
        <v>58</v>
      </c>
      <c r="V5" t="s">
        <v>58</v>
      </c>
      <c r="W5" t="s">
        <v>58</v>
      </c>
      <c r="X5" s="1">
        <v>3</v>
      </c>
      <c r="Y5" s="1">
        <v>3</v>
      </c>
      <c r="Z5" s="1">
        <v>4</v>
      </c>
      <c r="AA5">
        <v>3</v>
      </c>
      <c r="AB5" t="s">
        <v>58</v>
      </c>
      <c r="AC5" t="s">
        <v>58</v>
      </c>
      <c r="AD5" s="1">
        <v>8</v>
      </c>
      <c r="AE5" t="s">
        <v>58</v>
      </c>
      <c r="AF5" t="s">
        <v>58</v>
      </c>
      <c r="AG5">
        <v>10</v>
      </c>
      <c r="AH5" t="s">
        <v>58</v>
      </c>
      <c r="AI5" t="s">
        <v>58</v>
      </c>
      <c r="AJ5" s="1">
        <f t="shared" si="0"/>
        <v>35</v>
      </c>
      <c r="AK5" s="1">
        <v>50</v>
      </c>
    </row>
    <row r="6" spans="1:37" ht="15" customHeight="1">
      <c r="A6" s="1">
        <v>5</v>
      </c>
      <c r="B6" s="6">
        <v>2010992006</v>
      </c>
      <c r="C6" s="6" t="s">
        <v>65</v>
      </c>
      <c r="E6" t="s">
        <v>79</v>
      </c>
      <c r="F6" t="s">
        <v>82</v>
      </c>
      <c r="G6" s="7" t="s">
        <v>56</v>
      </c>
      <c r="H6" s="7" t="s">
        <v>80</v>
      </c>
      <c r="I6" s="7" t="s">
        <v>81</v>
      </c>
      <c r="J6" s="7">
        <v>2020</v>
      </c>
      <c r="K6" s="7">
        <v>3</v>
      </c>
      <c r="L6" s="1" t="s">
        <v>57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s="1">
        <v>1</v>
      </c>
      <c r="S6" s="1">
        <v>2</v>
      </c>
      <c r="T6" s="1">
        <v>2</v>
      </c>
      <c r="U6">
        <v>2</v>
      </c>
      <c r="V6">
        <v>1</v>
      </c>
      <c r="W6" t="s">
        <v>58</v>
      </c>
      <c r="X6" s="1">
        <v>3</v>
      </c>
      <c r="Y6" s="1">
        <v>4</v>
      </c>
      <c r="Z6" s="1">
        <v>3</v>
      </c>
      <c r="AA6">
        <v>3</v>
      </c>
      <c r="AB6" t="s">
        <v>58</v>
      </c>
      <c r="AC6" t="s">
        <v>58</v>
      </c>
      <c r="AD6" s="1">
        <v>7</v>
      </c>
      <c r="AE6" t="s">
        <v>58</v>
      </c>
      <c r="AF6" t="s">
        <v>58</v>
      </c>
      <c r="AG6">
        <v>7</v>
      </c>
      <c r="AH6" t="s">
        <v>58</v>
      </c>
      <c r="AI6" t="s">
        <v>58</v>
      </c>
      <c r="AJ6" s="1">
        <f t="shared" si="0"/>
        <v>35</v>
      </c>
      <c r="AK6" s="1">
        <v>50</v>
      </c>
    </row>
    <row r="7" spans="1:37" ht="15" customHeight="1">
      <c r="A7" s="1">
        <v>6</v>
      </c>
      <c r="B7" s="6">
        <v>2010992008</v>
      </c>
      <c r="C7" s="6" t="s">
        <v>66</v>
      </c>
      <c r="E7" t="s">
        <v>79</v>
      </c>
      <c r="F7" t="s">
        <v>82</v>
      </c>
      <c r="G7" s="7" t="s">
        <v>56</v>
      </c>
      <c r="H7" s="7" t="s">
        <v>80</v>
      </c>
      <c r="I7" s="7" t="s">
        <v>81</v>
      </c>
      <c r="J7" s="7">
        <v>2020</v>
      </c>
      <c r="K7" s="7">
        <v>3</v>
      </c>
      <c r="L7" s="1" t="s">
        <v>57</v>
      </c>
      <c r="M7" t="s">
        <v>58</v>
      </c>
      <c r="N7" t="s">
        <v>58</v>
      </c>
      <c r="O7" t="s">
        <v>58</v>
      </c>
      <c r="P7" t="s">
        <v>58</v>
      </c>
      <c r="Q7" t="s">
        <v>58</v>
      </c>
      <c r="R7" s="1">
        <v>1</v>
      </c>
      <c r="S7" s="1">
        <v>1</v>
      </c>
      <c r="T7" s="1">
        <v>2</v>
      </c>
      <c r="U7">
        <v>2</v>
      </c>
      <c r="V7">
        <v>1</v>
      </c>
      <c r="W7" t="s">
        <v>58</v>
      </c>
      <c r="X7" s="1">
        <v>4</v>
      </c>
      <c r="Y7" s="1">
        <v>4</v>
      </c>
      <c r="Z7" s="1">
        <v>3</v>
      </c>
      <c r="AA7">
        <v>4</v>
      </c>
      <c r="AB7" t="s">
        <v>58</v>
      </c>
      <c r="AC7" t="s">
        <v>58</v>
      </c>
      <c r="AD7" s="1">
        <v>7</v>
      </c>
      <c r="AE7" t="s">
        <v>58</v>
      </c>
      <c r="AF7" t="s">
        <v>58</v>
      </c>
      <c r="AG7">
        <v>9</v>
      </c>
      <c r="AH7" t="s">
        <v>58</v>
      </c>
      <c r="AI7" t="s">
        <v>58</v>
      </c>
      <c r="AJ7" s="1">
        <f t="shared" si="0"/>
        <v>38</v>
      </c>
      <c r="AK7" s="1">
        <v>50</v>
      </c>
    </row>
    <row r="8" spans="1:37" ht="15" customHeight="1">
      <c r="A8" s="1">
        <v>7</v>
      </c>
      <c r="B8" s="6">
        <v>2010992009</v>
      </c>
      <c r="C8" s="6" t="s">
        <v>67</v>
      </c>
      <c r="E8" t="s">
        <v>79</v>
      </c>
      <c r="F8" t="s">
        <v>82</v>
      </c>
      <c r="G8" s="7" t="s">
        <v>56</v>
      </c>
      <c r="H8" s="7" t="s">
        <v>80</v>
      </c>
      <c r="I8" s="7" t="s">
        <v>81</v>
      </c>
      <c r="J8" s="7">
        <v>2020</v>
      </c>
      <c r="K8" s="7">
        <v>3</v>
      </c>
      <c r="L8" s="1" t="s">
        <v>57</v>
      </c>
      <c r="M8" t="s">
        <v>58</v>
      </c>
      <c r="N8" t="s">
        <v>58</v>
      </c>
      <c r="O8" t="s">
        <v>58</v>
      </c>
      <c r="P8" t="s">
        <v>58</v>
      </c>
      <c r="Q8" t="s">
        <v>58</v>
      </c>
      <c r="R8" s="1">
        <v>2</v>
      </c>
      <c r="S8" s="1">
        <v>1</v>
      </c>
      <c r="T8" s="1">
        <v>2</v>
      </c>
      <c r="U8">
        <v>1</v>
      </c>
      <c r="V8">
        <v>1</v>
      </c>
      <c r="W8" t="s">
        <v>58</v>
      </c>
      <c r="X8" s="1">
        <v>3</v>
      </c>
      <c r="Y8" s="1">
        <v>4</v>
      </c>
      <c r="Z8" s="1">
        <v>3</v>
      </c>
      <c r="AA8">
        <v>3</v>
      </c>
      <c r="AB8" t="s">
        <v>58</v>
      </c>
      <c r="AC8" t="s">
        <v>58</v>
      </c>
      <c r="AD8" s="1">
        <v>8</v>
      </c>
      <c r="AE8" t="s">
        <v>58</v>
      </c>
      <c r="AF8" t="s">
        <v>58</v>
      </c>
      <c r="AG8">
        <v>9</v>
      </c>
      <c r="AH8" t="s">
        <v>58</v>
      </c>
      <c r="AI8" t="s">
        <v>58</v>
      </c>
      <c r="AJ8" s="1">
        <f t="shared" si="0"/>
        <v>37</v>
      </c>
      <c r="AK8" s="1">
        <v>50</v>
      </c>
    </row>
    <row r="9" spans="1:37" ht="15" customHeight="1">
      <c r="A9" s="1">
        <v>8</v>
      </c>
      <c r="B9" s="6">
        <v>2010992010</v>
      </c>
      <c r="C9" s="6" t="s">
        <v>68</v>
      </c>
      <c r="E9" t="s">
        <v>79</v>
      </c>
      <c r="F9" t="s">
        <v>82</v>
      </c>
      <c r="G9" s="7" t="s">
        <v>56</v>
      </c>
      <c r="H9" s="7" t="s">
        <v>80</v>
      </c>
      <c r="I9" s="7" t="s">
        <v>81</v>
      </c>
      <c r="J9" s="7">
        <v>2020</v>
      </c>
      <c r="K9" s="7">
        <v>3</v>
      </c>
      <c r="L9" s="1" t="s">
        <v>57</v>
      </c>
      <c r="M9" t="s">
        <v>58</v>
      </c>
      <c r="N9" t="s">
        <v>58</v>
      </c>
      <c r="O9" t="s">
        <v>58</v>
      </c>
      <c r="P9" t="s">
        <v>58</v>
      </c>
      <c r="Q9" t="s">
        <v>58</v>
      </c>
      <c r="R9" s="1">
        <v>1</v>
      </c>
      <c r="S9" s="1">
        <v>1</v>
      </c>
      <c r="T9" s="1">
        <v>2</v>
      </c>
      <c r="U9">
        <v>1</v>
      </c>
      <c r="V9">
        <v>1</v>
      </c>
      <c r="W9" t="s">
        <v>58</v>
      </c>
      <c r="X9" s="1">
        <v>4</v>
      </c>
      <c r="Y9" s="1">
        <v>4</v>
      </c>
      <c r="Z9" s="1">
        <v>3</v>
      </c>
      <c r="AA9">
        <v>4</v>
      </c>
      <c r="AB9" t="s">
        <v>58</v>
      </c>
      <c r="AC9" t="s">
        <v>58</v>
      </c>
      <c r="AD9" s="1">
        <v>8</v>
      </c>
      <c r="AE9" t="s">
        <v>58</v>
      </c>
      <c r="AF9" t="s">
        <v>58</v>
      </c>
      <c r="AG9">
        <v>9</v>
      </c>
      <c r="AH9" t="s">
        <v>58</v>
      </c>
      <c r="AI9" t="s">
        <v>58</v>
      </c>
      <c r="AJ9" s="1">
        <f t="shared" si="0"/>
        <v>38</v>
      </c>
      <c r="AK9" s="1">
        <v>50</v>
      </c>
    </row>
    <row r="10" spans="1:37" ht="15" customHeight="1">
      <c r="A10" s="1">
        <v>9</v>
      </c>
      <c r="B10" s="6">
        <v>2010992011</v>
      </c>
      <c r="C10" s="6" t="s">
        <v>69</v>
      </c>
      <c r="E10" t="s">
        <v>79</v>
      </c>
      <c r="F10" t="s">
        <v>82</v>
      </c>
      <c r="G10" s="7" t="s">
        <v>56</v>
      </c>
      <c r="H10" s="7" t="s">
        <v>80</v>
      </c>
      <c r="I10" s="7" t="s">
        <v>81</v>
      </c>
      <c r="J10" s="7">
        <v>2020</v>
      </c>
      <c r="K10" s="7">
        <v>3</v>
      </c>
      <c r="L10" s="1" t="s">
        <v>57</v>
      </c>
      <c r="M10" t="s">
        <v>58</v>
      </c>
      <c r="N10" t="s">
        <v>58</v>
      </c>
      <c r="O10" t="s">
        <v>58</v>
      </c>
      <c r="P10" t="s">
        <v>58</v>
      </c>
      <c r="Q10" t="s">
        <v>58</v>
      </c>
      <c r="R10" s="1">
        <v>1</v>
      </c>
      <c r="S10" s="1">
        <v>1</v>
      </c>
      <c r="T10" s="1">
        <v>2</v>
      </c>
      <c r="U10">
        <v>1</v>
      </c>
      <c r="V10">
        <v>1</v>
      </c>
      <c r="W10" t="s">
        <v>58</v>
      </c>
      <c r="X10" s="1">
        <v>4</v>
      </c>
      <c r="Y10" s="1">
        <v>3</v>
      </c>
      <c r="Z10" s="1">
        <v>3</v>
      </c>
      <c r="AA10">
        <v>4</v>
      </c>
      <c r="AB10" t="s">
        <v>58</v>
      </c>
      <c r="AC10" t="s">
        <v>58</v>
      </c>
      <c r="AD10" s="1">
        <v>8</v>
      </c>
      <c r="AE10" t="s">
        <v>58</v>
      </c>
      <c r="AF10" t="s">
        <v>58</v>
      </c>
      <c r="AG10">
        <v>10</v>
      </c>
      <c r="AH10" t="s">
        <v>58</v>
      </c>
      <c r="AI10" t="s">
        <v>58</v>
      </c>
      <c r="AJ10" s="1">
        <f t="shared" si="0"/>
        <v>38</v>
      </c>
      <c r="AK10" s="1">
        <v>50</v>
      </c>
    </row>
    <row r="11" spans="1:37" ht="15" customHeight="1">
      <c r="A11" s="1">
        <v>10</v>
      </c>
      <c r="B11" s="6">
        <v>2010992012</v>
      </c>
      <c r="C11" s="6" t="s">
        <v>70</v>
      </c>
      <c r="E11" t="s">
        <v>79</v>
      </c>
      <c r="F11" t="s">
        <v>82</v>
      </c>
      <c r="G11" s="7" t="s">
        <v>56</v>
      </c>
      <c r="H11" s="7" t="s">
        <v>80</v>
      </c>
      <c r="I11" s="7" t="s">
        <v>81</v>
      </c>
      <c r="J11" s="7">
        <v>2020</v>
      </c>
      <c r="K11" s="7">
        <v>3</v>
      </c>
      <c r="L11" s="1" t="s">
        <v>57</v>
      </c>
      <c r="M11" t="s">
        <v>58</v>
      </c>
      <c r="N11" t="s">
        <v>58</v>
      </c>
      <c r="O11" t="s">
        <v>58</v>
      </c>
      <c r="P11" t="s">
        <v>58</v>
      </c>
      <c r="Q11" t="s">
        <v>58</v>
      </c>
      <c r="R11" s="1">
        <v>1</v>
      </c>
      <c r="S11" s="1">
        <v>1</v>
      </c>
      <c r="T11" s="1">
        <v>2</v>
      </c>
      <c r="U11">
        <v>1</v>
      </c>
      <c r="V11">
        <v>1</v>
      </c>
      <c r="W11" t="s">
        <v>58</v>
      </c>
      <c r="X11" s="1">
        <v>4</v>
      </c>
      <c r="Y11" s="1">
        <v>3</v>
      </c>
      <c r="Z11" s="1">
        <v>3</v>
      </c>
      <c r="AA11">
        <v>4</v>
      </c>
      <c r="AB11" t="s">
        <v>58</v>
      </c>
      <c r="AC11" t="s">
        <v>58</v>
      </c>
      <c r="AD11" s="1">
        <v>6</v>
      </c>
      <c r="AE11" t="s">
        <v>58</v>
      </c>
      <c r="AF11" t="s">
        <v>58</v>
      </c>
      <c r="AG11">
        <v>10</v>
      </c>
      <c r="AH11" t="s">
        <v>58</v>
      </c>
      <c r="AI11" t="s">
        <v>58</v>
      </c>
      <c r="AJ11" s="1">
        <f t="shared" si="0"/>
        <v>36</v>
      </c>
      <c r="AK11" s="1">
        <v>50</v>
      </c>
    </row>
    <row r="12" spans="1:37" ht="15" customHeight="1">
      <c r="A12" s="1">
        <v>11</v>
      </c>
      <c r="B12" s="6">
        <v>2010992014</v>
      </c>
      <c r="C12" s="6" t="s">
        <v>71</v>
      </c>
      <c r="E12" t="s">
        <v>79</v>
      </c>
      <c r="F12" t="s">
        <v>82</v>
      </c>
      <c r="G12" s="7" t="s">
        <v>56</v>
      </c>
      <c r="H12" s="7" t="s">
        <v>80</v>
      </c>
      <c r="I12" s="7" t="s">
        <v>81</v>
      </c>
      <c r="J12" s="7">
        <v>2020</v>
      </c>
      <c r="K12" s="7">
        <v>3</v>
      </c>
      <c r="L12" s="1" t="s">
        <v>57</v>
      </c>
      <c r="M12" t="s">
        <v>58</v>
      </c>
      <c r="N12" t="s">
        <v>58</v>
      </c>
      <c r="O12" t="s">
        <v>58</v>
      </c>
      <c r="P12" t="s">
        <v>58</v>
      </c>
      <c r="Q12" t="s">
        <v>58</v>
      </c>
      <c r="R12" s="1">
        <v>1</v>
      </c>
      <c r="S12" s="1">
        <v>1</v>
      </c>
      <c r="T12" s="1">
        <v>2</v>
      </c>
      <c r="U12">
        <v>1</v>
      </c>
      <c r="V12">
        <v>1</v>
      </c>
      <c r="W12" t="s">
        <v>58</v>
      </c>
      <c r="X12" s="1">
        <v>4</v>
      </c>
      <c r="Y12" s="1">
        <v>4</v>
      </c>
      <c r="Z12" s="1">
        <v>3</v>
      </c>
      <c r="AA12">
        <v>4</v>
      </c>
      <c r="AB12" t="s">
        <v>58</v>
      </c>
      <c r="AC12" t="s">
        <v>58</v>
      </c>
      <c r="AD12" s="1">
        <v>8</v>
      </c>
      <c r="AE12" t="s">
        <v>58</v>
      </c>
      <c r="AF12" t="s">
        <v>58</v>
      </c>
      <c r="AG12">
        <v>7</v>
      </c>
      <c r="AH12" t="s">
        <v>58</v>
      </c>
      <c r="AI12" t="s">
        <v>58</v>
      </c>
      <c r="AJ12" s="1">
        <f t="shared" si="0"/>
        <v>36</v>
      </c>
      <c r="AK12" s="1">
        <v>50</v>
      </c>
    </row>
    <row r="13" spans="1:37" ht="15" customHeight="1">
      <c r="A13" s="1">
        <v>12</v>
      </c>
      <c r="B13" s="6">
        <v>2010992015</v>
      </c>
      <c r="C13" s="6" t="s">
        <v>72</v>
      </c>
      <c r="E13" t="s">
        <v>79</v>
      </c>
      <c r="F13" t="s">
        <v>82</v>
      </c>
      <c r="G13" s="7" t="s">
        <v>56</v>
      </c>
      <c r="H13" s="7" t="s">
        <v>80</v>
      </c>
      <c r="I13" s="7" t="s">
        <v>81</v>
      </c>
      <c r="J13" s="7">
        <v>2020</v>
      </c>
      <c r="K13" s="7">
        <v>3</v>
      </c>
      <c r="L13" s="1" t="s">
        <v>57</v>
      </c>
      <c r="M13" t="s">
        <v>58</v>
      </c>
      <c r="N13" t="s">
        <v>58</v>
      </c>
      <c r="O13" t="s">
        <v>58</v>
      </c>
      <c r="P13" t="s">
        <v>58</v>
      </c>
      <c r="Q13" t="s">
        <v>58</v>
      </c>
      <c r="R13" s="1">
        <v>1</v>
      </c>
      <c r="S13" s="1">
        <v>1</v>
      </c>
      <c r="T13" s="1">
        <v>2</v>
      </c>
      <c r="U13">
        <v>1</v>
      </c>
      <c r="V13">
        <v>1</v>
      </c>
      <c r="W13" t="s">
        <v>58</v>
      </c>
      <c r="X13" t="s">
        <v>58</v>
      </c>
      <c r="Y13" s="1">
        <v>4</v>
      </c>
      <c r="Z13" s="1">
        <v>3</v>
      </c>
      <c r="AA13">
        <v>3</v>
      </c>
      <c r="AB13" t="s">
        <v>58</v>
      </c>
      <c r="AC13" t="s">
        <v>58</v>
      </c>
      <c r="AD13" s="1">
        <v>7</v>
      </c>
      <c r="AE13" t="s">
        <v>58</v>
      </c>
      <c r="AF13" t="s">
        <v>58</v>
      </c>
      <c r="AG13">
        <v>9</v>
      </c>
      <c r="AH13" t="s">
        <v>58</v>
      </c>
      <c r="AI13" t="s">
        <v>58</v>
      </c>
      <c r="AJ13" s="1">
        <f t="shared" si="0"/>
        <v>32</v>
      </c>
      <c r="AK13" s="1">
        <v>50</v>
      </c>
    </row>
    <row r="14" spans="1:37" ht="15" customHeight="1">
      <c r="A14" s="1">
        <v>13</v>
      </c>
      <c r="B14" s="6">
        <v>2010992016</v>
      </c>
      <c r="C14" s="6" t="s">
        <v>73</v>
      </c>
      <c r="E14" t="s">
        <v>79</v>
      </c>
      <c r="F14" t="s">
        <v>82</v>
      </c>
      <c r="G14" s="7" t="s">
        <v>56</v>
      </c>
      <c r="H14" s="7" t="s">
        <v>80</v>
      </c>
      <c r="I14" s="7" t="s">
        <v>81</v>
      </c>
      <c r="J14" s="7">
        <v>2020</v>
      </c>
      <c r="K14" s="7">
        <v>3</v>
      </c>
      <c r="L14" s="1" t="s">
        <v>57</v>
      </c>
      <c r="M14" t="s">
        <v>58</v>
      </c>
      <c r="N14" t="s">
        <v>58</v>
      </c>
      <c r="O14" t="s">
        <v>58</v>
      </c>
      <c r="P14" t="s">
        <v>58</v>
      </c>
      <c r="Q14" t="s">
        <v>58</v>
      </c>
      <c r="R14" s="1">
        <v>1</v>
      </c>
      <c r="S14" s="1">
        <v>1</v>
      </c>
      <c r="T14" s="1">
        <v>1</v>
      </c>
      <c r="U14">
        <v>1</v>
      </c>
      <c r="V14">
        <v>1</v>
      </c>
      <c r="W14" t="s">
        <v>58</v>
      </c>
      <c r="X14" s="1">
        <v>4</v>
      </c>
      <c r="Y14" s="1">
        <v>2</v>
      </c>
      <c r="Z14" s="1">
        <v>3</v>
      </c>
      <c r="AA14">
        <v>2</v>
      </c>
      <c r="AB14" t="s">
        <v>58</v>
      </c>
      <c r="AC14" t="s">
        <v>58</v>
      </c>
      <c r="AD14" s="1">
        <v>5</v>
      </c>
      <c r="AE14" t="s">
        <v>58</v>
      </c>
      <c r="AF14" t="s">
        <v>58</v>
      </c>
      <c r="AG14">
        <v>9</v>
      </c>
      <c r="AH14" t="s">
        <v>58</v>
      </c>
      <c r="AI14" t="s">
        <v>58</v>
      </c>
      <c r="AJ14" s="1">
        <f t="shared" si="0"/>
        <v>30</v>
      </c>
      <c r="AK14" s="1">
        <v>50</v>
      </c>
    </row>
    <row r="15" spans="1:37" ht="15" customHeight="1">
      <c r="A15" s="1">
        <v>14</v>
      </c>
      <c r="B15" s="6">
        <v>2010992017</v>
      </c>
      <c r="C15" s="6" t="s">
        <v>74</v>
      </c>
      <c r="E15" t="s">
        <v>79</v>
      </c>
      <c r="F15" t="s">
        <v>82</v>
      </c>
      <c r="G15" s="7" t="s">
        <v>56</v>
      </c>
      <c r="H15" s="7" t="s">
        <v>80</v>
      </c>
      <c r="I15" s="7" t="s">
        <v>81</v>
      </c>
      <c r="J15" s="7">
        <v>2020</v>
      </c>
      <c r="K15" s="7">
        <v>3</v>
      </c>
      <c r="L15" s="1" t="s">
        <v>57</v>
      </c>
      <c r="M15" t="s">
        <v>58</v>
      </c>
      <c r="N15" t="s">
        <v>58</v>
      </c>
      <c r="O15" t="s">
        <v>58</v>
      </c>
      <c r="P15" t="s">
        <v>58</v>
      </c>
      <c r="Q15" t="s">
        <v>58</v>
      </c>
      <c r="R15" s="1">
        <v>1</v>
      </c>
      <c r="S15" s="1">
        <v>2</v>
      </c>
      <c r="T15" s="1">
        <v>2</v>
      </c>
      <c r="U15">
        <v>2</v>
      </c>
      <c r="V15">
        <v>1</v>
      </c>
      <c r="W15" t="s">
        <v>58</v>
      </c>
      <c r="X15" s="1">
        <v>4</v>
      </c>
      <c r="Y15" s="1">
        <v>4</v>
      </c>
      <c r="Z15" s="1">
        <v>3</v>
      </c>
      <c r="AA15">
        <v>4</v>
      </c>
      <c r="AB15" t="s">
        <v>58</v>
      </c>
      <c r="AC15" t="s">
        <v>58</v>
      </c>
      <c r="AD15" s="1">
        <v>8</v>
      </c>
      <c r="AE15" t="s">
        <v>58</v>
      </c>
      <c r="AF15" t="s">
        <v>58</v>
      </c>
      <c r="AG15">
        <v>7</v>
      </c>
      <c r="AH15" t="s">
        <v>58</v>
      </c>
      <c r="AI15" t="s">
        <v>58</v>
      </c>
      <c r="AJ15" s="1">
        <f t="shared" si="0"/>
        <v>38</v>
      </c>
      <c r="AK15" s="1">
        <v>50</v>
      </c>
    </row>
    <row r="16" spans="1:37" ht="15" customHeight="1">
      <c r="A16" s="1">
        <v>15</v>
      </c>
      <c r="B16" s="6">
        <v>2010992018</v>
      </c>
      <c r="C16" s="6" t="s">
        <v>75</v>
      </c>
      <c r="E16" t="s">
        <v>79</v>
      </c>
      <c r="F16" t="s">
        <v>82</v>
      </c>
      <c r="G16" s="7" t="s">
        <v>56</v>
      </c>
      <c r="H16" s="7" t="s">
        <v>80</v>
      </c>
      <c r="I16" s="7" t="s">
        <v>81</v>
      </c>
      <c r="J16" s="7">
        <v>2020</v>
      </c>
      <c r="K16" s="7">
        <v>3</v>
      </c>
      <c r="L16" s="1" t="s">
        <v>57</v>
      </c>
      <c r="M16" t="s">
        <v>58</v>
      </c>
      <c r="N16" t="s">
        <v>58</v>
      </c>
      <c r="O16" t="s">
        <v>58</v>
      </c>
      <c r="P16" t="s">
        <v>58</v>
      </c>
      <c r="Q16" t="s">
        <v>58</v>
      </c>
      <c r="R16" s="1">
        <v>1</v>
      </c>
      <c r="S16" s="1">
        <v>1</v>
      </c>
      <c r="T16" s="1">
        <v>1</v>
      </c>
      <c r="U16">
        <v>1</v>
      </c>
      <c r="V16">
        <v>1</v>
      </c>
      <c r="W16" t="s">
        <v>58</v>
      </c>
      <c r="X16" s="1">
        <v>2</v>
      </c>
      <c r="Y16" s="1">
        <v>4</v>
      </c>
      <c r="Z16" s="1">
        <v>4</v>
      </c>
      <c r="AA16">
        <v>3</v>
      </c>
      <c r="AB16" t="s">
        <v>58</v>
      </c>
      <c r="AC16" t="s">
        <v>58</v>
      </c>
      <c r="AD16" s="1">
        <v>8</v>
      </c>
      <c r="AE16" t="s">
        <v>58</v>
      </c>
      <c r="AF16" t="s">
        <v>58</v>
      </c>
      <c r="AG16">
        <v>7</v>
      </c>
      <c r="AH16" t="s">
        <v>58</v>
      </c>
      <c r="AI16" t="s">
        <v>58</v>
      </c>
      <c r="AJ16" s="1">
        <f t="shared" si="0"/>
        <v>33</v>
      </c>
      <c r="AK16" s="1">
        <v>50</v>
      </c>
    </row>
    <row r="17" spans="1:37" ht="15" customHeight="1">
      <c r="A17" s="1">
        <v>16</v>
      </c>
      <c r="B17" s="6">
        <v>2010992019</v>
      </c>
      <c r="C17" s="6" t="s">
        <v>76</v>
      </c>
      <c r="E17" t="s">
        <v>79</v>
      </c>
      <c r="F17" t="s">
        <v>82</v>
      </c>
      <c r="G17" s="7" t="s">
        <v>56</v>
      </c>
      <c r="H17" s="7" t="s">
        <v>80</v>
      </c>
      <c r="I17" s="7" t="s">
        <v>81</v>
      </c>
      <c r="J17" s="7">
        <v>2020</v>
      </c>
      <c r="K17" s="7">
        <v>3</v>
      </c>
      <c r="L17" s="1" t="s">
        <v>57</v>
      </c>
      <c r="M17" t="s">
        <v>58</v>
      </c>
      <c r="N17" t="s">
        <v>58</v>
      </c>
      <c r="O17" t="s">
        <v>58</v>
      </c>
      <c r="P17" t="s">
        <v>58</v>
      </c>
      <c r="Q17" t="s">
        <v>58</v>
      </c>
      <c r="R17" s="1">
        <v>1</v>
      </c>
      <c r="S17" s="1">
        <v>1</v>
      </c>
      <c r="T17" s="1">
        <v>2</v>
      </c>
      <c r="U17">
        <v>1</v>
      </c>
      <c r="V17">
        <v>1</v>
      </c>
      <c r="W17" t="s">
        <v>58</v>
      </c>
      <c r="X17" s="1">
        <v>2</v>
      </c>
      <c r="Y17" s="1">
        <v>3</v>
      </c>
      <c r="Z17" s="1">
        <v>2</v>
      </c>
      <c r="AA17">
        <v>4</v>
      </c>
      <c r="AB17" t="s">
        <v>58</v>
      </c>
      <c r="AC17" t="s">
        <v>58</v>
      </c>
      <c r="AD17" s="1">
        <v>5</v>
      </c>
      <c r="AE17" t="s">
        <v>58</v>
      </c>
      <c r="AF17" t="s">
        <v>58</v>
      </c>
      <c r="AG17">
        <v>9</v>
      </c>
      <c r="AH17" t="s">
        <v>58</v>
      </c>
      <c r="AI17" t="s">
        <v>58</v>
      </c>
      <c r="AJ17" s="1">
        <f t="shared" si="0"/>
        <v>31</v>
      </c>
      <c r="AK17" s="1">
        <v>50</v>
      </c>
    </row>
    <row r="18" spans="1:37" ht="15" customHeight="1">
      <c r="A18" s="1">
        <v>17</v>
      </c>
      <c r="B18" s="6">
        <v>2010992163</v>
      </c>
      <c r="C18" s="6" t="s">
        <v>77</v>
      </c>
      <c r="E18" t="s">
        <v>79</v>
      </c>
      <c r="F18" t="s">
        <v>82</v>
      </c>
      <c r="G18" s="7" t="s">
        <v>56</v>
      </c>
      <c r="H18" s="7" t="s">
        <v>80</v>
      </c>
      <c r="I18" s="7" t="s">
        <v>81</v>
      </c>
      <c r="J18" s="7">
        <v>2020</v>
      </c>
      <c r="K18" s="7">
        <v>3</v>
      </c>
      <c r="L18" s="1" t="s">
        <v>57</v>
      </c>
      <c r="M18" t="s">
        <v>58</v>
      </c>
      <c r="N18" t="s">
        <v>58</v>
      </c>
      <c r="O18" t="s">
        <v>58</v>
      </c>
      <c r="P18" t="s">
        <v>58</v>
      </c>
      <c r="Q18" t="s">
        <v>58</v>
      </c>
      <c r="R18" s="1">
        <v>1</v>
      </c>
      <c r="S18" s="1">
        <v>1</v>
      </c>
      <c r="T18" s="1">
        <v>2</v>
      </c>
      <c r="U18">
        <v>2</v>
      </c>
      <c r="V18">
        <v>1</v>
      </c>
      <c r="W18" t="s">
        <v>58</v>
      </c>
      <c r="X18" s="1">
        <v>4</v>
      </c>
      <c r="Y18" s="1">
        <v>4</v>
      </c>
      <c r="Z18" s="1">
        <v>3</v>
      </c>
      <c r="AA18">
        <v>4</v>
      </c>
      <c r="AB18" t="s">
        <v>58</v>
      </c>
      <c r="AC18" t="s">
        <v>58</v>
      </c>
      <c r="AD18" s="1">
        <v>9</v>
      </c>
      <c r="AE18" t="s">
        <v>58</v>
      </c>
      <c r="AF18" t="s">
        <v>58</v>
      </c>
      <c r="AG18">
        <v>10</v>
      </c>
      <c r="AH18" t="s">
        <v>58</v>
      </c>
      <c r="AI18" t="s">
        <v>58</v>
      </c>
      <c r="AJ18" s="1">
        <f t="shared" si="0"/>
        <v>41</v>
      </c>
      <c r="AK18" s="1">
        <v>50</v>
      </c>
    </row>
    <row r="19" spans="1:37" ht="15" customHeight="1">
      <c r="A19" s="1">
        <v>18</v>
      </c>
      <c r="B19" s="6">
        <v>2010992202</v>
      </c>
      <c r="C19" s="6" t="s">
        <v>78</v>
      </c>
      <c r="E19" t="s">
        <v>79</v>
      </c>
      <c r="F19" t="s">
        <v>82</v>
      </c>
      <c r="G19" s="7" t="s">
        <v>56</v>
      </c>
      <c r="H19" s="7" t="s">
        <v>80</v>
      </c>
      <c r="I19" s="7" t="s">
        <v>81</v>
      </c>
      <c r="J19" s="7">
        <v>2020</v>
      </c>
      <c r="K19" s="7">
        <v>3</v>
      </c>
      <c r="L19" s="1" t="s">
        <v>57</v>
      </c>
      <c r="M19" t="s">
        <v>58</v>
      </c>
      <c r="N19" t="s">
        <v>58</v>
      </c>
      <c r="O19" t="s">
        <v>58</v>
      </c>
      <c r="P19" t="s">
        <v>58</v>
      </c>
      <c r="Q19" t="s">
        <v>58</v>
      </c>
      <c r="R19" s="1">
        <v>1</v>
      </c>
      <c r="S19" s="1">
        <v>1</v>
      </c>
      <c r="T19" s="1">
        <v>2</v>
      </c>
      <c r="U19">
        <v>2</v>
      </c>
      <c r="V19">
        <v>1</v>
      </c>
      <c r="W19" t="s">
        <v>58</v>
      </c>
      <c r="X19" s="1">
        <v>4</v>
      </c>
      <c r="Y19" s="1">
        <v>4</v>
      </c>
      <c r="Z19" s="1">
        <v>3</v>
      </c>
      <c r="AA19">
        <v>4</v>
      </c>
      <c r="AB19" t="s">
        <v>58</v>
      </c>
      <c r="AC19" t="s">
        <v>58</v>
      </c>
      <c r="AD19" s="1">
        <v>8</v>
      </c>
      <c r="AE19" t="s">
        <v>58</v>
      </c>
      <c r="AF19" t="s">
        <v>58</v>
      </c>
      <c r="AG19">
        <v>7</v>
      </c>
      <c r="AH19" t="s">
        <v>58</v>
      </c>
      <c r="AI19" t="s">
        <v>58</v>
      </c>
      <c r="AJ19" s="1">
        <f t="shared" si="0"/>
        <v>37</v>
      </c>
      <c r="AK19">
        <v>50</v>
      </c>
    </row>
    <row r="21" spans="1:37" ht="15.75" customHeight="1"/>
    <row r="22" spans="1:37" ht="15.75" customHeight="1"/>
    <row r="23" spans="1:37" ht="15.75" customHeight="1"/>
    <row r="24" spans="1:37" ht="15.75" customHeight="1"/>
    <row r="25" spans="1:37" ht="15.75" customHeight="1"/>
    <row r="26" spans="1:37" ht="15.75" customHeight="1"/>
    <row r="27" spans="1:37" ht="15.75" customHeight="1"/>
    <row r="28" spans="1:37" ht="15.75" customHeight="1"/>
    <row r="29" spans="1:37" ht="15.75" customHeight="1"/>
    <row r="30" spans="1:37" ht="15.75" customHeight="1"/>
    <row r="31" spans="1:37" ht="15.75" customHeight="1"/>
    <row r="32" spans="1:3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tabSelected="1" workbookViewId="0">
      <pane ySplit="1" topLeftCell="A2" activePane="bottomLeft" state="frozen"/>
      <selection pane="bottomLeft" activeCell="A22" sqref="A22:H22"/>
    </sheetView>
  </sheetViews>
  <sheetFormatPr defaultColWidth="12.6640625" defaultRowHeight="15" customHeight="1"/>
  <cols>
    <col min="1" max="1" width="11.33203125" customWidth="1"/>
    <col min="2" max="2" width="17.6640625" customWidth="1"/>
    <col min="3" max="8" width="12.44140625" customWidth="1"/>
    <col min="9" max="26" width="8.6640625" customWidth="1"/>
  </cols>
  <sheetData>
    <row r="1" spans="1:8" ht="14.4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4" t="s">
        <v>18</v>
      </c>
    </row>
    <row r="2" spans="1:8" ht="14.4">
      <c r="A2" s="5" t="s">
        <v>19</v>
      </c>
      <c r="B2" s="5">
        <v>0</v>
      </c>
      <c r="C2" s="5" t="b">
        <v>0</v>
      </c>
      <c r="D2" s="5" t="b">
        <v>0</v>
      </c>
      <c r="E2" s="5" t="b">
        <v>0</v>
      </c>
      <c r="F2" s="5" t="b">
        <v>0</v>
      </c>
      <c r="G2" s="5" t="b">
        <v>0</v>
      </c>
      <c r="H2" s="5" t="b">
        <v>0</v>
      </c>
    </row>
    <row r="3" spans="1:8" ht="14.4">
      <c r="A3" s="5" t="s">
        <v>20</v>
      </c>
      <c r="B3" s="5">
        <v>0</v>
      </c>
      <c r="C3" s="5" t="b">
        <v>0</v>
      </c>
      <c r="D3" s="5" t="b">
        <v>0</v>
      </c>
      <c r="E3" s="5" t="b">
        <v>0</v>
      </c>
      <c r="F3" s="5" t="b">
        <v>0</v>
      </c>
      <c r="G3" s="5" t="b">
        <v>0</v>
      </c>
      <c r="H3" s="5" t="b">
        <v>0</v>
      </c>
    </row>
    <row r="4" spans="1:8" ht="14.4">
      <c r="A4" s="5" t="s">
        <v>21</v>
      </c>
      <c r="B4" s="5">
        <v>0</v>
      </c>
      <c r="C4" s="5" t="b">
        <v>0</v>
      </c>
      <c r="D4" s="5" t="b">
        <v>0</v>
      </c>
      <c r="E4" s="5" t="b">
        <v>0</v>
      </c>
      <c r="F4" s="5" t="b">
        <v>0</v>
      </c>
      <c r="G4" s="5" t="b">
        <v>0</v>
      </c>
      <c r="H4" s="5" t="b">
        <v>0</v>
      </c>
    </row>
    <row r="5" spans="1:8" ht="14.4">
      <c r="A5" s="5" t="s">
        <v>22</v>
      </c>
      <c r="B5" s="5">
        <v>0</v>
      </c>
      <c r="C5" s="5" t="b">
        <v>0</v>
      </c>
      <c r="D5" s="5" t="b">
        <v>0</v>
      </c>
      <c r="E5" s="5" t="b">
        <v>0</v>
      </c>
      <c r="F5" s="5" t="b">
        <v>0</v>
      </c>
      <c r="G5" s="5" t="b">
        <v>0</v>
      </c>
      <c r="H5" s="5" t="b">
        <v>0</v>
      </c>
    </row>
    <row r="6" spans="1:8" ht="14.4">
      <c r="A6" s="5" t="s">
        <v>23</v>
      </c>
      <c r="B6" s="5">
        <v>0</v>
      </c>
      <c r="C6" s="5" t="b">
        <v>0</v>
      </c>
      <c r="D6" s="5" t="b">
        <v>0</v>
      </c>
      <c r="E6" s="5" t="b">
        <v>0</v>
      </c>
      <c r="F6" s="5" t="b">
        <v>0</v>
      </c>
      <c r="G6" s="5" t="b">
        <v>0</v>
      </c>
      <c r="H6" s="5" t="b">
        <v>0</v>
      </c>
    </row>
    <row r="7" spans="1:8" ht="14.4">
      <c r="A7" s="5" t="s">
        <v>24</v>
      </c>
      <c r="B7" s="5">
        <v>0</v>
      </c>
      <c r="C7" s="5" t="b">
        <v>0</v>
      </c>
      <c r="D7" s="5" t="b">
        <v>0</v>
      </c>
      <c r="E7" s="5" t="b">
        <v>0</v>
      </c>
      <c r="F7" s="5" t="b">
        <v>0</v>
      </c>
      <c r="G7" s="5" t="b">
        <v>0</v>
      </c>
      <c r="H7" s="5" t="b">
        <v>0</v>
      </c>
    </row>
    <row r="8" spans="1:8" ht="14.4">
      <c r="A8" s="5" t="s">
        <v>25</v>
      </c>
      <c r="B8" s="5">
        <v>0</v>
      </c>
      <c r="C8" s="5" t="b">
        <v>0</v>
      </c>
      <c r="D8" s="5" t="b">
        <v>0</v>
      </c>
      <c r="E8" s="5" t="b">
        <v>0</v>
      </c>
      <c r="F8" s="5" t="b">
        <v>0</v>
      </c>
      <c r="G8" s="5" t="b">
        <v>0</v>
      </c>
      <c r="H8" s="5" t="b">
        <v>0</v>
      </c>
    </row>
    <row r="9" spans="1:8" ht="14.4">
      <c r="A9" s="5" t="s">
        <v>26</v>
      </c>
      <c r="B9" s="5">
        <v>0</v>
      </c>
      <c r="C9" s="5" t="b">
        <v>0</v>
      </c>
      <c r="D9" s="5" t="b">
        <v>0</v>
      </c>
      <c r="E9" s="5" t="b">
        <v>0</v>
      </c>
      <c r="F9" s="5" t="b">
        <v>0</v>
      </c>
      <c r="G9" s="5" t="b">
        <v>0</v>
      </c>
      <c r="H9" s="5" t="b">
        <v>0</v>
      </c>
    </row>
    <row r="10" spans="1:8" ht="14.4">
      <c r="A10" s="5" t="s">
        <v>27</v>
      </c>
      <c r="B10" s="5">
        <v>0</v>
      </c>
      <c r="C10" s="5" t="b">
        <v>0</v>
      </c>
      <c r="D10" s="5" t="b">
        <v>0</v>
      </c>
      <c r="E10" s="5" t="b">
        <v>0</v>
      </c>
      <c r="F10" s="5" t="b">
        <v>0</v>
      </c>
      <c r="G10" s="5" t="b">
        <v>0</v>
      </c>
      <c r="H10" s="5" t="b">
        <v>0</v>
      </c>
    </row>
    <row r="11" spans="1:8" ht="14.4">
      <c r="A11" s="5" t="s">
        <v>28</v>
      </c>
      <c r="B11" s="5">
        <v>0</v>
      </c>
      <c r="C11" s="5" t="b">
        <v>0</v>
      </c>
      <c r="D11" s="5" t="b">
        <v>0</v>
      </c>
      <c r="E11" s="5" t="b">
        <v>0</v>
      </c>
      <c r="F11" s="5" t="b">
        <v>0</v>
      </c>
      <c r="G11" s="5" t="b">
        <v>0</v>
      </c>
      <c r="H11" s="5" t="b">
        <v>0</v>
      </c>
    </row>
    <row r="12" spans="1:8" ht="14.4">
      <c r="A12" s="5" t="s">
        <v>29</v>
      </c>
      <c r="B12" s="5">
        <v>0</v>
      </c>
      <c r="C12" s="5" t="b">
        <v>0</v>
      </c>
      <c r="D12" s="5" t="b">
        <v>0</v>
      </c>
      <c r="E12" s="5" t="b">
        <v>0</v>
      </c>
      <c r="F12" s="5" t="b">
        <v>0</v>
      </c>
      <c r="G12" s="5" t="b">
        <v>0</v>
      </c>
      <c r="H12" s="5" t="b">
        <v>0</v>
      </c>
    </row>
    <row r="13" spans="1:8" ht="14.4">
      <c r="A13" s="5" t="s">
        <v>30</v>
      </c>
      <c r="B13" s="5">
        <v>0</v>
      </c>
      <c r="C13" s="5" t="b">
        <v>0</v>
      </c>
      <c r="D13" s="5" t="b">
        <v>0</v>
      </c>
      <c r="E13" s="5" t="b">
        <v>0</v>
      </c>
      <c r="F13" s="5" t="b">
        <v>0</v>
      </c>
      <c r="G13" s="5" t="b">
        <v>0</v>
      </c>
      <c r="H13" s="5" t="b">
        <v>0</v>
      </c>
    </row>
    <row r="14" spans="1:8" ht="14.4">
      <c r="A14" s="5" t="s">
        <v>31</v>
      </c>
      <c r="B14" s="5">
        <v>0</v>
      </c>
      <c r="C14" s="5" t="b">
        <v>0</v>
      </c>
      <c r="D14" s="5" t="b">
        <v>0</v>
      </c>
      <c r="E14" s="5" t="b">
        <v>0</v>
      </c>
      <c r="F14" s="5" t="b">
        <v>0</v>
      </c>
      <c r="G14" s="5" t="b">
        <v>0</v>
      </c>
      <c r="H14" s="5" t="b">
        <v>0</v>
      </c>
    </row>
    <row r="15" spans="1:8" ht="14.4">
      <c r="A15" s="5" t="s">
        <v>32</v>
      </c>
      <c r="B15" s="5">
        <v>0</v>
      </c>
      <c r="C15" s="5" t="b">
        <v>0</v>
      </c>
      <c r="D15" s="5" t="b">
        <v>0</v>
      </c>
      <c r="E15" s="5" t="b">
        <v>0</v>
      </c>
      <c r="F15" s="5" t="b">
        <v>0</v>
      </c>
      <c r="G15" s="5" t="b">
        <v>0</v>
      </c>
      <c r="H15" s="5" t="b">
        <v>0</v>
      </c>
    </row>
    <row r="16" spans="1:8" ht="14.4">
      <c r="A16" s="5" t="s">
        <v>33</v>
      </c>
      <c r="B16" s="5">
        <v>0</v>
      </c>
      <c r="C16" s="5" t="b">
        <v>0</v>
      </c>
      <c r="D16" s="5" t="b">
        <v>0</v>
      </c>
      <c r="E16" s="5" t="b">
        <v>0</v>
      </c>
      <c r="F16" s="5" t="b">
        <v>0</v>
      </c>
      <c r="G16" s="5" t="b">
        <v>0</v>
      </c>
      <c r="H16" s="5" t="b">
        <v>0</v>
      </c>
    </row>
    <row r="17" spans="1:8" ht="14.4">
      <c r="A17" s="5" t="s">
        <v>34</v>
      </c>
      <c r="B17" s="5">
        <v>0</v>
      </c>
      <c r="C17" s="5" t="b">
        <v>0</v>
      </c>
      <c r="D17" s="5" t="b">
        <v>0</v>
      </c>
      <c r="E17" s="5" t="b">
        <v>0</v>
      </c>
      <c r="F17" s="5" t="b">
        <v>0</v>
      </c>
      <c r="G17" s="5" t="b">
        <v>0</v>
      </c>
      <c r="H17" s="5" t="b">
        <v>0</v>
      </c>
    </row>
    <row r="18" spans="1:8" ht="14.4">
      <c r="A18" s="5" t="s">
        <v>35</v>
      </c>
      <c r="B18" s="5">
        <v>0</v>
      </c>
      <c r="C18" s="5" t="b">
        <v>0</v>
      </c>
      <c r="D18" s="5" t="b">
        <v>0</v>
      </c>
      <c r="E18" s="5" t="b">
        <v>0</v>
      </c>
      <c r="F18" s="5" t="b">
        <v>0</v>
      </c>
      <c r="G18" s="5" t="b">
        <v>0</v>
      </c>
      <c r="H18" s="5" t="b">
        <v>0</v>
      </c>
    </row>
    <row r="19" spans="1:8" ht="14.4">
      <c r="A19" s="5" t="s">
        <v>36</v>
      </c>
      <c r="B19" s="5">
        <v>0</v>
      </c>
      <c r="C19" s="5" t="b">
        <v>0</v>
      </c>
      <c r="D19" s="5" t="b">
        <v>0</v>
      </c>
      <c r="E19" s="5" t="b">
        <v>0</v>
      </c>
      <c r="F19" s="5" t="b">
        <v>0</v>
      </c>
      <c r="G19" s="5" t="b">
        <v>0</v>
      </c>
      <c r="H19" s="5" t="b">
        <v>0</v>
      </c>
    </row>
    <row r="20" spans="1:8" ht="14.4">
      <c r="A20" s="5" t="s">
        <v>37</v>
      </c>
      <c r="B20" s="5">
        <v>0</v>
      </c>
      <c r="C20" s="5" t="b">
        <v>0</v>
      </c>
      <c r="D20" s="5" t="b">
        <v>0</v>
      </c>
      <c r="E20" s="5" t="b">
        <v>0</v>
      </c>
      <c r="F20" s="5" t="b">
        <v>0</v>
      </c>
      <c r="G20" s="5" t="b">
        <v>0</v>
      </c>
      <c r="H20" s="5" t="b">
        <v>0</v>
      </c>
    </row>
    <row r="21" spans="1:8" ht="15.75" customHeight="1">
      <c r="A21" s="5" t="s">
        <v>38</v>
      </c>
      <c r="B21" s="5">
        <v>0</v>
      </c>
      <c r="C21" s="5" t="b">
        <v>0</v>
      </c>
      <c r="D21" s="5" t="b">
        <v>0</v>
      </c>
      <c r="E21" s="5" t="b">
        <v>0</v>
      </c>
      <c r="F21" s="5" t="b">
        <v>0</v>
      </c>
      <c r="G21" s="5" t="b">
        <v>0</v>
      </c>
      <c r="H21" s="5" t="b">
        <v>0</v>
      </c>
    </row>
    <row r="22" spans="1:8" ht="16.8" customHeight="1">
      <c r="A22" s="5" t="s">
        <v>39</v>
      </c>
      <c r="B22" s="5">
        <v>10</v>
      </c>
      <c r="C22" s="5" t="b">
        <v>1</v>
      </c>
      <c r="D22" s="5" t="b">
        <v>1</v>
      </c>
      <c r="E22" s="5" t="b">
        <v>1</v>
      </c>
      <c r="F22" s="5" t="b">
        <v>0</v>
      </c>
      <c r="G22" s="5" t="b">
        <v>0</v>
      </c>
      <c r="H22" s="5" t="b">
        <v>0</v>
      </c>
    </row>
    <row r="23" spans="1:8" ht="15.75" customHeight="1">
      <c r="A23" s="5" t="s">
        <v>40</v>
      </c>
      <c r="B23" s="5">
        <v>20</v>
      </c>
      <c r="C23" s="5" t="b">
        <v>1</v>
      </c>
      <c r="D23" s="5" t="b">
        <v>1</v>
      </c>
      <c r="E23" s="5" t="b">
        <v>1</v>
      </c>
      <c r="F23" s="5" t="b">
        <v>0</v>
      </c>
      <c r="G23" s="5" t="b">
        <v>0</v>
      </c>
      <c r="H23" s="5" t="b">
        <v>0</v>
      </c>
    </row>
    <row r="24" spans="1:8" ht="15.75" customHeight="1">
      <c r="A24" s="5" t="s">
        <v>41</v>
      </c>
      <c r="B24" s="5">
        <v>20</v>
      </c>
      <c r="C24" s="5" t="b">
        <v>1</v>
      </c>
      <c r="D24" s="5" t="b">
        <v>1</v>
      </c>
      <c r="E24" s="5" t="b">
        <v>1</v>
      </c>
      <c r="F24" s="5" t="b">
        <v>0</v>
      </c>
      <c r="G24" s="5" t="b">
        <v>0</v>
      </c>
      <c r="H24" s="5" t="b">
        <v>0</v>
      </c>
    </row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howDropDown="1" showErrorMessage="1" sqref="C2:H24" xr:uid="{00000000-0002-0000-0300-000000000000}">
      <formula1>"FALSE,TRUE"</formula1>
    </dataValidation>
    <dataValidation type="custom" allowBlank="1" showDropDown="1" sqref="B2:B24" xr:uid="{00000000-0002-0000-0300-000004000000}">
      <formula1>AND(ISNUMBER(B2),(NOT(OR(NOT(ISERROR(DATEVALUE(B2))), AND(ISNUMBER(B2), LEFT(CELL("format", B2))="D")))))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000"/>
  <sheetViews>
    <sheetView topLeftCell="R1" workbookViewId="0">
      <selection activeCell="AM12" sqref="AM12"/>
    </sheetView>
  </sheetViews>
  <sheetFormatPr defaultColWidth="12.6640625" defaultRowHeight="15" customHeight="1"/>
  <cols>
    <col min="1" max="1" width="8.6640625" customWidth="1"/>
    <col min="2" max="2" width="11.44140625" customWidth="1"/>
    <col min="3" max="37" width="8.6640625" customWidth="1"/>
  </cols>
  <sheetData>
    <row r="1" spans="1:37" ht="14.4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tr">
        <f t="array" ref="M1:AI1">TRANSPOSE('ST2 Question Map'!A2:A24)</f>
        <v>1a</v>
      </c>
      <c r="N1" s="1" t="str">
        <v>1b</v>
      </c>
      <c r="O1" s="1" t="str">
        <v>1c</v>
      </c>
      <c r="P1" s="1" t="str">
        <v>1d</v>
      </c>
      <c r="Q1" s="1" t="str">
        <v>1e</v>
      </c>
      <c r="R1" s="1" t="str">
        <v>Q2</v>
      </c>
      <c r="S1" s="1" t="str">
        <v>Q3</v>
      </c>
      <c r="T1" s="1" t="str">
        <v>Q4</v>
      </c>
      <c r="U1" s="1" t="str">
        <v>Q5</v>
      </c>
      <c r="V1" s="1" t="str">
        <v>Q6</v>
      </c>
      <c r="W1" s="1" t="str">
        <v>Q7</v>
      </c>
      <c r="X1" s="1" t="str">
        <v>Q8</v>
      </c>
      <c r="Y1" s="1" t="str">
        <v>Q9</v>
      </c>
      <c r="Z1" s="1" t="str">
        <v>Q10</v>
      </c>
      <c r="AA1" s="1" t="str">
        <v>Q11</v>
      </c>
      <c r="AB1" s="1" t="str">
        <v>Q12</v>
      </c>
      <c r="AC1" s="1" t="str">
        <v>Q13</v>
      </c>
      <c r="AD1" s="1" t="str">
        <v>Q14</v>
      </c>
      <c r="AE1" s="1" t="str">
        <v>Q15</v>
      </c>
      <c r="AF1" s="1" t="str">
        <v>Q16</v>
      </c>
      <c r="AG1" s="1" t="str">
        <v>Assignment</v>
      </c>
      <c r="AH1" s="1" t="str">
        <v>FA1</v>
      </c>
      <c r="AI1" s="1" t="str">
        <v>FA2</v>
      </c>
      <c r="AJ1" s="1" t="s">
        <v>54</v>
      </c>
      <c r="AK1" s="1" t="s">
        <v>55</v>
      </c>
    </row>
    <row r="2" spans="1:37" ht="14.4">
      <c r="A2" s="1">
        <v>1</v>
      </c>
      <c r="B2" s="6">
        <v>2010990089</v>
      </c>
      <c r="C2" s="6" t="s">
        <v>61</v>
      </c>
      <c r="E2" t="s">
        <v>79</v>
      </c>
      <c r="F2" t="s">
        <v>82</v>
      </c>
      <c r="G2" s="7" t="s">
        <v>56</v>
      </c>
      <c r="H2" s="7" t="s">
        <v>80</v>
      </c>
      <c r="I2" s="7" t="s">
        <v>81</v>
      </c>
      <c r="J2" s="7">
        <v>2020</v>
      </c>
      <c r="K2" s="7">
        <v>3</v>
      </c>
      <c r="L2" s="1" t="s">
        <v>59</v>
      </c>
      <c r="M2" s="1" t="s">
        <v>58</v>
      </c>
      <c r="N2" s="1" t="s">
        <v>58</v>
      </c>
      <c r="O2" s="1" t="s">
        <v>58</v>
      </c>
      <c r="P2" s="1" t="s">
        <v>58</v>
      </c>
      <c r="Q2" s="1" t="s">
        <v>58</v>
      </c>
      <c r="R2" s="1" t="s">
        <v>58</v>
      </c>
      <c r="S2" s="1" t="s">
        <v>58</v>
      </c>
      <c r="T2" s="1" t="s">
        <v>58</v>
      </c>
      <c r="U2" s="1" t="s">
        <v>58</v>
      </c>
      <c r="V2" s="1" t="s">
        <v>58</v>
      </c>
      <c r="W2" s="1" t="s">
        <v>58</v>
      </c>
      <c r="X2" s="1" t="s">
        <v>58</v>
      </c>
      <c r="Y2" s="1" t="s">
        <v>58</v>
      </c>
      <c r="Z2" s="1" t="s">
        <v>58</v>
      </c>
      <c r="AA2" s="1" t="s">
        <v>58</v>
      </c>
      <c r="AB2" s="1" t="s">
        <v>58</v>
      </c>
      <c r="AC2" s="1" t="s">
        <v>58</v>
      </c>
      <c r="AD2" s="1" t="s">
        <v>58</v>
      </c>
      <c r="AE2" s="1" t="s">
        <v>58</v>
      </c>
      <c r="AF2" s="1" t="s">
        <v>58</v>
      </c>
      <c r="AG2" s="1">
        <v>7</v>
      </c>
      <c r="AH2" s="1">
        <v>15</v>
      </c>
      <c r="AI2" s="1">
        <v>18</v>
      </c>
      <c r="AJ2" s="1">
        <f t="shared" ref="AJ2:AJ19" si="0">SUM(M2:AI2)</f>
        <v>40</v>
      </c>
      <c r="AK2" s="1">
        <v>50</v>
      </c>
    </row>
    <row r="3" spans="1:37" ht="14.4">
      <c r="A3" s="1">
        <v>2</v>
      </c>
      <c r="B3" s="6">
        <v>2010992002</v>
      </c>
      <c r="C3" s="6" t="s">
        <v>62</v>
      </c>
      <c r="E3" t="s">
        <v>79</v>
      </c>
      <c r="F3" t="s">
        <v>82</v>
      </c>
      <c r="G3" s="7" t="s">
        <v>56</v>
      </c>
      <c r="H3" s="7" t="s">
        <v>80</v>
      </c>
      <c r="I3" s="7" t="s">
        <v>81</v>
      </c>
      <c r="J3" s="7">
        <v>2020</v>
      </c>
      <c r="K3" s="7">
        <v>3</v>
      </c>
      <c r="L3" s="1" t="s">
        <v>59</v>
      </c>
      <c r="M3" s="1" t="s">
        <v>58</v>
      </c>
      <c r="N3" s="1" t="s">
        <v>58</v>
      </c>
      <c r="O3" s="1" t="s">
        <v>58</v>
      </c>
      <c r="P3" s="1" t="s">
        <v>58</v>
      </c>
      <c r="Q3" s="1" t="s">
        <v>58</v>
      </c>
      <c r="R3" s="1" t="s">
        <v>58</v>
      </c>
      <c r="S3" s="1" t="s">
        <v>58</v>
      </c>
      <c r="T3" s="1" t="s">
        <v>58</v>
      </c>
      <c r="U3" s="1" t="s">
        <v>58</v>
      </c>
      <c r="V3" s="1" t="s">
        <v>58</v>
      </c>
      <c r="W3" s="1" t="s">
        <v>58</v>
      </c>
      <c r="X3" s="1" t="s">
        <v>58</v>
      </c>
      <c r="Y3" s="1" t="s">
        <v>58</v>
      </c>
      <c r="Z3" s="1" t="s">
        <v>58</v>
      </c>
      <c r="AA3" s="1" t="s">
        <v>58</v>
      </c>
      <c r="AB3" s="1" t="s">
        <v>58</v>
      </c>
      <c r="AC3" s="1" t="s">
        <v>58</v>
      </c>
      <c r="AD3" s="1" t="s">
        <v>58</v>
      </c>
      <c r="AE3" s="1" t="s">
        <v>58</v>
      </c>
      <c r="AF3" s="1" t="s">
        <v>58</v>
      </c>
      <c r="AG3" s="1">
        <v>10</v>
      </c>
      <c r="AH3" s="1">
        <v>16</v>
      </c>
      <c r="AI3" s="1">
        <v>18</v>
      </c>
      <c r="AJ3" s="1">
        <f t="shared" si="0"/>
        <v>44</v>
      </c>
      <c r="AK3" s="1">
        <v>50</v>
      </c>
    </row>
    <row r="4" spans="1:37" ht="14.4">
      <c r="A4" s="1">
        <v>3</v>
      </c>
      <c r="B4" s="6">
        <v>2010992004</v>
      </c>
      <c r="C4" s="6" t="s">
        <v>63</v>
      </c>
      <c r="E4" t="s">
        <v>79</v>
      </c>
      <c r="F4" t="s">
        <v>82</v>
      </c>
      <c r="G4" s="7" t="s">
        <v>56</v>
      </c>
      <c r="H4" s="7" t="s">
        <v>80</v>
      </c>
      <c r="I4" s="7" t="s">
        <v>81</v>
      </c>
      <c r="J4" s="7">
        <v>2020</v>
      </c>
      <c r="K4" s="7">
        <v>3</v>
      </c>
      <c r="L4" s="1" t="s">
        <v>59</v>
      </c>
      <c r="M4" s="1" t="s">
        <v>58</v>
      </c>
      <c r="N4" s="1" t="s">
        <v>58</v>
      </c>
      <c r="O4" s="1" t="s">
        <v>58</v>
      </c>
      <c r="P4" s="1" t="s">
        <v>58</v>
      </c>
      <c r="Q4" s="1" t="s">
        <v>58</v>
      </c>
      <c r="R4" s="1" t="s">
        <v>58</v>
      </c>
      <c r="S4" s="1" t="s">
        <v>58</v>
      </c>
      <c r="T4" s="1" t="s">
        <v>58</v>
      </c>
      <c r="U4" s="1" t="s">
        <v>58</v>
      </c>
      <c r="V4" s="1" t="s">
        <v>58</v>
      </c>
      <c r="W4" s="1" t="s">
        <v>58</v>
      </c>
      <c r="X4" s="1" t="s">
        <v>58</v>
      </c>
      <c r="Y4" s="1" t="s">
        <v>58</v>
      </c>
      <c r="Z4" s="1" t="s">
        <v>58</v>
      </c>
      <c r="AA4" s="1" t="s">
        <v>58</v>
      </c>
      <c r="AB4" s="1" t="s">
        <v>58</v>
      </c>
      <c r="AC4" s="1" t="s">
        <v>58</v>
      </c>
      <c r="AD4" s="1" t="s">
        <v>58</v>
      </c>
      <c r="AE4" s="1" t="s">
        <v>58</v>
      </c>
      <c r="AF4" s="1" t="s">
        <v>58</v>
      </c>
      <c r="AG4" s="1">
        <v>7</v>
      </c>
      <c r="AH4" s="1">
        <v>15</v>
      </c>
      <c r="AI4" s="1">
        <v>18</v>
      </c>
      <c r="AJ4" s="1">
        <f t="shared" si="0"/>
        <v>40</v>
      </c>
      <c r="AK4" s="1">
        <v>50</v>
      </c>
    </row>
    <row r="5" spans="1:37" ht="14.4">
      <c r="A5" s="1">
        <v>4</v>
      </c>
      <c r="B5" s="6">
        <v>2010992005</v>
      </c>
      <c r="C5" s="6" t="s">
        <v>64</v>
      </c>
      <c r="E5" t="s">
        <v>79</v>
      </c>
      <c r="F5" t="s">
        <v>82</v>
      </c>
      <c r="G5" s="7" t="s">
        <v>56</v>
      </c>
      <c r="H5" s="7" t="s">
        <v>80</v>
      </c>
      <c r="I5" s="7" t="s">
        <v>81</v>
      </c>
      <c r="J5" s="7">
        <v>2020</v>
      </c>
      <c r="K5" s="7">
        <v>3</v>
      </c>
      <c r="L5" s="1" t="s">
        <v>59</v>
      </c>
      <c r="M5" s="1" t="s">
        <v>58</v>
      </c>
      <c r="N5" s="1" t="s">
        <v>58</v>
      </c>
      <c r="O5" s="1" t="s">
        <v>58</v>
      </c>
      <c r="P5" s="1" t="s">
        <v>58</v>
      </c>
      <c r="Q5" s="1" t="s">
        <v>58</v>
      </c>
      <c r="R5" s="1" t="s">
        <v>58</v>
      </c>
      <c r="S5" s="1" t="s">
        <v>58</v>
      </c>
      <c r="T5" s="1" t="s">
        <v>58</v>
      </c>
      <c r="U5" s="1" t="s">
        <v>58</v>
      </c>
      <c r="V5" s="1" t="s">
        <v>58</v>
      </c>
      <c r="W5" s="1" t="s">
        <v>58</v>
      </c>
      <c r="X5" s="1" t="s">
        <v>58</v>
      </c>
      <c r="Y5" s="1" t="s">
        <v>58</v>
      </c>
      <c r="Z5" s="1" t="s">
        <v>58</v>
      </c>
      <c r="AA5" s="1" t="s">
        <v>58</v>
      </c>
      <c r="AB5" s="1" t="s">
        <v>58</v>
      </c>
      <c r="AC5" s="1" t="s">
        <v>58</v>
      </c>
      <c r="AD5" s="1" t="s">
        <v>58</v>
      </c>
      <c r="AE5" s="1" t="s">
        <v>58</v>
      </c>
      <c r="AF5" s="1" t="s">
        <v>58</v>
      </c>
      <c r="AG5">
        <v>10</v>
      </c>
      <c r="AH5">
        <v>17</v>
      </c>
      <c r="AI5">
        <v>18</v>
      </c>
      <c r="AJ5" s="1">
        <f t="shared" si="0"/>
        <v>45</v>
      </c>
      <c r="AK5" s="1">
        <v>50</v>
      </c>
    </row>
    <row r="6" spans="1:37" ht="15" customHeight="1">
      <c r="A6" s="1">
        <v>5</v>
      </c>
      <c r="B6" s="6">
        <v>2010992006</v>
      </c>
      <c r="C6" s="6" t="s">
        <v>65</v>
      </c>
      <c r="E6" t="s">
        <v>79</v>
      </c>
      <c r="F6" t="s">
        <v>82</v>
      </c>
      <c r="G6" s="7" t="s">
        <v>56</v>
      </c>
      <c r="H6" s="7" t="s">
        <v>80</v>
      </c>
      <c r="I6" s="7" t="s">
        <v>81</v>
      </c>
      <c r="J6" s="7">
        <v>2020</v>
      </c>
      <c r="K6" s="7">
        <v>3</v>
      </c>
      <c r="L6" s="1" t="s">
        <v>59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58</v>
      </c>
      <c r="AF6" s="1" t="s">
        <v>58</v>
      </c>
      <c r="AG6">
        <v>7</v>
      </c>
      <c r="AH6">
        <v>14</v>
      </c>
      <c r="AI6">
        <v>16</v>
      </c>
      <c r="AJ6" s="1">
        <f t="shared" si="0"/>
        <v>37</v>
      </c>
      <c r="AK6" s="1">
        <v>50</v>
      </c>
    </row>
    <row r="7" spans="1:37" ht="15" customHeight="1">
      <c r="A7" s="1">
        <v>6</v>
      </c>
      <c r="B7" s="6">
        <v>2010992008</v>
      </c>
      <c r="C7" s="6" t="s">
        <v>66</v>
      </c>
      <c r="E7" t="s">
        <v>79</v>
      </c>
      <c r="F7" t="s">
        <v>82</v>
      </c>
      <c r="G7" s="7" t="s">
        <v>56</v>
      </c>
      <c r="H7" s="7" t="s">
        <v>80</v>
      </c>
      <c r="I7" s="7" t="s">
        <v>81</v>
      </c>
      <c r="J7" s="7">
        <v>2020</v>
      </c>
      <c r="K7" s="7">
        <v>3</v>
      </c>
      <c r="L7" s="1" t="s">
        <v>59</v>
      </c>
      <c r="M7" s="1" t="s">
        <v>58</v>
      </c>
      <c r="N7" s="1" t="s">
        <v>58</v>
      </c>
      <c r="O7" s="1" t="s">
        <v>58</v>
      </c>
      <c r="P7" s="1" t="s">
        <v>58</v>
      </c>
      <c r="Q7" s="1" t="s">
        <v>58</v>
      </c>
      <c r="R7" s="1" t="s">
        <v>58</v>
      </c>
      <c r="S7" s="1" t="s">
        <v>58</v>
      </c>
      <c r="T7" s="1" t="s">
        <v>58</v>
      </c>
      <c r="U7" s="1" t="s">
        <v>58</v>
      </c>
      <c r="V7" s="1" t="s">
        <v>58</v>
      </c>
      <c r="W7" s="1" t="s">
        <v>58</v>
      </c>
      <c r="X7" s="1" t="s">
        <v>58</v>
      </c>
      <c r="Y7" s="1" t="s">
        <v>58</v>
      </c>
      <c r="Z7" s="1" t="s">
        <v>58</v>
      </c>
      <c r="AA7" s="1" t="s">
        <v>58</v>
      </c>
      <c r="AB7" s="1" t="s">
        <v>58</v>
      </c>
      <c r="AC7" s="1" t="s">
        <v>58</v>
      </c>
      <c r="AD7" s="1" t="s">
        <v>58</v>
      </c>
      <c r="AE7" s="1" t="s">
        <v>58</v>
      </c>
      <c r="AF7" s="1" t="s">
        <v>58</v>
      </c>
      <c r="AG7">
        <v>9</v>
      </c>
      <c r="AH7">
        <v>16</v>
      </c>
      <c r="AI7">
        <v>18</v>
      </c>
      <c r="AJ7" s="1">
        <f t="shared" si="0"/>
        <v>43</v>
      </c>
      <c r="AK7" s="1">
        <v>50</v>
      </c>
    </row>
    <row r="8" spans="1:37" ht="15" customHeight="1">
      <c r="A8" s="1">
        <v>7</v>
      </c>
      <c r="B8" s="6">
        <v>2010992009</v>
      </c>
      <c r="C8" s="6" t="s">
        <v>67</v>
      </c>
      <c r="E8" t="s">
        <v>79</v>
      </c>
      <c r="F8" t="s">
        <v>82</v>
      </c>
      <c r="G8" s="7" t="s">
        <v>56</v>
      </c>
      <c r="H8" s="7" t="s">
        <v>80</v>
      </c>
      <c r="I8" s="7" t="s">
        <v>81</v>
      </c>
      <c r="J8" s="7">
        <v>2020</v>
      </c>
      <c r="K8" s="7">
        <v>3</v>
      </c>
      <c r="L8" s="1" t="s">
        <v>59</v>
      </c>
      <c r="M8" s="1" t="s">
        <v>58</v>
      </c>
      <c r="N8" s="1" t="s">
        <v>58</v>
      </c>
      <c r="O8" s="1" t="s">
        <v>58</v>
      </c>
      <c r="P8" s="1" t="s">
        <v>58</v>
      </c>
      <c r="Q8" s="1" t="s">
        <v>58</v>
      </c>
      <c r="R8" s="1" t="s">
        <v>58</v>
      </c>
      <c r="S8" s="1" t="s">
        <v>58</v>
      </c>
      <c r="T8" s="1" t="s">
        <v>58</v>
      </c>
      <c r="U8" s="1" t="s">
        <v>58</v>
      </c>
      <c r="V8" s="1" t="s">
        <v>58</v>
      </c>
      <c r="W8" s="1" t="s">
        <v>58</v>
      </c>
      <c r="X8" s="1" t="s">
        <v>58</v>
      </c>
      <c r="Y8" s="1" t="s">
        <v>58</v>
      </c>
      <c r="Z8" s="1" t="s">
        <v>58</v>
      </c>
      <c r="AA8" s="1" t="s">
        <v>58</v>
      </c>
      <c r="AB8" s="1" t="s">
        <v>58</v>
      </c>
      <c r="AC8" s="1" t="s">
        <v>58</v>
      </c>
      <c r="AD8" s="1" t="s">
        <v>58</v>
      </c>
      <c r="AE8" s="1" t="s">
        <v>58</v>
      </c>
      <c r="AF8" s="1" t="s">
        <v>58</v>
      </c>
      <c r="AG8">
        <v>9</v>
      </c>
      <c r="AH8">
        <v>16</v>
      </c>
      <c r="AI8">
        <v>18</v>
      </c>
      <c r="AJ8" s="1">
        <f t="shared" si="0"/>
        <v>43</v>
      </c>
      <c r="AK8" s="1">
        <v>50</v>
      </c>
    </row>
    <row r="9" spans="1:37" ht="15" customHeight="1">
      <c r="A9" s="1">
        <v>8</v>
      </c>
      <c r="B9" s="6">
        <v>2010992010</v>
      </c>
      <c r="C9" s="6" t="s">
        <v>68</v>
      </c>
      <c r="E9" t="s">
        <v>79</v>
      </c>
      <c r="F9" t="s">
        <v>82</v>
      </c>
      <c r="G9" s="7" t="s">
        <v>56</v>
      </c>
      <c r="H9" s="7" t="s">
        <v>80</v>
      </c>
      <c r="I9" s="7" t="s">
        <v>81</v>
      </c>
      <c r="J9" s="7">
        <v>2020</v>
      </c>
      <c r="K9" s="7">
        <v>3</v>
      </c>
      <c r="L9" s="1" t="s">
        <v>59</v>
      </c>
      <c r="M9" s="1" t="s">
        <v>58</v>
      </c>
      <c r="N9" s="1" t="s">
        <v>58</v>
      </c>
      <c r="O9" s="1" t="s">
        <v>58</v>
      </c>
      <c r="P9" s="1" t="s">
        <v>58</v>
      </c>
      <c r="Q9" s="1" t="s">
        <v>58</v>
      </c>
      <c r="R9" s="1" t="s">
        <v>58</v>
      </c>
      <c r="S9" s="1" t="s">
        <v>58</v>
      </c>
      <c r="T9" s="1" t="s">
        <v>58</v>
      </c>
      <c r="U9" s="1" t="s">
        <v>58</v>
      </c>
      <c r="V9" s="1" t="s">
        <v>58</v>
      </c>
      <c r="W9" s="1" t="s">
        <v>58</v>
      </c>
      <c r="X9" s="1" t="s">
        <v>58</v>
      </c>
      <c r="Y9" s="1" t="s">
        <v>58</v>
      </c>
      <c r="Z9" s="1" t="s">
        <v>58</v>
      </c>
      <c r="AA9" s="1" t="s">
        <v>58</v>
      </c>
      <c r="AB9" s="1" t="s">
        <v>58</v>
      </c>
      <c r="AC9" s="1" t="s">
        <v>58</v>
      </c>
      <c r="AD9" s="1" t="s">
        <v>58</v>
      </c>
      <c r="AE9" s="1" t="s">
        <v>58</v>
      </c>
      <c r="AF9" s="1" t="s">
        <v>58</v>
      </c>
      <c r="AG9">
        <v>9</v>
      </c>
      <c r="AH9">
        <v>17</v>
      </c>
      <c r="AI9">
        <v>18</v>
      </c>
      <c r="AJ9" s="1">
        <f t="shared" si="0"/>
        <v>44</v>
      </c>
      <c r="AK9" s="1">
        <v>50</v>
      </c>
    </row>
    <row r="10" spans="1:37" ht="15" customHeight="1">
      <c r="A10" s="1">
        <v>9</v>
      </c>
      <c r="B10" s="6">
        <v>2010992011</v>
      </c>
      <c r="C10" s="6" t="s">
        <v>69</v>
      </c>
      <c r="E10" t="s">
        <v>79</v>
      </c>
      <c r="F10" t="s">
        <v>82</v>
      </c>
      <c r="G10" s="7" t="s">
        <v>56</v>
      </c>
      <c r="H10" s="7" t="s">
        <v>80</v>
      </c>
      <c r="I10" s="7" t="s">
        <v>81</v>
      </c>
      <c r="J10" s="7">
        <v>2020</v>
      </c>
      <c r="K10" s="7">
        <v>3</v>
      </c>
      <c r="L10" s="1" t="s">
        <v>59</v>
      </c>
      <c r="M10" s="1" t="s">
        <v>58</v>
      </c>
      <c r="N10" s="1" t="s">
        <v>58</v>
      </c>
      <c r="O10" s="1" t="s">
        <v>58</v>
      </c>
      <c r="P10" s="1" t="s">
        <v>58</v>
      </c>
      <c r="Q10" s="1" t="s">
        <v>58</v>
      </c>
      <c r="R10" s="1" t="s">
        <v>58</v>
      </c>
      <c r="S10" s="1" t="s">
        <v>58</v>
      </c>
      <c r="T10" s="1" t="s">
        <v>58</v>
      </c>
      <c r="U10" s="1" t="s">
        <v>58</v>
      </c>
      <c r="V10" s="1" t="s">
        <v>58</v>
      </c>
      <c r="W10" s="1" t="s">
        <v>58</v>
      </c>
      <c r="X10" s="1" t="s">
        <v>58</v>
      </c>
      <c r="Y10" s="1" t="s">
        <v>58</v>
      </c>
      <c r="Z10" s="1" t="s">
        <v>58</v>
      </c>
      <c r="AA10" s="1" t="s">
        <v>58</v>
      </c>
      <c r="AB10" s="1" t="s">
        <v>58</v>
      </c>
      <c r="AC10" s="1" t="s">
        <v>58</v>
      </c>
      <c r="AD10" s="1" t="s">
        <v>58</v>
      </c>
      <c r="AE10" s="1" t="s">
        <v>58</v>
      </c>
      <c r="AF10" s="1" t="s">
        <v>58</v>
      </c>
      <c r="AG10">
        <v>7</v>
      </c>
      <c r="AH10">
        <v>12</v>
      </c>
      <c r="AI10">
        <v>10</v>
      </c>
      <c r="AJ10" s="1">
        <f t="shared" si="0"/>
        <v>29</v>
      </c>
      <c r="AK10" s="1">
        <v>50</v>
      </c>
    </row>
    <row r="11" spans="1:37" ht="15" customHeight="1">
      <c r="A11" s="1">
        <v>10</v>
      </c>
      <c r="B11" s="6">
        <v>2010992012</v>
      </c>
      <c r="C11" s="6" t="s">
        <v>70</v>
      </c>
      <c r="E11" t="s">
        <v>79</v>
      </c>
      <c r="F11" t="s">
        <v>82</v>
      </c>
      <c r="G11" s="7" t="s">
        <v>56</v>
      </c>
      <c r="H11" s="7" t="s">
        <v>80</v>
      </c>
      <c r="I11" s="7" t="s">
        <v>81</v>
      </c>
      <c r="J11" s="7">
        <v>2020</v>
      </c>
      <c r="K11" s="7">
        <v>3</v>
      </c>
      <c r="L11" s="1" t="s">
        <v>59</v>
      </c>
      <c r="M11" s="1" t="s">
        <v>58</v>
      </c>
      <c r="N11" s="1" t="s">
        <v>58</v>
      </c>
      <c r="O11" s="1" t="s">
        <v>58</v>
      </c>
      <c r="P11" s="1" t="s">
        <v>58</v>
      </c>
      <c r="Q11" s="1" t="s">
        <v>58</v>
      </c>
      <c r="R11" s="1" t="s">
        <v>58</v>
      </c>
      <c r="S11" s="1" t="s">
        <v>58</v>
      </c>
      <c r="T11" s="1" t="s">
        <v>58</v>
      </c>
      <c r="U11" s="1" t="s">
        <v>58</v>
      </c>
      <c r="V11" s="1" t="s">
        <v>58</v>
      </c>
      <c r="W11" s="1" t="s">
        <v>58</v>
      </c>
      <c r="X11" s="1" t="s">
        <v>58</v>
      </c>
      <c r="Y11" s="1" t="s">
        <v>58</v>
      </c>
      <c r="Z11" s="1" t="s">
        <v>58</v>
      </c>
      <c r="AA11" s="1" t="s">
        <v>58</v>
      </c>
      <c r="AB11" s="1" t="s">
        <v>58</v>
      </c>
      <c r="AC11" s="1" t="s">
        <v>58</v>
      </c>
      <c r="AD11" s="1" t="s">
        <v>58</v>
      </c>
      <c r="AE11" s="1" t="s">
        <v>58</v>
      </c>
      <c r="AF11" s="1" t="s">
        <v>58</v>
      </c>
      <c r="AG11">
        <v>10</v>
      </c>
      <c r="AH11">
        <v>16</v>
      </c>
      <c r="AI11">
        <v>18</v>
      </c>
      <c r="AJ11" s="1">
        <f t="shared" si="0"/>
        <v>44</v>
      </c>
      <c r="AK11" s="1">
        <v>50</v>
      </c>
    </row>
    <row r="12" spans="1:37" ht="15" customHeight="1">
      <c r="A12" s="1">
        <v>11</v>
      </c>
      <c r="B12" s="6">
        <v>2010992014</v>
      </c>
      <c r="C12" s="6" t="s">
        <v>71</v>
      </c>
      <c r="E12" t="s">
        <v>79</v>
      </c>
      <c r="F12" t="s">
        <v>82</v>
      </c>
      <c r="G12" s="7" t="s">
        <v>56</v>
      </c>
      <c r="H12" s="7" t="s">
        <v>80</v>
      </c>
      <c r="I12" s="7" t="s">
        <v>81</v>
      </c>
      <c r="J12" s="7">
        <v>2020</v>
      </c>
      <c r="K12" s="7">
        <v>3</v>
      </c>
      <c r="L12" s="1" t="s">
        <v>59</v>
      </c>
      <c r="M12" s="1" t="s">
        <v>58</v>
      </c>
      <c r="N12" s="1" t="s">
        <v>58</v>
      </c>
      <c r="O12" s="1" t="s">
        <v>58</v>
      </c>
      <c r="P12" s="1" t="s">
        <v>58</v>
      </c>
      <c r="Q12" s="1" t="s">
        <v>58</v>
      </c>
      <c r="R12" s="1" t="s">
        <v>58</v>
      </c>
      <c r="S12" s="1" t="s">
        <v>58</v>
      </c>
      <c r="T12" s="1" t="s">
        <v>58</v>
      </c>
      <c r="U12" s="1" t="s">
        <v>58</v>
      </c>
      <c r="V12" s="1" t="s">
        <v>58</v>
      </c>
      <c r="W12" s="1" t="s">
        <v>58</v>
      </c>
      <c r="X12" s="1" t="s">
        <v>58</v>
      </c>
      <c r="Y12" s="1" t="s">
        <v>58</v>
      </c>
      <c r="Z12" s="1" t="s">
        <v>58</v>
      </c>
      <c r="AA12" s="1" t="s">
        <v>58</v>
      </c>
      <c r="AB12" s="1" t="s">
        <v>58</v>
      </c>
      <c r="AC12" s="1" t="s">
        <v>58</v>
      </c>
      <c r="AD12" s="1" t="s">
        <v>58</v>
      </c>
      <c r="AE12" s="1" t="s">
        <v>58</v>
      </c>
      <c r="AF12" s="1" t="s">
        <v>58</v>
      </c>
      <c r="AG12">
        <v>9</v>
      </c>
      <c r="AH12">
        <v>18</v>
      </c>
      <c r="AI12">
        <v>16</v>
      </c>
      <c r="AJ12" s="1">
        <f t="shared" si="0"/>
        <v>43</v>
      </c>
      <c r="AK12" s="1">
        <v>50</v>
      </c>
    </row>
    <row r="13" spans="1:37" ht="15" customHeight="1">
      <c r="A13" s="1">
        <v>12</v>
      </c>
      <c r="B13" s="6">
        <v>2010992015</v>
      </c>
      <c r="C13" s="6" t="s">
        <v>72</v>
      </c>
      <c r="E13" t="s">
        <v>79</v>
      </c>
      <c r="F13" t="s">
        <v>82</v>
      </c>
      <c r="G13" s="7" t="s">
        <v>56</v>
      </c>
      <c r="H13" s="7" t="s">
        <v>80</v>
      </c>
      <c r="I13" s="7" t="s">
        <v>81</v>
      </c>
      <c r="J13" s="7">
        <v>2020</v>
      </c>
      <c r="K13" s="7">
        <v>3</v>
      </c>
      <c r="L13" s="1" t="s">
        <v>59</v>
      </c>
      <c r="M13" s="1" t="s">
        <v>58</v>
      </c>
      <c r="N13" s="1" t="s">
        <v>58</v>
      </c>
      <c r="O13" s="1" t="s">
        <v>58</v>
      </c>
      <c r="P13" s="1" t="s">
        <v>58</v>
      </c>
      <c r="Q13" s="1" t="s">
        <v>58</v>
      </c>
      <c r="R13" s="1" t="s">
        <v>58</v>
      </c>
      <c r="S13" s="1" t="s">
        <v>58</v>
      </c>
      <c r="T13" s="1" t="s">
        <v>58</v>
      </c>
      <c r="U13" s="1" t="s">
        <v>58</v>
      </c>
      <c r="V13" s="1" t="s">
        <v>58</v>
      </c>
      <c r="W13" s="1" t="s">
        <v>58</v>
      </c>
      <c r="X13" s="1" t="s">
        <v>58</v>
      </c>
      <c r="Y13" s="1" t="s">
        <v>58</v>
      </c>
      <c r="Z13" s="1" t="s">
        <v>58</v>
      </c>
      <c r="AA13" s="1" t="s">
        <v>58</v>
      </c>
      <c r="AB13" s="1" t="s">
        <v>58</v>
      </c>
      <c r="AC13" s="1" t="s">
        <v>58</v>
      </c>
      <c r="AD13" s="1" t="s">
        <v>58</v>
      </c>
      <c r="AE13" s="1" t="s">
        <v>58</v>
      </c>
      <c r="AF13" s="1" t="s">
        <v>58</v>
      </c>
      <c r="AG13">
        <v>7</v>
      </c>
      <c r="AH13">
        <v>14</v>
      </c>
      <c r="AI13">
        <v>14</v>
      </c>
      <c r="AJ13" s="1">
        <f t="shared" si="0"/>
        <v>35</v>
      </c>
      <c r="AK13" s="1">
        <v>50</v>
      </c>
    </row>
    <row r="14" spans="1:37" ht="15" customHeight="1">
      <c r="A14" s="1">
        <v>13</v>
      </c>
      <c r="B14" s="6">
        <v>2010992016</v>
      </c>
      <c r="C14" s="6" t="s">
        <v>73</v>
      </c>
      <c r="E14" t="s">
        <v>79</v>
      </c>
      <c r="F14" t="s">
        <v>82</v>
      </c>
      <c r="G14" s="7" t="s">
        <v>56</v>
      </c>
      <c r="H14" s="7" t="s">
        <v>80</v>
      </c>
      <c r="I14" s="7" t="s">
        <v>81</v>
      </c>
      <c r="J14" s="7">
        <v>2020</v>
      </c>
      <c r="K14" s="7">
        <v>3</v>
      </c>
      <c r="L14" s="1" t="s">
        <v>59</v>
      </c>
      <c r="M14" s="1" t="s">
        <v>58</v>
      </c>
      <c r="N14" s="1" t="s">
        <v>58</v>
      </c>
      <c r="O14" s="1" t="s">
        <v>58</v>
      </c>
      <c r="P14" s="1" t="s">
        <v>58</v>
      </c>
      <c r="Q14" s="1" t="s">
        <v>58</v>
      </c>
      <c r="R14" s="1" t="s">
        <v>58</v>
      </c>
      <c r="S14" s="1" t="s">
        <v>58</v>
      </c>
      <c r="T14" s="1" t="s">
        <v>58</v>
      </c>
      <c r="U14" s="1" t="s">
        <v>58</v>
      </c>
      <c r="V14" s="1" t="s">
        <v>58</v>
      </c>
      <c r="W14" s="1" t="s">
        <v>58</v>
      </c>
      <c r="X14" s="1" t="s">
        <v>58</v>
      </c>
      <c r="Y14" s="1" t="s">
        <v>58</v>
      </c>
      <c r="Z14" s="1" t="s">
        <v>58</v>
      </c>
      <c r="AA14" s="1" t="s">
        <v>58</v>
      </c>
      <c r="AB14" s="1" t="s">
        <v>58</v>
      </c>
      <c r="AC14" s="1" t="s">
        <v>58</v>
      </c>
      <c r="AD14" s="1" t="s">
        <v>58</v>
      </c>
      <c r="AE14" s="1" t="s">
        <v>58</v>
      </c>
      <c r="AF14" s="1" t="s">
        <v>58</v>
      </c>
      <c r="AG14">
        <v>10</v>
      </c>
      <c r="AH14">
        <v>11</v>
      </c>
      <c r="AI14">
        <v>10</v>
      </c>
      <c r="AJ14" s="1">
        <f t="shared" si="0"/>
        <v>31</v>
      </c>
      <c r="AK14" s="1">
        <v>50</v>
      </c>
    </row>
    <row r="15" spans="1:37" ht="15" customHeight="1">
      <c r="A15" s="1">
        <v>14</v>
      </c>
      <c r="B15" s="6">
        <v>2010992017</v>
      </c>
      <c r="C15" s="6" t="s">
        <v>74</v>
      </c>
      <c r="E15" t="s">
        <v>79</v>
      </c>
      <c r="F15" t="s">
        <v>82</v>
      </c>
      <c r="G15" s="7" t="s">
        <v>56</v>
      </c>
      <c r="H15" s="7" t="s">
        <v>80</v>
      </c>
      <c r="I15" s="7" t="s">
        <v>81</v>
      </c>
      <c r="J15" s="7">
        <v>2020</v>
      </c>
      <c r="K15" s="7">
        <v>3</v>
      </c>
      <c r="L15" s="1" t="s">
        <v>59</v>
      </c>
      <c r="M15" s="1" t="s">
        <v>58</v>
      </c>
      <c r="N15" s="1" t="s">
        <v>58</v>
      </c>
      <c r="O15" s="1" t="s">
        <v>58</v>
      </c>
      <c r="P15" s="1" t="s">
        <v>58</v>
      </c>
      <c r="Q15" s="1" t="s">
        <v>58</v>
      </c>
      <c r="R15" s="1" t="s">
        <v>58</v>
      </c>
      <c r="S15" s="1" t="s">
        <v>58</v>
      </c>
      <c r="T15" s="1" t="s">
        <v>58</v>
      </c>
      <c r="U15" s="1" t="s">
        <v>58</v>
      </c>
      <c r="V15" s="1" t="s">
        <v>58</v>
      </c>
      <c r="W15" s="1" t="s">
        <v>58</v>
      </c>
      <c r="X15" s="1" t="s">
        <v>58</v>
      </c>
      <c r="Y15" s="1" t="s">
        <v>58</v>
      </c>
      <c r="Z15" s="1" t="s">
        <v>58</v>
      </c>
      <c r="AA15" s="1" t="s">
        <v>58</v>
      </c>
      <c r="AB15" s="1" t="s">
        <v>58</v>
      </c>
      <c r="AC15" s="1" t="s">
        <v>58</v>
      </c>
      <c r="AD15" s="1" t="s">
        <v>58</v>
      </c>
      <c r="AE15" s="1" t="s">
        <v>58</v>
      </c>
      <c r="AF15" s="1" t="s">
        <v>58</v>
      </c>
      <c r="AG15">
        <v>7</v>
      </c>
      <c r="AH15">
        <v>17</v>
      </c>
      <c r="AI15">
        <v>16</v>
      </c>
      <c r="AJ15" s="1">
        <f t="shared" si="0"/>
        <v>40</v>
      </c>
      <c r="AK15" s="1">
        <v>50</v>
      </c>
    </row>
    <row r="16" spans="1:37" ht="15" customHeight="1">
      <c r="A16" s="1">
        <v>15</v>
      </c>
      <c r="B16" s="6">
        <v>2010992018</v>
      </c>
      <c r="C16" s="6" t="s">
        <v>75</v>
      </c>
      <c r="E16" t="s">
        <v>79</v>
      </c>
      <c r="F16" t="s">
        <v>82</v>
      </c>
      <c r="G16" s="7" t="s">
        <v>56</v>
      </c>
      <c r="H16" s="7" t="s">
        <v>80</v>
      </c>
      <c r="I16" s="7" t="s">
        <v>81</v>
      </c>
      <c r="J16" s="7">
        <v>2020</v>
      </c>
      <c r="K16" s="7">
        <v>3</v>
      </c>
      <c r="L16" s="1" t="s">
        <v>59</v>
      </c>
      <c r="M16" s="1" t="s">
        <v>58</v>
      </c>
      <c r="N16" s="1" t="s">
        <v>58</v>
      </c>
      <c r="O16" s="1" t="s">
        <v>58</v>
      </c>
      <c r="P16" s="1" t="s">
        <v>58</v>
      </c>
      <c r="Q16" s="1" t="s">
        <v>58</v>
      </c>
      <c r="R16" s="1" t="s">
        <v>58</v>
      </c>
      <c r="S16" s="1" t="s">
        <v>58</v>
      </c>
      <c r="T16" s="1" t="s">
        <v>58</v>
      </c>
      <c r="U16" s="1" t="s">
        <v>58</v>
      </c>
      <c r="V16" s="1" t="s">
        <v>58</v>
      </c>
      <c r="W16" s="1" t="s">
        <v>58</v>
      </c>
      <c r="X16" s="1" t="s">
        <v>58</v>
      </c>
      <c r="Y16" s="1" t="s">
        <v>58</v>
      </c>
      <c r="Z16" s="1" t="s">
        <v>58</v>
      </c>
      <c r="AA16" s="1" t="s">
        <v>58</v>
      </c>
      <c r="AB16" s="1" t="s">
        <v>58</v>
      </c>
      <c r="AC16" s="1" t="s">
        <v>58</v>
      </c>
      <c r="AD16" s="1" t="s">
        <v>58</v>
      </c>
      <c r="AE16" s="1" t="s">
        <v>58</v>
      </c>
      <c r="AF16" s="1" t="s">
        <v>58</v>
      </c>
      <c r="AG16">
        <v>10</v>
      </c>
      <c r="AH16">
        <v>17</v>
      </c>
      <c r="AI16">
        <v>16</v>
      </c>
      <c r="AJ16" s="1">
        <f t="shared" si="0"/>
        <v>43</v>
      </c>
      <c r="AK16" s="1">
        <v>50</v>
      </c>
    </row>
    <row r="17" spans="1:37" ht="15" customHeight="1">
      <c r="A17" s="1">
        <v>16</v>
      </c>
      <c r="B17" s="6">
        <v>2010992019</v>
      </c>
      <c r="C17" s="6" t="s">
        <v>76</v>
      </c>
      <c r="E17" t="s">
        <v>79</v>
      </c>
      <c r="F17" t="s">
        <v>82</v>
      </c>
      <c r="G17" s="7" t="s">
        <v>56</v>
      </c>
      <c r="H17" s="7" t="s">
        <v>80</v>
      </c>
      <c r="I17" s="7" t="s">
        <v>81</v>
      </c>
      <c r="J17" s="7">
        <v>2020</v>
      </c>
      <c r="K17" s="7">
        <v>3</v>
      </c>
      <c r="L17" s="1" t="s">
        <v>59</v>
      </c>
      <c r="M17" s="1" t="s">
        <v>58</v>
      </c>
      <c r="N17" s="1" t="s">
        <v>58</v>
      </c>
      <c r="O17" s="1" t="s">
        <v>58</v>
      </c>
      <c r="P17" s="1" t="s">
        <v>58</v>
      </c>
      <c r="Q17" s="1" t="s">
        <v>58</v>
      </c>
      <c r="R17" s="1" t="s">
        <v>58</v>
      </c>
      <c r="S17" s="1" t="s">
        <v>58</v>
      </c>
      <c r="T17" s="1" t="s">
        <v>58</v>
      </c>
      <c r="U17" s="1" t="s">
        <v>58</v>
      </c>
      <c r="V17" s="1" t="s">
        <v>58</v>
      </c>
      <c r="W17" s="1" t="s">
        <v>58</v>
      </c>
      <c r="X17" s="1" t="s">
        <v>58</v>
      </c>
      <c r="Y17" s="1" t="s">
        <v>58</v>
      </c>
      <c r="Z17" s="1" t="s">
        <v>58</v>
      </c>
      <c r="AA17" s="1" t="s">
        <v>58</v>
      </c>
      <c r="AB17" s="1" t="s">
        <v>58</v>
      </c>
      <c r="AC17" s="1" t="s">
        <v>58</v>
      </c>
      <c r="AD17" s="1" t="s">
        <v>58</v>
      </c>
      <c r="AE17" s="1" t="s">
        <v>58</v>
      </c>
      <c r="AF17" s="1" t="s">
        <v>58</v>
      </c>
      <c r="AG17">
        <v>10</v>
      </c>
      <c r="AH17">
        <v>16</v>
      </c>
      <c r="AI17">
        <v>16</v>
      </c>
      <c r="AJ17" s="1">
        <f t="shared" si="0"/>
        <v>42</v>
      </c>
      <c r="AK17" s="1">
        <v>50</v>
      </c>
    </row>
    <row r="18" spans="1:37" ht="15" customHeight="1">
      <c r="A18" s="1">
        <v>17</v>
      </c>
      <c r="B18" s="6">
        <v>2010992163</v>
      </c>
      <c r="C18" s="6" t="s">
        <v>77</v>
      </c>
      <c r="E18" t="s">
        <v>79</v>
      </c>
      <c r="F18" t="s">
        <v>82</v>
      </c>
      <c r="G18" s="7" t="s">
        <v>56</v>
      </c>
      <c r="H18" s="7" t="s">
        <v>80</v>
      </c>
      <c r="I18" s="7" t="s">
        <v>81</v>
      </c>
      <c r="J18" s="7">
        <v>2020</v>
      </c>
      <c r="K18" s="7">
        <v>3</v>
      </c>
      <c r="L18" s="1" t="s">
        <v>59</v>
      </c>
      <c r="M18" s="1" t="s">
        <v>58</v>
      </c>
      <c r="N18" s="1" t="s">
        <v>58</v>
      </c>
      <c r="O18" s="1" t="s">
        <v>58</v>
      </c>
      <c r="P18" s="1" t="s">
        <v>58</v>
      </c>
      <c r="Q18" s="1" t="s">
        <v>58</v>
      </c>
      <c r="R18" s="1" t="s">
        <v>58</v>
      </c>
      <c r="S18" s="1" t="s">
        <v>58</v>
      </c>
      <c r="T18" s="1" t="s">
        <v>58</v>
      </c>
      <c r="U18" s="1" t="s">
        <v>58</v>
      </c>
      <c r="V18" s="1" t="s">
        <v>58</v>
      </c>
      <c r="W18" s="1" t="s">
        <v>58</v>
      </c>
      <c r="X18" s="1" t="s">
        <v>58</v>
      </c>
      <c r="Y18" s="1" t="s">
        <v>58</v>
      </c>
      <c r="Z18" s="1" t="s">
        <v>58</v>
      </c>
      <c r="AA18" s="1" t="s">
        <v>58</v>
      </c>
      <c r="AB18" s="1" t="s">
        <v>58</v>
      </c>
      <c r="AC18" s="1" t="s">
        <v>58</v>
      </c>
      <c r="AD18" s="1" t="s">
        <v>58</v>
      </c>
      <c r="AE18" s="1" t="s">
        <v>58</v>
      </c>
      <c r="AF18" s="1" t="s">
        <v>58</v>
      </c>
      <c r="AG18">
        <v>10</v>
      </c>
      <c r="AH18">
        <v>16</v>
      </c>
      <c r="AI18">
        <v>14</v>
      </c>
      <c r="AJ18" s="1">
        <f t="shared" si="0"/>
        <v>40</v>
      </c>
      <c r="AK18" s="1">
        <v>50</v>
      </c>
    </row>
    <row r="19" spans="1:37" ht="15" customHeight="1">
      <c r="A19" s="1">
        <v>18</v>
      </c>
      <c r="B19" s="6">
        <v>2010992202</v>
      </c>
      <c r="C19" s="6" t="s">
        <v>78</v>
      </c>
      <c r="E19" t="s">
        <v>79</v>
      </c>
      <c r="F19" t="s">
        <v>82</v>
      </c>
      <c r="G19" s="7" t="s">
        <v>56</v>
      </c>
      <c r="H19" s="7" t="s">
        <v>80</v>
      </c>
      <c r="I19" s="7" t="s">
        <v>81</v>
      </c>
      <c r="J19" s="7">
        <v>2020</v>
      </c>
      <c r="K19" s="7">
        <v>3</v>
      </c>
      <c r="L19" s="1" t="s">
        <v>59</v>
      </c>
      <c r="M19" s="1" t="s">
        <v>58</v>
      </c>
      <c r="N19" s="1" t="s">
        <v>58</v>
      </c>
      <c r="O19" s="1" t="s">
        <v>58</v>
      </c>
      <c r="P19" s="1" t="s">
        <v>58</v>
      </c>
      <c r="Q19" s="1" t="s">
        <v>58</v>
      </c>
      <c r="R19" s="1" t="s">
        <v>58</v>
      </c>
      <c r="S19" s="1" t="s">
        <v>58</v>
      </c>
      <c r="T19" s="1" t="s">
        <v>58</v>
      </c>
      <c r="U19" s="1" t="s">
        <v>58</v>
      </c>
      <c r="V19" s="1" t="s">
        <v>58</v>
      </c>
      <c r="W19" s="1" t="s">
        <v>58</v>
      </c>
      <c r="X19" s="1" t="s">
        <v>58</v>
      </c>
      <c r="Y19" s="1" t="s">
        <v>58</v>
      </c>
      <c r="Z19" s="1" t="s">
        <v>58</v>
      </c>
      <c r="AA19" s="1" t="s">
        <v>58</v>
      </c>
      <c r="AB19" s="1" t="s">
        <v>58</v>
      </c>
      <c r="AC19" s="1" t="s">
        <v>58</v>
      </c>
      <c r="AD19" s="1" t="s">
        <v>58</v>
      </c>
      <c r="AE19" s="1" t="s">
        <v>58</v>
      </c>
      <c r="AF19" s="1" t="s">
        <v>58</v>
      </c>
      <c r="AG19">
        <v>7</v>
      </c>
      <c r="AH19">
        <v>17</v>
      </c>
      <c r="AI19">
        <v>16</v>
      </c>
      <c r="AJ19" s="1">
        <f t="shared" si="0"/>
        <v>40</v>
      </c>
      <c r="AK19" s="1">
        <v>50</v>
      </c>
    </row>
    <row r="21" spans="1:37" ht="15.75" customHeight="1"/>
    <row r="22" spans="1:37" ht="15.75" customHeight="1"/>
    <row r="23" spans="1:37" ht="15.75" customHeight="1"/>
    <row r="24" spans="1:37" ht="15.75" customHeight="1"/>
    <row r="25" spans="1:37" ht="15.75" customHeight="1"/>
    <row r="26" spans="1:37" ht="15.75" customHeight="1"/>
    <row r="27" spans="1:37" ht="15.75" customHeight="1"/>
    <row r="28" spans="1:37" ht="15.75" customHeight="1"/>
    <row r="29" spans="1:37" ht="15.75" customHeight="1"/>
    <row r="30" spans="1:37" ht="15.75" customHeight="1"/>
    <row r="31" spans="1:37" ht="15.75" customHeight="1"/>
    <row r="32" spans="1:3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>
      <pane ySplit="1" topLeftCell="A2" activePane="bottomLeft" state="frozen"/>
      <selection pane="bottomLeft" activeCell="A22" sqref="A22:XFD25"/>
    </sheetView>
  </sheetViews>
  <sheetFormatPr defaultColWidth="12.6640625" defaultRowHeight="15" customHeight="1"/>
  <cols>
    <col min="1" max="1" width="11.33203125" customWidth="1"/>
    <col min="2" max="2" width="17.6640625" customWidth="1"/>
    <col min="3" max="8" width="12.44140625" customWidth="1"/>
    <col min="9" max="26" width="8.6640625" customWidth="1"/>
  </cols>
  <sheetData>
    <row r="1" spans="1:8" ht="14.4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4" t="s">
        <v>18</v>
      </c>
    </row>
    <row r="2" spans="1:8" ht="14.4">
      <c r="A2" s="5" t="s">
        <v>19</v>
      </c>
      <c r="B2" s="5">
        <v>0</v>
      </c>
      <c r="C2" s="5" t="b">
        <v>0</v>
      </c>
      <c r="D2" s="5" t="b">
        <v>0</v>
      </c>
      <c r="E2" s="5" t="b">
        <v>0</v>
      </c>
      <c r="F2" s="5" t="b">
        <v>0</v>
      </c>
      <c r="G2" s="5" t="b">
        <v>0</v>
      </c>
      <c r="H2" s="5" t="b">
        <v>0</v>
      </c>
    </row>
    <row r="3" spans="1:8" ht="14.4">
      <c r="A3" s="5" t="s">
        <v>20</v>
      </c>
      <c r="B3" s="5">
        <v>0</v>
      </c>
      <c r="C3" s="5" t="b">
        <v>0</v>
      </c>
      <c r="D3" s="5" t="b">
        <v>0</v>
      </c>
      <c r="E3" s="5" t="b">
        <v>0</v>
      </c>
      <c r="F3" s="5" t="b">
        <v>0</v>
      </c>
      <c r="G3" s="5" t="b">
        <v>0</v>
      </c>
      <c r="H3" s="5" t="b">
        <v>0</v>
      </c>
    </row>
    <row r="4" spans="1:8" ht="14.4">
      <c r="A4" s="5" t="s">
        <v>21</v>
      </c>
      <c r="B4" s="5">
        <v>0</v>
      </c>
      <c r="C4" s="5" t="b">
        <v>0</v>
      </c>
      <c r="D4" s="5" t="b">
        <v>0</v>
      </c>
      <c r="E4" s="5" t="b">
        <v>0</v>
      </c>
      <c r="F4" s="5" t="b">
        <v>0</v>
      </c>
      <c r="G4" s="5" t="b">
        <v>0</v>
      </c>
      <c r="H4" s="5" t="b">
        <v>0</v>
      </c>
    </row>
    <row r="5" spans="1:8" ht="14.4">
      <c r="A5" s="5" t="s">
        <v>22</v>
      </c>
      <c r="B5" s="5">
        <v>0</v>
      </c>
      <c r="C5" s="5" t="b">
        <v>0</v>
      </c>
      <c r="D5" s="5" t="b">
        <v>0</v>
      </c>
      <c r="E5" s="5" t="b">
        <v>0</v>
      </c>
      <c r="F5" s="5" t="b">
        <v>0</v>
      </c>
      <c r="G5" s="5" t="b">
        <v>0</v>
      </c>
      <c r="H5" s="5" t="b">
        <v>0</v>
      </c>
    </row>
    <row r="6" spans="1:8" ht="14.4">
      <c r="A6" s="5" t="s">
        <v>23</v>
      </c>
      <c r="B6" s="5">
        <v>0</v>
      </c>
      <c r="C6" s="5" t="b">
        <v>0</v>
      </c>
      <c r="D6" s="5" t="b">
        <v>0</v>
      </c>
      <c r="E6" s="5" t="b">
        <v>0</v>
      </c>
      <c r="F6" s="5" t="b">
        <v>0</v>
      </c>
      <c r="G6" s="5" t="b">
        <v>0</v>
      </c>
      <c r="H6" s="5" t="b">
        <v>0</v>
      </c>
    </row>
    <row r="7" spans="1:8" ht="14.4">
      <c r="A7" s="5" t="s">
        <v>24</v>
      </c>
      <c r="B7" s="5">
        <v>0</v>
      </c>
      <c r="C7" s="5" t="b">
        <v>0</v>
      </c>
      <c r="D7" s="5" t="b">
        <v>0</v>
      </c>
      <c r="E7" s="5" t="b">
        <v>0</v>
      </c>
      <c r="F7" s="5" t="b">
        <v>0</v>
      </c>
      <c r="G7" s="5" t="b">
        <v>0</v>
      </c>
      <c r="H7" s="5" t="b">
        <v>0</v>
      </c>
    </row>
    <row r="8" spans="1:8" ht="14.4">
      <c r="A8" s="5" t="s">
        <v>25</v>
      </c>
      <c r="B8" s="5">
        <v>0</v>
      </c>
      <c r="C8" s="5" t="b">
        <v>0</v>
      </c>
      <c r="D8" s="5" t="b">
        <v>0</v>
      </c>
      <c r="E8" s="5" t="b">
        <v>0</v>
      </c>
      <c r="F8" s="5" t="b">
        <v>0</v>
      </c>
      <c r="G8" s="5" t="b">
        <v>0</v>
      </c>
      <c r="H8" s="5" t="b">
        <v>0</v>
      </c>
    </row>
    <row r="9" spans="1:8" ht="14.4">
      <c r="A9" s="5" t="s">
        <v>26</v>
      </c>
      <c r="B9" s="5">
        <v>0</v>
      </c>
      <c r="C9" s="5" t="b">
        <v>0</v>
      </c>
      <c r="D9" s="5" t="b">
        <v>0</v>
      </c>
      <c r="E9" s="5" t="b">
        <v>0</v>
      </c>
      <c r="F9" s="5" t="b">
        <v>0</v>
      </c>
      <c r="G9" s="5" t="b">
        <v>0</v>
      </c>
      <c r="H9" s="5" t="b">
        <v>0</v>
      </c>
    </row>
    <row r="10" spans="1:8" ht="14.4">
      <c r="A10" s="5" t="s">
        <v>27</v>
      </c>
      <c r="B10" s="5">
        <v>0</v>
      </c>
      <c r="C10" s="5" t="b">
        <v>0</v>
      </c>
      <c r="D10" s="5" t="b">
        <v>0</v>
      </c>
      <c r="E10" s="5" t="b">
        <v>0</v>
      </c>
      <c r="F10" s="5" t="b">
        <v>0</v>
      </c>
      <c r="G10" s="5" t="b">
        <v>0</v>
      </c>
      <c r="H10" s="5" t="b">
        <v>0</v>
      </c>
    </row>
    <row r="11" spans="1:8" ht="14.4">
      <c r="A11" s="5" t="s">
        <v>28</v>
      </c>
      <c r="B11" s="5">
        <v>0</v>
      </c>
      <c r="C11" s="5" t="b">
        <v>0</v>
      </c>
      <c r="D11" s="5" t="b">
        <v>0</v>
      </c>
      <c r="E11" s="5" t="b">
        <v>0</v>
      </c>
      <c r="F11" s="5" t="b">
        <v>0</v>
      </c>
      <c r="G11" s="5" t="b">
        <v>0</v>
      </c>
      <c r="H11" s="5" t="b">
        <v>0</v>
      </c>
    </row>
    <row r="12" spans="1:8" ht="14.4">
      <c r="A12" s="5" t="s">
        <v>29</v>
      </c>
      <c r="B12" s="5">
        <v>0</v>
      </c>
      <c r="C12" s="5" t="b">
        <v>0</v>
      </c>
      <c r="D12" s="5" t="b">
        <v>0</v>
      </c>
      <c r="E12" s="5" t="b">
        <v>0</v>
      </c>
      <c r="F12" s="5" t="b">
        <v>0</v>
      </c>
      <c r="G12" s="5" t="b">
        <v>0</v>
      </c>
      <c r="H12" s="5" t="b">
        <v>0</v>
      </c>
    </row>
    <row r="13" spans="1:8" ht="14.4">
      <c r="A13" s="5" t="s">
        <v>30</v>
      </c>
      <c r="B13" s="5">
        <v>0</v>
      </c>
      <c r="C13" s="5" t="b">
        <v>0</v>
      </c>
      <c r="D13" s="5" t="b">
        <v>0</v>
      </c>
      <c r="E13" s="5" t="b">
        <v>0</v>
      </c>
      <c r="F13" s="5" t="b">
        <v>0</v>
      </c>
      <c r="G13" s="5" t="b">
        <v>0</v>
      </c>
      <c r="H13" s="5" t="b">
        <v>0</v>
      </c>
    </row>
    <row r="14" spans="1:8" ht="14.4">
      <c r="A14" s="5" t="s">
        <v>31</v>
      </c>
      <c r="B14" s="5">
        <v>0</v>
      </c>
      <c r="C14" s="5" t="b">
        <v>0</v>
      </c>
      <c r="D14" s="5" t="b">
        <v>0</v>
      </c>
      <c r="E14" s="5" t="b">
        <v>0</v>
      </c>
      <c r="F14" s="5" t="b">
        <v>0</v>
      </c>
      <c r="G14" s="5" t="b">
        <v>0</v>
      </c>
      <c r="H14" s="5" t="b">
        <v>0</v>
      </c>
    </row>
    <row r="15" spans="1:8" ht="14.4">
      <c r="A15" s="5" t="s">
        <v>32</v>
      </c>
      <c r="B15" s="5">
        <v>0</v>
      </c>
      <c r="C15" s="5" t="b">
        <v>0</v>
      </c>
      <c r="D15" s="5" t="b">
        <v>0</v>
      </c>
      <c r="E15" s="5" t="b">
        <v>0</v>
      </c>
      <c r="F15" s="5" t="b">
        <v>0</v>
      </c>
      <c r="G15" s="5" t="b">
        <v>0</v>
      </c>
      <c r="H15" s="5" t="b">
        <v>0</v>
      </c>
    </row>
    <row r="16" spans="1:8" ht="14.4">
      <c r="A16" s="5" t="s">
        <v>33</v>
      </c>
      <c r="B16" s="5">
        <v>0</v>
      </c>
      <c r="C16" s="5" t="b">
        <v>0</v>
      </c>
      <c r="D16" s="5" t="b">
        <v>0</v>
      </c>
      <c r="E16" s="5" t="b">
        <v>0</v>
      </c>
      <c r="F16" s="5" t="b">
        <v>0</v>
      </c>
      <c r="G16" s="5" t="b">
        <v>0</v>
      </c>
      <c r="H16" s="5" t="b">
        <v>0</v>
      </c>
    </row>
    <row r="17" spans="1:8" ht="14.4">
      <c r="A17" s="5" t="s">
        <v>34</v>
      </c>
      <c r="B17" s="5">
        <v>0</v>
      </c>
      <c r="C17" s="5" t="b">
        <v>0</v>
      </c>
      <c r="D17" s="5" t="b">
        <v>0</v>
      </c>
      <c r="E17" s="5" t="b">
        <v>0</v>
      </c>
      <c r="F17" s="5" t="b">
        <v>0</v>
      </c>
      <c r="G17" s="5" t="b">
        <v>0</v>
      </c>
      <c r="H17" s="5" t="b">
        <v>0</v>
      </c>
    </row>
    <row r="18" spans="1:8" ht="14.4">
      <c r="A18" s="5" t="s">
        <v>35</v>
      </c>
      <c r="B18" s="5">
        <v>0</v>
      </c>
      <c r="C18" s="5" t="b">
        <v>0</v>
      </c>
      <c r="D18" s="5" t="b">
        <v>0</v>
      </c>
      <c r="E18" s="5" t="b">
        <v>0</v>
      </c>
      <c r="F18" s="5" t="b">
        <v>0</v>
      </c>
      <c r="G18" s="5" t="b">
        <v>0</v>
      </c>
      <c r="H18" s="5" t="b">
        <v>0</v>
      </c>
    </row>
    <row r="19" spans="1:8" ht="14.4">
      <c r="A19" s="5" t="s">
        <v>36</v>
      </c>
      <c r="B19" s="5">
        <v>0</v>
      </c>
      <c r="C19" s="5" t="b">
        <v>0</v>
      </c>
      <c r="D19" s="5" t="b">
        <v>0</v>
      </c>
      <c r="E19" s="5" t="b">
        <v>0</v>
      </c>
      <c r="F19" s="5" t="b">
        <v>0</v>
      </c>
      <c r="G19" s="5" t="b">
        <v>0</v>
      </c>
      <c r="H19" s="5" t="b">
        <v>0</v>
      </c>
    </row>
    <row r="20" spans="1:8" ht="14.4">
      <c r="A20" s="5" t="s">
        <v>37</v>
      </c>
      <c r="B20" s="5">
        <v>0</v>
      </c>
      <c r="C20" s="5" t="b">
        <v>0</v>
      </c>
      <c r="D20" s="5" t="b">
        <v>0</v>
      </c>
      <c r="E20" s="5" t="b">
        <v>0</v>
      </c>
      <c r="F20" s="5" t="b">
        <v>0</v>
      </c>
      <c r="G20" s="5" t="b">
        <v>0</v>
      </c>
      <c r="H20" s="5" t="b">
        <v>0</v>
      </c>
    </row>
    <row r="21" spans="1:8" ht="15.75" customHeight="1">
      <c r="A21" s="5" t="s">
        <v>38</v>
      </c>
      <c r="B21" s="5">
        <v>0</v>
      </c>
      <c r="C21" s="5" t="b">
        <v>0</v>
      </c>
      <c r="D21" s="5" t="b">
        <v>0</v>
      </c>
      <c r="E21" s="5" t="b">
        <v>0</v>
      </c>
      <c r="F21" s="5" t="b">
        <v>0</v>
      </c>
      <c r="G21" s="5" t="b">
        <v>0</v>
      </c>
      <c r="H21" s="5" t="b">
        <v>0</v>
      </c>
    </row>
    <row r="22" spans="1:8" ht="15.75" customHeight="1">
      <c r="A22" s="5" t="s">
        <v>39</v>
      </c>
      <c r="B22" s="5">
        <v>0</v>
      </c>
      <c r="C22" s="5" t="b">
        <v>0</v>
      </c>
      <c r="D22" s="5" t="b">
        <v>0</v>
      </c>
      <c r="E22" s="5" t="b">
        <v>0</v>
      </c>
      <c r="F22" s="5" t="b">
        <v>0</v>
      </c>
      <c r="G22" s="5" t="b">
        <v>0</v>
      </c>
      <c r="H22" s="5" t="b">
        <v>0</v>
      </c>
    </row>
    <row r="23" spans="1:8" ht="15.75" customHeight="1">
      <c r="A23" s="5" t="s">
        <v>40</v>
      </c>
      <c r="B23" s="5">
        <v>0</v>
      </c>
      <c r="C23" s="5" t="b">
        <v>0</v>
      </c>
      <c r="D23" s="5" t="b">
        <v>0</v>
      </c>
      <c r="E23" s="5" t="b">
        <v>0</v>
      </c>
      <c r="F23" s="5" t="b">
        <v>0</v>
      </c>
      <c r="G23" s="5" t="b">
        <v>0</v>
      </c>
      <c r="H23" s="5" t="b">
        <v>0</v>
      </c>
    </row>
    <row r="24" spans="1:8" ht="15.75" customHeight="1">
      <c r="A24" s="5" t="s">
        <v>41</v>
      </c>
      <c r="B24" s="5">
        <v>0</v>
      </c>
      <c r="C24" s="5" t="b">
        <v>0</v>
      </c>
      <c r="D24" s="5" t="b">
        <v>0</v>
      </c>
      <c r="E24" s="5" t="b">
        <v>0</v>
      </c>
      <c r="F24" s="5" t="b">
        <v>0</v>
      </c>
      <c r="G24" s="5" t="b">
        <v>0</v>
      </c>
      <c r="H24" s="5" t="b">
        <v>0</v>
      </c>
    </row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custom" allowBlank="1" showDropDown="1" sqref="B2:B24" xr:uid="{456B50D5-0D84-4C4D-9C40-242B42213EEF}">
      <formula1>AND(ISNUMBER(B2),(NOT(OR(NOT(ISERROR(DATEVALUE(B2))), AND(ISNUMBER(B2), LEFT(CELL("format", B2))="D")))))</formula1>
    </dataValidation>
    <dataValidation type="list" allowBlank="1" showDropDown="1" showErrorMessage="1" sqref="C2:H24" xr:uid="{BB1D8646-F69A-4D8B-8904-BC79E8A0FC0A}">
      <formula1>"TRUE,FALSE"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1000"/>
  <sheetViews>
    <sheetView workbookViewId="0">
      <selection activeCell="AK2" sqref="AK2"/>
    </sheetView>
  </sheetViews>
  <sheetFormatPr defaultColWidth="12.6640625" defaultRowHeight="15" customHeight="1"/>
  <cols>
    <col min="1" max="37" width="8.6640625" customWidth="1"/>
  </cols>
  <sheetData>
    <row r="1" spans="1:37" ht="14.4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tr">
        <f t="array" ref="M1:AI1">TRANSPOSE('ST3 Question Map'!A2:A24)</f>
        <v>1a</v>
      </c>
      <c r="N1" s="1" t="str">
        <v>1b</v>
      </c>
      <c r="O1" s="1" t="str">
        <v>1c</v>
      </c>
      <c r="P1" s="1" t="str">
        <v>1d</v>
      </c>
      <c r="Q1" s="1" t="str">
        <v>1e</v>
      </c>
      <c r="R1" s="1" t="str">
        <v>Q2</v>
      </c>
      <c r="S1" s="1" t="str">
        <v>Q3</v>
      </c>
      <c r="T1" s="1" t="str">
        <v>Q4</v>
      </c>
      <c r="U1" s="1" t="str">
        <v>Q5</v>
      </c>
      <c r="V1" s="1" t="str">
        <v>Q6</v>
      </c>
      <c r="W1" s="1" t="str">
        <v>Q7</v>
      </c>
      <c r="X1" s="1" t="str">
        <v>Q8</v>
      </c>
      <c r="Y1" s="1" t="str">
        <v>Q9</v>
      </c>
      <c r="Z1" s="1" t="str">
        <v>Q10</v>
      </c>
      <c r="AA1" s="1" t="str">
        <v>Q11</v>
      </c>
      <c r="AB1" s="1" t="str">
        <v>Q12</v>
      </c>
      <c r="AC1" s="1" t="str">
        <v>Q13</v>
      </c>
      <c r="AD1" s="1" t="str">
        <v>Q14</v>
      </c>
      <c r="AE1" s="1" t="str">
        <v>Q15</v>
      </c>
      <c r="AF1" s="1" t="str">
        <v>Q16</v>
      </c>
      <c r="AG1" s="1" t="str">
        <v>Assignment</v>
      </c>
      <c r="AH1" s="1" t="str">
        <v>FA1</v>
      </c>
      <c r="AI1" s="1" t="str">
        <v>FA2</v>
      </c>
      <c r="AJ1" s="1" t="s">
        <v>54</v>
      </c>
      <c r="AK1" s="1" t="s">
        <v>55</v>
      </c>
    </row>
    <row r="2" spans="1:37" ht="14.4">
      <c r="A2" s="1">
        <v>1</v>
      </c>
      <c r="B2" s="6">
        <v>2010990089</v>
      </c>
      <c r="C2" s="6" t="s">
        <v>61</v>
      </c>
      <c r="E2" t="s">
        <v>79</v>
      </c>
      <c r="F2" t="s">
        <v>82</v>
      </c>
      <c r="G2" s="7" t="s">
        <v>56</v>
      </c>
      <c r="H2" s="7" t="s">
        <v>80</v>
      </c>
      <c r="I2" s="7" t="s">
        <v>81</v>
      </c>
      <c r="J2" s="7">
        <v>2020</v>
      </c>
      <c r="K2" s="7">
        <v>3</v>
      </c>
      <c r="L2" s="1" t="s">
        <v>60</v>
      </c>
      <c r="M2" s="1" t="s">
        <v>58</v>
      </c>
      <c r="N2" s="1" t="s">
        <v>58</v>
      </c>
      <c r="O2" s="1" t="s">
        <v>58</v>
      </c>
      <c r="P2" s="1" t="s">
        <v>58</v>
      </c>
      <c r="Q2" s="1" t="s">
        <v>58</v>
      </c>
      <c r="R2" s="1" t="s">
        <v>58</v>
      </c>
      <c r="S2" s="1" t="s">
        <v>58</v>
      </c>
      <c r="T2" s="1" t="s">
        <v>58</v>
      </c>
      <c r="U2" s="1" t="s">
        <v>58</v>
      </c>
      <c r="V2" s="1" t="s">
        <v>58</v>
      </c>
      <c r="W2" s="1" t="s">
        <v>58</v>
      </c>
      <c r="X2" s="1" t="s">
        <v>58</v>
      </c>
      <c r="Y2" s="1" t="s">
        <v>58</v>
      </c>
      <c r="Z2" s="1" t="s">
        <v>58</v>
      </c>
      <c r="AA2" s="1" t="s">
        <v>58</v>
      </c>
      <c r="AB2" s="1" t="s">
        <v>58</v>
      </c>
      <c r="AC2" s="1" t="s">
        <v>58</v>
      </c>
      <c r="AD2" s="1" t="s">
        <v>58</v>
      </c>
      <c r="AE2" s="1" t="s">
        <v>58</v>
      </c>
      <c r="AF2" s="1" t="s">
        <v>58</v>
      </c>
      <c r="AG2" s="1" t="s">
        <v>58</v>
      </c>
      <c r="AH2" s="1" t="s">
        <v>58</v>
      </c>
      <c r="AI2" s="1" t="s">
        <v>58</v>
      </c>
      <c r="AJ2" s="1">
        <f t="shared" ref="AJ2:AK5" si="0">SUM(M2:AI2)</f>
        <v>0</v>
      </c>
      <c r="AK2" s="1">
        <f t="shared" si="0"/>
        <v>0</v>
      </c>
    </row>
    <row r="3" spans="1:37" ht="14.4">
      <c r="A3" s="1">
        <v>2</v>
      </c>
      <c r="B3" s="6">
        <v>2010992002</v>
      </c>
      <c r="C3" s="6" t="s">
        <v>62</v>
      </c>
      <c r="E3" t="s">
        <v>79</v>
      </c>
      <c r="F3" t="s">
        <v>82</v>
      </c>
      <c r="G3" s="7" t="s">
        <v>56</v>
      </c>
      <c r="H3" s="7" t="s">
        <v>80</v>
      </c>
      <c r="I3" s="7" t="s">
        <v>81</v>
      </c>
      <c r="J3" s="7">
        <v>2020</v>
      </c>
      <c r="K3" s="7">
        <v>3</v>
      </c>
      <c r="L3" s="1" t="s">
        <v>60</v>
      </c>
      <c r="M3" s="1" t="s">
        <v>58</v>
      </c>
      <c r="N3" s="1" t="s">
        <v>58</v>
      </c>
      <c r="O3" s="1" t="s">
        <v>58</v>
      </c>
      <c r="P3" s="1" t="s">
        <v>58</v>
      </c>
      <c r="Q3" s="1" t="s">
        <v>58</v>
      </c>
      <c r="R3" s="1" t="s">
        <v>58</v>
      </c>
      <c r="S3" s="1" t="s">
        <v>58</v>
      </c>
      <c r="T3" s="1" t="s">
        <v>58</v>
      </c>
      <c r="U3" s="1" t="s">
        <v>58</v>
      </c>
      <c r="V3" s="1" t="s">
        <v>58</v>
      </c>
      <c r="W3" s="1" t="s">
        <v>58</v>
      </c>
      <c r="X3" s="1" t="s">
        <v>58</v>
      </c>
      <c r="Y3" s="1" t="s">
        <v>58</v>
      </c>
      <c r="Z3" s="1" t="s">
        <v>58</v>
      </c>
      <c r="AA3" s="1" t="s">
        <v>58</v>
      </c>
      <c r="AB3" s="1" t="s">
        <v>58</v>
      </c>
      <c r="AC3" s="1" t="s">
        <v>58</v>
      </c>
      <c r="AD3" s="1" t="s">
        <v>58</v>
      </c>
      <c r="AE3" s="1" t="s">
        <v>58</v>
      </c>
      <c r="AF3" s="1" t="s">
        <v>58</v>
      </c>
      <c r="AG3" s="1" t="s">
        <v>58</v>
      </c>
      <c r="AH3" s="1" t="s">
        <v>58</v>
      </c>
      <c r="AI3" s="1" t="s">
        <v>58</v>
      </c>
      <c r="AJ3" s="1">
        <f t="shared" si="0"/>
        <v>0</v>
      </c>
      <c r="AK3" s="1">
        <f t="shared" si="0"/>
        <v>0</v>
      </c>
    </row>
    <row r="4" spans="1:37" ht="14.4">
      <c r="A4" s="1">
        <v>3</v>
      </c>
      <c r="B4" s="6">
        <v>2010992004</v>
      </c>
      <c r="C4" s="6" t="s">
        <v>63</v>
      </c>
      <c r="E4" t="s">
        <v>79</v>
      </c>
      <c r="F4" t="s">
        <v>82</v>
      </c>
      <c r="G4" s="7" t="s">
        <v>56</v>
      </c>
      <c r="H4" s="7" t="s">
        <v>80</v>
      </c>
      <c r="I4" s="7" t="s">
        <v>81</v>
      </c>
      <c r="J4" s="7">
        <v>2020</v>
      </c>
      <c r="K4" s="7">
        <v>3</v>
      </c>
      <c r="L4" s="1" t="s">
        <v>60</v>
      </c>
      <c r="M4" s="1" t="s">
        <v>58</v>
      </c>
      <c r="N4" s="1" t="s">
        <v>58</v>
      </c>
      <c r="O4" s="1" t="s">
        <v>58</v>
      </c>
      <c r="P4" s="1" t="s">
        <v>58</v>
      </c>
      <c r="Q4" s="1" t="s">
        <v>58</v>
      </c>
      <c r="R4" s="1" t="s">
        <v>58</v>
      </c>
      <c r="S4" s="1" t="s">
        <v>58</v>
      </c>
      <c r="T4" s="1" t="s">
        <v>58</v>
      </c>
      <c r="U4" s="1" t="s">
        <v>58</v>
      </c>
      <c r="V4" s="1" t="s">
        <v>58</v>
      </c>
      <c r="W4" s="1" t="s">
        <v>58</v>
      </c>
      <c r="X4" s="1" t="s">
        <v>58</v>
      </c>
      <c r="Y4" s="1" t="s">
        <v>58</v>
      </c>
      <c r="Z4" s="1" t="s">
        <v>58</v>
      </c>
      <c r="AA4" s="1" t="s">
        <v>58</v>
      </c>
      <c r="AB4" s="1" t="s">
        <v>58</v>
      </c>
      <c r="AC4" s="1" t="s">
        <v>58</v>
      </c>
      <c r="AD4" s="1" t="s">
        <v>58</v>
      </c>
      <c r="AE4" s="1" t="s">
        <v>58</v>
      </c>
      <c r="AF4" s="1" t="s">
        <v>58</v>
      </c>
      <c r="AG4" s="1" t="s">
        <v>58</v>
      </c>
      <c r="AH4" s="1" t="s">
        <v>58</v>
      </c>
      <c r="AI4" s="1" t="s">
        <v>58</v>
      </c>
      <c r="AJ4" s="1">
        <f t="shared" si="0"/>
        <v>0</v>
      </c>
      <c r="AK4" s="1">
        <f t="shared" si="0"/>
        <v>0</v>
      </c>
    </row>
    <row r="5" spans="1:37" ht="14.4">
      <c r="A5" s="1">
        <v>4</v>
      </c>
      <c r="B5" s="6">
        <v>2010992005</v>
      </c>
      <c r="C5" s="6" t="s">
        <v>64</v>
      </c>
      <c r="E5" t="s">
        <v>79</v>
      </c>
      <c r="F5" t="s">
        <v>82</v>
      </c>
      <c r="G5" s="7" t="s">
        <v>56</v>
      </c>
      <c r="H5" s="7" t="s">
        <v>80</v>
      </c>
      <c r="I5" s="7" t="s">
        <v>81</v>
      </c>
      <c r="J5" s="7">
        <v>2020</v>
      </c>
      <c r="K5" s="7">
        <v>3</v>
      </c>
      <c r="L5" s="1" t="s">
        <v>60</v>
      </c>
      <c r="M5" s="1" t="s">
        <v>58</v>
      </c>
      <c r="N5" s="1" t="s">
        <v>58</v>
      </c>
      <c r="O5" s="1" t="s">
        <v>58</v>
      </c>
      <c r="P5" s="1" t="s">
        <v>58</v>
      </c>
      <c r="Q5" s="1" t="s">
        <v>58</v>
      </c>
      <c r="R5" s="1" t="s">
        <v>58</v>
      </c>
      <c r="S5" s="1" t="s">
        <v>58</v>
      </c>
      <c r="T5" s="1" t="s">
        <v>58</v>
      </c>
      <c r="U5" s="1" t="s">
        <v>58</v>
      </c>
      <c r="V5" s="1" t="s">
        <v>58</v>
      </c>
      <c r="W5" s="1" t="s">
        <v>58</v>
      </c>
      <c r="X5" s="1" t="s">
        <v>58</v>
      </c>
      <c r="Y5" s="1" t="s">
        <v>58</v>
      </c>
      <c r="Z5" s="1" t="s">
        <v>58</v>
      </c>
      <c r="AA5" s="1" t="s">
        <v>58</v>
      </c>
      <c r="AB5" s="1" t="s">
        <v>58</v>
      </c>
      <c r="AC5" s="1" t="s">
        <v>58</v>
      </c>
      <c r="AD5" s="1" t="s">
        <v>58</v>
      </c>
      <c r="AE5" s="1" t="s">
        <v>58</v>
      </c>
      <c r="AF5" s="1" t="s">
        <v>58</v>
      </c>
      <c r="AG5" s="1" t="s">
        <v>58</v>
      </c>
      <c r="AH5" s="1" t="s">
        <v>58</v>
      </c>
      <c r="AI5" s="1" t="s">
        <v>58</v>
      </c>
      <c r="AJ5" s="1">
        <f t="shared" si="0"/>
        <v>0</v>
      </c>
      <c r="AK5" s="1">
        <f t="shared" si="0"/>
        <v>0</v>
      </c>
    </row>
    <row r="6" spans="1:37" ht="15" customHeight="1">
      <c r="A6" s="1">
        <v>5</v>
      </c>
      <c r="B6" s="6">
        <v>2010992006</v>
      </c>
      <c r="C6" s="6" t="s">
        <v>65</v>
      </c>
      <c r="E6" t="s">
        <v>79</v>
      </c>
      <c r="F6" t="s">
        <v>82</v>
      </c>
      <c r="G6" s="7" t="s">
        <v>56</v>
      </c>
      <c r="H6" s="7" t="s">
        <v>80</v>
      </c>
      <c r="I6" s="7" t="s">
        <v>81</v>
      </c>
      <c r="J6" s="7">
        <v>2020</v>
      </c>
      <c r="K6" s="7">
        <v>3</v>
      </c>
      <c r="L6" s="1" t="s">
        <v>60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58</v>
      </c>
      <c r="AF6" s="1" t="s">
        <v>58</v>
      </c>
      <c r="AG6" s="1" t="s">
        <v>58</v>
      </c>
      <c r="AH6" s="1" t="s">
        <v>58</v>
      </c>
      <c r="AI6" s="1" t="s">
        <v>58</v>
      </c>
      <c r="AJ6" s="1">
        <f t="shared" ref="AJ6:AJ19" si="1">SUM(M6:AI6)</f>
        <v>0</v>
      </c>
      <c r="AK6" s="1">
        <f t="shared" ref="AK6:AK19" si="2">SUM(N6:AJ6)</f>
        <v>0</v>
      </c>
    </row>
    <row r="7" spans="1:37" ht="15" customHeight="1">
      <c r="A7" s="1">
        <v>6</v>
      </c>
      <c r="B7" s="6">
        <v>2010992008</v>
      </c>
      <c r="C7" s="6" t="s">
        <v>66</v>
      </c>
      <c r="E7" t="s">
        <v>79</v>
      </c>
      <c r="F7" t="s">
        <v>82</v>
      </c>
      <c r="G7" s="7" t="s">
        <v>56</v>
      </c>
      <c r="H7" s="7" t="s">
        <v>80</v>
      </c>
      <c r="I7" s="7" t="s">
        <v>81</v>
      </c>
      <c r="J7" s="7">
        <v>2020</v>
      </c>
      <c r="K7" s="7">
        <v>3</v>
      </c>
      <c r="L7" s="1" t="s">
        <v>60</v>
      </c>
      <c r="M7" s="1" t="s">
        <v>58</v>
      </c>
      <c r="N7" s="1" t="s">
        <v>58</v>
      </c>
      <c r="O7" s="1" t="s">
        <v>58</v>
      </c>
      <c r="P7" s="1" t="s">
        <v>58</v>
      </c>
      <c r="Q7" s="1" t="s">
        <v>58</v>
      </c>
      <c r="R7" s="1" t="s">
        <v>58</v>
      </c>
      <c r="S7" s="1" t="s">
        <v>58</v>
      </c>
      <c r="T7" s="1" t="s">
        <v>58</v>
      </c>
      <c r="U7" s="1" t="s">
        <v>58</v>
      </c>
      <c r="V7" s="1" t="s">
        <v>58</v>
      </c>
      <c r="W7" s="1" t="s">
        <v>58</v>
      </c>
      <c r="X7" s="1" t="s">
        <v>58</v>
      </c>
      <c r="Y7" s="1" t="s">
        <v>58</v>
      </c>
      <c r="Z7" s="1" t="s">
        <v>58</v>
      </c>
      <c r="AA7" s="1" t="s">
        <v>58</v>
      </c>
      <c r="AB7" s="1" t="s">
        <v>58</v>
      </c>
      <c r="AC7" s="1" t="s">
        <v>58</v>
      </c>
      <c r="AD7" s="1" t="s">
        <v>58</v>
      </c>
      <c r="AE7" s="1" t="s">
        <v>58</v>
      </c>
      <c r="AF7" s="1" t="s">
        <v>58</v>
      </c>
      <c r="AG7" s="1" t="s">
        <v>58</v>
      </c>
      <c r="AH7" s="1" t="s">
        <v>58</v>
      </c>
      <c r="AI7" s="1" t="s">
        <v>58</v>
      </c>
      <c r="AJ7" s="1">
        <f>SUM(M7:AI7)</f>
        <v>0</v>
      </c>
      <c r="AK7" s="1">
        <f t="shared" si="2"/>
        <v>0</v>
      </c>
    </row>
    <row r="8" spans="1:37" ht="15" customHeight="1">
      <c r="A8" s="1">
        <v>7</v>
      </c>
      <c r="B8" s="6">
        <v>2010992009</v>
      </c>
      <c r="C8" s="6" t="s">
        <v>67</v>
      </c>
      <c r="E8" t="s">
        <v>79</v>
      </c>
      <c r="F8" t="s">
        <v>82</v>
      </c>
      <c r="G8" s="7" t="s">
        <v>56</v>
      </c>
      <c r="H8" s="7" t="s">
        <v>80</v>
      </c>
      <c r="I8" s="7" t="s">
        <v>81</v>
      </c>
      <c r="J8" s="7">
        <v>2020</v>
      </c>
      <c r="K8" s="7">
        <v>3</v>
      </c>
      <c r="L8" s="1" t="s">
        <v>60</v>
      </c>
      <c r="M8" s="1" t="s">
        <v>58</v>
      </c>
      <c r="N8" s="1" t="s">
        <v>58</v>
      </c>
      <c r="O8" s="1" t="s">
        <v>58</v>
      </c>
      <c r="P8" s="1" t="s">
        <v>58</v>
      </c>
      <c r="Q8" s="1" t="s">
        <v>58</v>
      </c>
      <c r="R8" s="1" t="s">
        <v>58</v>
      </c>
      <c r="S8" s="1" t="s">
        <v>58</v>
      </c>
      <c r="T8" s="1" t="s">
        <v>58</v>
      </c>
      <c r="U8" s="1" t="s">
        <v>58</v>
      </c>
      <c r="V8" s="1" t="s">
        <v>58</v>
      </c>
      <c r="W8" s="1" t="s">
        <v>58</v>
      </c>
      <c r="X8" s="1" t="s">
        <v>58</v>
      </c>
      <c r="Y8" s="1" t="s">
        <v>58</v>
      </c>
      <c r="Z8" s="1" t="s">
        <v>58</v>
      </c>
      <c r="AA8" s="1" t="s">
        <v>58</v>
      </c>
      <c r="AB8" s="1" t="s">
        <v>58</v>
      </c>
      <c r="AC8" s="1" t="s">
        <v>58</v>
      </c>
      <c r="AD8" s="1" t="s">
        <v>58</v>
      </c>
      <c r="AE8" s="1" t="s">
        <v>58</v>
      </c>
      <c r="AF8" s="1" t="s">
        <v>58</v>
      </c>
      <c r="AG8" s="1" t="s">
        <v>58</v>
      </c>
      <c r="AH8" s="1" t="s">
        <v>58</v>
      </c>
      <c r="AI8" s="1" t="s">
        <v>58</v>
      </c>
      <c r="AJ8" s="1">
        <f t="shared" si="1"/>
        <v>0</v>
      </c>
      <c r="AK8" s="1">
        <f t="shared" si="2"/>
        <v>0</v>
      </c>
    </row>
    <row r="9" spans="1:37" ht="15" customHeight="1">
      <c r="A9" s="1">
        <v>8</v>
      </c>
      <c r="B9" s="6">
        <v>2010992010</v>
      </c>
      <c r="C9" s="6" t="s">
        <v>68</v>
      </c>
      <c r="E9" t="s">
        <v>79</v>
      </c>
      <c r="F9" t="s">
        <v>82</v>
      </c>
      <c r="G9" s="7" t="s">
        <v>56</v>
      </c>
      <c r="H9" s="7" t="s">
        <v>80</v>
      </c>
      <c r="I9" s="7" t="s">
        <v>81</v>
      </c>
      <c r="J9" s="7">
        <v>2020</v>
      </c>
      <c r="K9" s="7">
        <v>3</v>
      </c>
      <c r="L9" s="1" t="s">
        <v>60</v>
      </c>
      <c r="M9" s="1" t="s">
        <v>58</v>
      </c>
      <c r="N9" s="1" t="s">
        <v>58</v>
      </c>
      <c r="O9" s="1" t="s">
        <v>58</v>
      </c>
      <c r="P9" s="1" t="s">
        <v>58</v>
      </c>
      <c r="Q9" s="1" t="s">
        <v>58</v>
      </c>
      <c r="R9" s="1" t="s">
        <v>58</v>
      </c>
      <c r="S9" s="1" t="s">
        <v>58</v>
      </c>
      <c r="T9" s="1" t="s">
        <v>58</v>
      </c>
      <c r="U9" s="1" t="s">
        <v>58</v>
      </c>
      <c r="V9" s="1" t="s">
        <v>58</v>
      </c>
      <c r="W9" s="1" t="s">
        <v>58</v>
      </c>
      <c r="X9" s="1" t="s">
        <v>58</v>
      </c>
      <c r="Y9" s="1" t="s">
        <v>58</v>
      </c>
      <c r="Z9" s="1" t="s">
        <v>58</v>
      </c>
      <c r="AA9" s="1" t="s">
        <v>58</v>
      </c>
      <c r="AB9" s="1" t="s">
        <v>58</v>
      </c>
      <c r="AC9" s="1" t="s">
        <v>58</v>
      </c>
      <c r="AD9" s="1" t="s">
        <v>58</v>
      </c>
      <c r="AE9" s="1" t="s">
        <v>58</v>
      </c>
      <c r="AF9" s="1" t="s">
        <v>58</v>
      </c>
      <c r="AG9" s="1" t="s">
        <v>58</v>
      </c>
      <c r="AH9" s="1" t="s">
        <v>58</v>
      </c>
      <c r="AI9" s="1" t="s">
        <v>58</v>
      </c>
      <c r="AJ9" s="1">
        <f t="shared" si="1"/>
        <v>0</v>
      </c>
      <c r="AK9" s="1">
        <f t="shared" si="2"/>
        <v>0</v>
      </c>
    </row>
    <row r="10" spans="1:37" ht="15" customHeight="1">
      <c r="A10" s="1">
        <v>9</v>
      </c>
      <c r="B10" s="6">
        <v>2010992011</v>
      </c>
      <c r="C10" s="6" t="s">
        <v>69</v>
      </c>
      <c r="E10" t="s">
        <v>79</v>
      </c>
      <c r="F10" t="s">
        <v>82</v>
      </c>
      <c r="G10" s="7" t="s">
        <v>56</v>
      </c>
      <c r="H10" s="7" t="s">
        <v>80</v>
      </c>
      <c r="I10" s="7" t="s">
        <v>81</v>
      </c>
      <c r="J10" s="7">
        <v>2020</v>
      </c>
      <c r="K10" s="7">
        <v>3</v>
      </c>
      <c r="L10" s="1" t="s">
        <v>60</v>
      </c>
      <c r="M10" s="1" t="s">
        <v>58</v>
      </c>
      <c r="N10" s="1" t="s">
        <v>58</v>
      </c>
      <c r="O10" s="1" t="s">
        <v>58</v>
      </c>
      <c r="P10" s="1" t="s">
        <v>58</v>
      </c>
      <c r="Q10" s="1" t="s">
        <v>58</v>
      </c>
      <c r="R10" s="1" t="s">
        <v>58</v>
      </c>
      <c r="S10" s="1" t="s">
        <v>58</v>
      </c>
      <c r="T10" s="1" t="s">
        <v>58</v>
      </c>
      <c r="U10" s="1" t="s">
        <v>58</v>
      </c>
      <c r="V10" s="1" t="s">
        <v>58</v>
      </c>
      <c r="W10" s="1" t="s">
        <v>58</v>
      </c>
      <c r="X10" s="1" t="s">
        <v>58</v>
      </c>
      <c r="Y10" s="1" t="s">
        <v>58</v>
      </c>
      <c r="Z10" s="1" t="s">
        <v>58</v>
      </c>
      <c r="AA10" s="1" t="s">
        <v>58</v>
      </c>
      <c r="AB10" s="1" t="s">
        <v>58</v>
      </c>
      <c r="AC10" s="1" t="s">
        <v>58</v>
      </c>
      <c r="AD10" s="1" t="s">
        <v>58</v>
      </c>
      <c r="AE10" s="1" t="s">
        <v>58</v>
      </c>
      <c r="AF10" s="1" t="s">
        <v>58</v>
      </c>
      <c r="AG10" s="1" t="s">
        <v>58</v>
      </c>
      <c r="AH10" s="1" t="s">
        <v>58</v>
      </c>
      <c r="AI10" s="1" t="s">
        <v>58</v>
      </c>
      <c r="AJ10" s="1">
        <f t="shared" si="1"/>
        <v>0</v>
      </c>
      <c r="AK10" s="1">
        <f t="shared" si="2"/>
        <v>0</v>
      </c>
    </row>
    <row r="11" spans="1:37" ht="15" customHeight="1">
      <c r="A11" s="1">
        <v>10</v>
      </c>
      <c r="B11" s="6">
        <v>2010992012</v>
      </c>
      <c r="C11" s="6" t="s">
        <v>70</v>
      </c>
      <c r="E11" t="s">
        <v>79</v>
      </c>
      <c r="F11" t="s">
        <v>82</v>
      </c>
      <c r="G11" s="7" t="s">
        <v>56</v>
      </c>
      <c r="H11" s="7" t="s">
        <v>80</v>
      </c>
      <c r="I11" s="7" t="s">
        <v>81</v>
      </c>
      <c r="J11" s="7">
        <v>2020</v>
      </c>
      <c r="K11" s="7">
        <v>3</v>
      </c>
      <c r="L11" s="1" t="s">
        <v>60</v>
      </c>
      <c r="M11" s="1" t="s">
        <v>58</v>
      </c>
      <c r="N11" s="1" t="s">
        <v>58</v>
      </c>
      <c r="O11" s="1" t="s">
        <v>58</v>
      </c>
      <c r="P11" s="1" t="s">
        <v>58</v>
      </c>
      <c r="Q11" s="1" t="s">
        <v>58</v>
      </c>
      <c r="R11" s="1" t="s">
        <v>58</v>
      </c>
      <c r="S11" s="1" t="s">
        <v>58</v>
      </c>
      <c r="T11" s="1" t="s">
        <v>58</v>
      </c>
      <c r="U11" s="1" t="s">
        <v>58</v>
      </c>
      <c r="V11" s="1" t="s">
        <v>58</v>
      </c>
      <c r="W11" s="1" t="s">
        <v>58</v>
      </c>
      <c r="X11" s="1" t="s">
        <v>58</v>
      </c>
      <c r="Y11" s="1" t="s">
        <v>58</v>
      </c>
      <c r="Z11" s="1" t="s">
        <v>58</v>
      </c>
      <c r="AA11" s="1" t="s">
        <v>58</v>
      </c>
      <c r="AB11" s="1" t="s">
        <v>58</v>
      </c>
      <c r="AC11" s="1" t="s">
        <v>58</v>
      </c>
      <c r="AD11" s="1" t="s">
        <v>58</v>
      </c>
      <c r="AE11" s="1" t="s">
        <v>58</v>
      </c>
      <c r="AF11" s="1" t="s">
        <v>58</v>
      </c>
      <c r="AG11" s="1" t="s">
        <v>58</v>
      </c>
      <c r="AH11" s="1" t="s">
        <v>58</v>
      </c>
      <c r="AI11" s="1" t="s">
        <v>58</v>
      </c>
      <c r="AJ11" s="1">
        <f t="shared" si="1"/>
        <v>0</v>
      </c>
      <c r="AK11" s="1">
        <f t="shared" si="2"/>
        <v>0</v>
      </c>
    </row>
    <row r="12" spans="1:37" ht="15" customHeight="1">
      <c r="A12" s="1">
        <v>11</v>
      </c>
      <c r="B12" s="6">
        <v>2010992014</v>
      </c>
      <c r="C12" s="6" t="s">
        <v>71</v>
      </c>
      <c r="E12" t="s">
        <v>79</v>
      </c>
      <c r="F12" t="s">
        <v>82</v>
      </c>
      <c r="G12" s="7" t="s">
        <v>56</v>
      </c>
      <c r="H12" s="7" t="s">
        <v>80</v>
      </c>
      <c r="I12" s="7" t="s">
        <v>81</v>
      </c>
      <c r="J12" s="7">
        <v>2020</v>
      </c>
      <c r="K12" s="7">
        <v>3</v>
      </c>
      <c r="L12" s="1" t="s">
        <v>60</v>
      </c>
      <c r="M12" s="1" t="s">
        <v>58</v>
      </c>
      <c r="N12" s="1" t="s">
        <v>58</v>
      </c>
      <c r="O12" s="1" t="s">
        <v>58</v>
      </c>
      <c r="P12" s="1" t="s">
        <v>58</v>
      </c>
      <c r="Q12" s="1" t="s">
        <v>58</v>
      </c>
      <c r="R12" s="1" t="s">
        <v>58</v>
      </c>
      <c r="S12" s="1" t="s">
        <v>58</v>
      </c>
      <c r="T12" s="1" t="s">
        <v>58</v>
      </c>
      <c r="U12" s="1" t="s">
        <v>58</v>
      </c>
      <c r="V12" s="1" t="s">
        <v>58</v>
      </c>
      <c r="W12" s="1" t="s">
        <v>58</v>
      </c>
      <c r="X12" s="1" t="s">
        <v>58</v>
      </c>
      <c r="Y12" s="1" t="s">
        <v>58</v>
      </c>
      <c r="Z12" s="1" t="s">
        <v>58</v>
      </c>
      <c r="AA12" s="1" t="s">
        <v>58</v>
      </c>
      <c r="AB12" s="1" t="s">
        <v>58</v>
      </c>
      <c r="AC12" s="1" t="s">
        <v>58</v>
      </c>
      <c r="AD12" s="1" t="s">
        <v>58</v>
      </c>
      <c r="AE12" s="1" t="s">
        <v>58</v>
      </c>
      <c r="AF12" s="1" t="s">
        <v>58</v>
      </c>
      <c r="AG12" s="1" t="s">
        <v>58</v>
      </c>
      <c r="AH12" s="1" t="s">
        <v>58</v>
      </c>
      <c r="AI12" s="1" t="s">
        <v>58</v>
      </c>
      <c r="AJ12" s="1">
        <f t="shared" si="1"/>
        <v>0</v>
      </c>
      <c r="AK12" s="1">
        <f t="shared" si="2"/>
        <v>0</v>
      </c>
    </row>
    <row r="13" spans="1:37" ht="15" customHeight="1">
      <c r="A13" s="1">
        <v>12</v>
      </c>
      <c r="B13" s="6">
        <v>2010992015</v>
      </c>
      <c r="C13" s="6" t="s">
        <v>72</v>
      </c>
      <c r="E13" t="s">
        <v>79</v>
      </c>
      <c r="F13" t="s">
        <v>82</v>
      </c>
      <c r="G13" s="7" t="s">
        <v>56</v>
      </c>
      <c r="H13" s="7" t="s">
        <v>80</v>
      </c>
      <c r="I13" s="7" t="s">
        <v>81</v>
      </c>
      <c r="J13" s="7">
        <v>2020</v>
      </c>
      <c r="K13" s="7">
        <v>3</v>
      </c>
      <c r="L13" s="1" t="s">
        <v>60</v>
      </c>
      <c r="M13" s="1" t="s">
        <v>58</v>
      </c>
      <c r="N13" s="1" t="s">
        <v>58</v>
      </c>
      <c r="O13" s="1" t="s">
        <v>58</v>
      </c>
      <c r="P13" s="1" t="s">
        <v>58</v>
      </c>
      <c r="Q13" s="1" t="s">
        <v>58</v>
      </c>
      <c r="R13" s="1" t="s">
        <v>58</v>
      </c>
      <c r="S13" s="1" t="s">
        <v>58</v>
      </c>
      <c r="T13" s="1" t="s">
        <v>58</v>
      </c>
      <c r="U13" s="1" t="s">
        <v>58</v>
      </c>
      <c r="V13" s="1" t="s">
        <v>58</v>
      </c>
      <c r="W13" s="1" t="s">
        <v>58</v>
      </c>
      <c r="X13" s="1" t="s">
        <v>58</v>
      </c>
      <c r="Y13" s="1" t="s">
        <v>58</v>
      </c>
      <c r="Z13" s="1" t="s">
        <v>58</v>
      </c>
      <c r="AA13" s="1" t="s">
        <v>58</v>
      </c>
      <c r="AB13" s="1" t="s">
        <v>58</v>
      </c>
      <c r="AC13" s="1" t="s">
        <v>58</v>
      </c>
      <c r="AD13" s="1" t="s">
        <v>58</v>
      </c>
      <c r="AE13" s="1" t="s">
        <v>58</v>
      </c>
      <c r="AF13" s="1" t="s">
        <v>58</v>
      </c>
      <c r="AG13" s="1" t="s">
        <v>58</v>
      </c>
      <c r="AH13" s="1" t="s">
        <v>58</v>
      </c>
      <c r="AI13" s="1" t="s">
        <v>58</v>
      </c>
      <c r="AJ13" s="1">
        <f t="shared" si="1"/>
        <v>0</v>
      </c>
      <c r="AK13" s="1">
        <f t="shared" si="2"/>
        <v>0</v>
      </c>
    </row>
    <row r="14" spans="1:37" ht="15" customHeight="1">
      <c r="A14" s="1">
        <v>13</v>
      </c>
      <c r="B14" s="6">
        <v>2010992016</v>
      </c>
      <c r="C14" s="6" t="s">
        <v>73</v>
      </c>
      <c r="E14" t="s">
        <v>79</v>
      </c>
      <c r="F14" t="s">
        <v>82</v>
      </c>
      <c r="G14" s="7" t="s">
        <v>56</v>
      </c>
      <c r="H14" s="7" t="s">
        <v>80</v>
      </c>
      <c r="I14" s="7" t="s">
        <v>81</v>
      </c>
      <c r="J14" s="7">
        <v>2020</v>
      </c>
      <c r="K14" s="7">
        <v>3</v>
      </c>
      <c r="L14" s="1" t="s">
        <v>60</v>
      </c>
      <c r="M14" s="1" t="s">
        <v>58</v>
      </c>
      <c r="N14" s="1" t="s">
        <v>58</v>
      </c>
      <c r="O14" s="1" t="s">
        <v>58</v>
      </c>
      <c r="P14" s="1" t="s">
        <v>58</v>
      </c>
      <c r="Q14" s="1" t="s">
        <v>58</v>
      </c>
      <c r="R14" s="1" t="s">
        <v>58</v>
      </c>
      <c r="S14" s="1" t="s">
        <v>58</v>
      </c>
      <c r="T14" s="1" t="s">
        <v>58</v>
      </c>
      <c r="U14" s="1" t="s">
        <v>58</v>
      </c>
      <c r="V14" s="1" t="s">
        <v>58</v>
      </c>
      <c r="W14" s="1" t="s">
        <v>58</v>
      </c>
      <c r="X14" s="1" t="s">
        <v>58</v>
      </c>
      <c r="Y14" s="1" t="s">
        <v>58</v>
      </c>
      <c r="Z14" s="1" t="s">
        <v>58</v>
      </c>
      <c r="AA14" s="1" t="s">
        <v>58</v>
      </c>
      <c r="AB14" s="1" t="s">
        <v>58</v>
      </c>
      <c r="AC14" s="1" t="s">
        <v>58</v>
      </c>
      <c r="AD14" s="1" t="s">
        <v>58</v>
      </c>
      <c r="AE14" s="1" t="s">
        <v>58</v>
      </c>
      <c r="AF14" s="1" t="s">
        <v>58</v>
      </c>
      <c r="AG14" s="1" t="s">
        <v>58</v>
      </c>
      <c r="AH14" s="1" t="s">
        <v>58</v>
      </c>
      <c r="AI14" s="1" t="s">
        <v>58</v>
      </c>
      <c r="AJ14" s="1">
        <f t="shared" si="1"/>
        <v>0</v>
      </c>
      <c r="AK14" s="1">
        <f t="shared" si="2"/>
        <v>0</v>
      </c>
    </row>
    <row r="15" spans="1:37" ht="15" customHeight="1">
      <c r="A15" s="1">
        <v>14</v>
      </c>
      <c r="B15" s="6">
        <v>2010992017</v>
      </c>
      <c r="C15" s="6" t="s">
        <v>74</v>
      </c>
      <c r="E15" t="s">
        <v>79</v>
      </c>
      <c r="F15" t="s">
        <v>82</v>
      </c>
      <c r="G15" s="7" t="s">
        <v>56</v>
      </c>
      <c r="H15" s="7" t="s">
        <v>80</v>
      </c>
      <c r="I15" s="7" t="s">
        <v>81</v>
      </c>
      <c r="J15" s="7">
        <v>2020</v>
      </c>
      <c r="K15" s="7">
        <v>3</v>
      </c>
      <c r="L15" s="1" t="s">
        <v>60</v>
      </c>
      <c r="M15" s="1" t="s">
        <v>58</v>
      </c>
      <c r="N15" s="1" t="s">
        <v>58</v>
      </c>
      <c r="O15" s="1" t="s">
        <v>58</v>
      </c>
      <c r="P15" s="1" t="s">
        <v>58</v>
      </c>
      <c r="Q15" s="1" t="s">
        <v>58</v>
      </c>
      <c r="R15" s="1" t="s">
        <v>58</v>
      </c>
      <c r="S15" s="1" t="s">
        <v>58</v>
      </c>
      <c r="T15" s="1" t="s">
        <v>58</v>
      </c>
      <c r="U15" s="1" t="s">
        <v>58</v>
      </c>
      <c r="V15" s="1" t="s">
        <v>58</v>
      </c>
      <c r="W15" s="1" t="s">
        <v>58</v>
      </c>
      <c r="X15" s="1" t="s">
        <v>58</v>
      </c>
      <c r="Y15" s="1" t="s">
        <v>58</v>
      </c>
      <c r="Z15" s="1" t="s">
        <v>58</v>
      </c>
      <c r="AA15" s="1" t="s">
        <v>58</v>
      </c>
      <c r="AB15" s="1" t="s">
        <v>58</v>
      </c>
      <c r="AC15" s="1" t="s">
        <v>58</v>
      </c>
      <c r="AD15" s="1" t="s">
        <v>58</v>
      </c>
      <c r="AE15" s="1" t="s">
        <v>58</v>
      </c>
      <c r="AF15" s="1" t="s">
        <v>58</v>
      </c>
      <c r="AG15" s="1" t="s">
        <v>58</v>
      </c>
      <c r="AH15" s="1" t="s">
        <v>58</v>
      </c>
      <c r="AI15" s="1" t="s">
        <v>58</v>
      </c>
      <c r="AJ15" s="1">
        <f t="shared" si="1"/>
        <v>0</v>
      </c>
      <c r="AK15" s="1">
        <f t="shared" si="2"/>
        <v>0</v>
      </c>
    </row>
    <row r="16" spans="1:37" ht="15" customHeight="1">
      <c r="A16" s="1">
        <v>15</v>
      </c>
      <c r="B16" s="6">
        <v>2010992018</v>
      </c>
      <c r="C16" s="6" t="s">
        <v>75</v>
      </c>
      <c r="E16" t="s">
        <v>79</v>
      </c>
      <c r="F16" t="s">
        <v>82</v>
      </c>
      <c r="G16" s="7" t="s">
        <v>56</v>
      </c>
      <c r="H16" s="7" t="s">
        <v>80</v>
      </c>
      <c r="I16" s="7" t="s">
        <v>81</v>
      </c>
      <c r="J16" s="7">
        <v>2020</v>
      </c>
      <c r="K16" s="7">
        <v>3</v>
      </c>
      <c r="L16" s="1" t="s">
        <v>60</v>
      </c>
      <c r="M16" s="1" t="s">
        <v>58</v>
      </c>
      <c r="N16" s="1" t="s">
        <v>58</v>
      </c>
      <c r="O16" s="1" t="s">
        <v>58</v>
      </c>
      <c r="P16" s="1" t="s">
        <v>58</v>
      </c>
      <c r="Q16" s="1" t="s">
        <v>58</v>
      </c>
      <c r="R16" s="1" t="s">
        <v>58</v>
      </c>
      <c r="S16" s="1" t="s">
        <v>58</v>
      </c>
      <c r="T16" s="1" t="s">
        <v>58</v>
      </c>
      <c r="U16" s="1" t="s">
        <v>58</v>
      </c>
      <c r="V16" s="1" t="s">
        <v>58</v>
      </c>
      <c r="W16" s="1" t="s">
        <v>58</v>
      </c>
      <c r="X16" s="1" t="s">
        <v>58</v>
      </c>
      <c r="Y16" s="1" t="s">
        <v>58</v>
      </c>
      <c r="Z16" s="1" t="s">
        <v>58</v>
      </c>
      <c r="AA16" s="1" t="s">
        <v>58</v>
      </c>
      <c r="AB16" s="1" t="s">
        <v>58</v>
      </c>
      <c r="AC16" s="1" t="s">
        <v>58</v>
      </c>
      <c r="AD16" s="1" t="s">
        <v>58</v>
      </c>
      <c r="AE16" s="1" t="s">
        <v>58</v>
      </c>
      <c r="AF16" s="1" t="s">
        <v>58</v>
      </c>
      <c r="AG16" s="1" t="s">
        <v>58</v>
      </c>
      <c r="AH16" s="1" t="s">
        <v>58</v>
      </c>
      <c r="AI16" s="1" t="s">
        <v>58</v>
      </c>
      <c r="AJ16" s="1">
        <f t="shared" si="1"/>
        <v>0</v>
      </c>
      <c r="AK16" s="1">
        <f t="shared" si="2"/>
        <v>0</v>
      </c>
    </row>
    <row r="17" spans="1:37" ht="15" customHeight="1">
      <c r="A17" s="1">
        <v>16</v>
      </c>
      <c r="B17" s="6">
        <v>2010992019</v>
      </c>
      <c r="C17" s="6" t="s">
        <v>76</v>
      </c>
      <c r="E17" t="s">
        <v>79</v>
      </c>
      <c r="F17" t="s">
        <v>82</v>
      </c>
      <c r="G17" s="7" t="s">
        <v>56</v>
      </c>
      <c r="H17" s="7" t="s">
        <v>80</v>
      </c>
      <c r="I17" s="7" t="s">
        <v>81</v>
      </c>
      <c r="J17" s="7">
        <v>2020</v>
      </c>
      <c r="K17" s="7">
        <v>3</v>
      </c>
      <c r="L17" s="1" t="s">
        <v>60</v>
      </c>
      <c r="M17" s="1" t="s">
        <v>58</v>
      </c>
      <c r="N17" s="1" t="s">
        <v>58</v>
      </c>
      <c r="O17" s="1" t="s">
        <v>58</v>
      </c>
      <c r="P17" s="1" t="s">
        <v>58</v>
      </c>
      <c r="Q17" s="1" t="s">
        <v>58</v>
      </c>
      <c r="R17" s="1" t="s">
        <v>58</v>
      </c>
      <c r="S17" s="1" t="s">
        <v>58</v>
      </c>
      <c r="T17" s="1" t="s">
        <v>58</v>
      </c>
      <c r="U17" s="1" t="s">
        <v>58</v>
      </c>
      <c r="V17" s="1" t="s">
        <v>58</v>
      </c>
      <c r="W17" s="1" t="s">
        <v>58</v>
      </c>
      <c r="X17" s="1" t="s">
        <v>58</v>
      </c>
      <c r="Y17" s="1" t="s">
        <v>58</v>
      </c>
      <c r="Z17" s="1" t="s">
        <v>58</v>
      </c>
      <c r="AA17" s="1" t="s">
        <v>58</v>
      </c>
      <c r="AB17" s="1" t="s">
        <v>58</v>
      </c>
      <c r="AC17" s="1" t="s">
        <v>58</v>
      </c>
      <c r="AD17" s="1" t="s">
        <v>58</v>
      </c>
      <c r="AE17" s="1" t="s">
        <v>58</v>
      </c>
      <c r="AF17" s="1" t="s">
        <v>58</v>
      </c>
      <c r="AG17" s="1" t="s">
        <v>58</v>
      </c>
      <c r="AH17" s="1" t="s">
        <v>58</v>
      </c>
      <c r="AI17" s="1" t="s">
        <v>58</v>
      </c>
      <c r="AJ17" s="1">
        <f t="shared" si="1"/>
        <v>0</v>
      </c>
      <c r="AK17" s="1">
        <f t="shared" si="2"/>
        <v>0</v>
      </c>
    </row>
    <row r="18" spans="1:37" ht="15" customHeight="1">
      <c r="A18" s="1">
        <v>17</v>
      </c>
      <c r="B18" s="6">
        <v>2010992163</v>
      </c>
      <c r="C18" s="6" t="s">
        <v>77</v>
      </c>
      <c r="E18" t="s">
        <v>79</v>
      </c>
      <c r="F18" t="s">
        <v>82</v>
      </c>
      <c r="G18" s="7" t="s">
        <v>56</v>
      </c>
      <c r="H18" s="7" t="s">
        <v>80</v>
      </c>
      <c r="I18" s="7" t="s">
        <v>81</v>
      </c>
      <c r="J18" s="7">
        <v>2020</v>
      </c>
      <c r="K18" s="7">
        <v>3</v>
      </c>
      <c r="L18" s="1" t="s">
        <v>60</v>
      </c>
      <c r="M18" s="1" t="s">
        <v>58</v>
      </c>
      <c r="N18" s="1" t="s">
        <v>58</v>
      </c>
      <c r="O18" s="1" t="s">
        <v>58</v>
      </c>
      <c r="P18" s="1" t="s">
        <v>58</v>
      </c>
      <c r="Q18" s="1" t="s">
        <v>58</v>
      </c>
      <c r="R18" s="1" t="s">
        <v>58</v>
      </c>
      <c r="S18" s="1" t="s">
        <v>58</v>
      </c>
      <c r="T18" s="1" t="s">
        <v>58</v>
      </c>
      <c r="U18" s="1" t="s">
        <v>58</v>
      </c>
      <c r="V18" s="1" t="s">
        <v>58</v>
      </c>
      <c r="W18" s="1" t="s">
        <v>58</v>
      </c>
      <c r="X18" s="1" t="s">
        <v>58</v>
      </c>
      <c r="Y18" s="1" t="s">
        <v>58</v>
      </c>
      <c r="Z18" s="1" t="s">
        <v>58</v>
      </c>
      <c r="AA18" s="1" t="s">
        <v>58</v>
      </c>
      <c r="AB18" s="1" t="s">
        <v>58</v>
      </c>
      <c r="AC18" s="1" t="s">
        <v>58</v>
      </c>
      <c r="AD18" s="1" t="s">
        <v>58</v>
      </c>
      <c r="AE18" s="1" t="s">
        <v>58</v>
      </c>
      <c r="AF18" s="1" t="s">
        <v>58</v>
      </c>
      <c r="AG18" s="1" t="s">
        <v>58</v>
      </c>
      <c r="AH18" s="1" t="s">
        <v>58</v>
      </c>
      <c r="AI18" s="1" t="s">
        <v>58</v>
      </c>
      <c r="AJ18" s="1">
        <f t="shared" si="1"/>
        <v>0</v>
      </c>
      <c r="AK18" s="1">
        <f t="shared" si="2"/>
        <v>0</v>
      </c>
    </row>
    <row r="19" spans="1:37" ht="15" customHeight="1">
      <c r="A19" s="1">
        <v>18</v>
      </c>
      <c r="B19" s="6">
        <v>2010992202</v>
      </c>
      <c r="C19" s="6" t="s">
        <v>78</v>
      </c>
      <c r="E19" t="s">
        <v>79</v>
      </c>
      <c r="F19" t="s">
        <v>82</v>
      </c>
      <c r="G19" s="7" t="s">
        <v>56</v>
      </c>
      <c r="H19" s="7" t="s">
        <v>80</v>
      </c>
      <c r="I19" s="7" t="s">
        <v>81</v>
      </c>
      <c r="J19" s="7">
        <v>2020</v>
      </c>
      <c r="K19" s="7">
        <v>3</v>
      </c>
      <c r="L19" s="1" t="s">
        <v>60</v>
      </c>
      <c r="M19" s="1" t="s">
        <v>58</v>
      </c>
      <c r="N19" s="1" t="s">
        <v>58</v>
      </c>
      <c r="O19" s="1" t="s">
        <v>58</v>
      </c>
      <c r="P19" s="1" t="s">
        <v>58</v>
      </c>
      <c r="Q19" s="1" t="s">
        <v>58</v>
      </c>
      <c r="R19" s="1" t="s">
        <v>58</v>
      </c>
      <c r="S19" s="1" t="s">
        <v>58</v>
      </c>
      <c r="T19" s="1" t="s">
        <v>58</v>
      </c>
      <c r="U19" s="1" t="s">
        <v>58</v>
      </c>
      <c r="V19" s="1" t="s">
        <v>58</v>
      </c>
      <c r="W19" s="1" t="s">
        <v>58</v>
      </c>
      <c r="X19" s="1" t="s">
        <v>58</v>
      </c>
      <c r="Y19" s="1" t="s">
        <v>58</v>
      </c>
      <c r="Z19" s="1" t="s">
        <v>58</v>
      </c>
      <c r="AA19" s="1" t="s">
        <v>58</v>
      </c>
      <c r="AB19" s="1" t="s">
        <v>58</v>
      </c>
      <c r="AC19" s="1" t="s">
        <v>58</v>
      </c>
      <c r="AD19" s="1" t="s">
        <v>58</v>
      </c>
      <c r="AE19" s="1" t="s">
        <v>58</v>
      </c>
      <c r="AF19" s="1" t="s">
        <v>58</v>
      </c>
      <c r="AG19" s="1" t="s">
        <v>58</v>
      </c>
      <c r="AH19" s="1" t="s">
        <v>58</v>
      </c>
      <c r="AI19" s="1" t="s">
        <v>58</v>
      </c>
      <c r="AJ19" s="1">
        <f t="shared" si="1"/>
        <v>0</v>
      </c>
      <c r="AK19" s="1">
        <f t="shared" si="2"/>
        <v>0</v>
      </c>
    </row>
    <row r="21" spans="1:37" ht="15.75" customHeight="1"/>
    <row r="22" spans="1:37" ht="15.75" customHeight="1"/>
    <row r="23" spans="1:37" ht="15.75" customHeight="1"/>
    <row r="24" spans="1:37" ht="15.75" customHeight="1"/>
    <row r="25" spans="1:37" ht="15.75" customHeight="1"/>
    <row r="26" spans="1:37" ht="15.75" customHeight="1"/>
    <row r="27" spans="1:37" ht="15.75" customHeight="1"/>
    <row r="28" spans="1:37" ht="15.75" customHeight="1"/>
    <row r="29" spans="1:37" ht="15.75" customHeight="1"/>
    <row r="30" spans="1:37" ht="15.75" customHeight="1"/>
    <row r="31" spans="1:37" ht="15.75" customHeight="1"/>
    <row r="32" spans="1:3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>
      <pane ySplit="1" topLeftCell="A2" activePane="bottomLeft" state="frozen"/>
      <selection pane="bottomLeft" activeCell="G14" sqref="G14"/>
    </sheetView>
  </sheetViews>
  <sheetFormatPr defaultColWidth="12.6640625" defaultRowHeight="15" customHeight="1"/>
  <cols>
    <col min="1" max="1" width="9.44140625" customWidth="1"/>
    <col min="2" max="2" width="17.6640625" customWidth="1"/>
    <col min="3" max="8" width="12.44140625" customWidth="1"/>
    <col min="9" max="26" width="8.6640625" customWidth="1"/>
  </cols>
  <sheetData>
    <row r="1" spans="1:8" ht="14.4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4" t="s">
        <v>18</v>
      </c>
    </row>
    <row r="2" spans="1:8" ht="14.4">
      <c r="A2" s="5" t="s">
        <v>19</v>
      </c>
      <c r="B2" s="5">
        <v>0</v>
      </c>
      <c r="C2" s="5" t="b">
        <v>0</v>
      </c>
      <c r="D2" s="5" t="b">
        <v>0</v>
      </c>
      <c r="E2" s="5" t="b">
        <v>0</v>
      </c>
      <c r="F2" s="5" t="b">
        <v>0</v>
      </c>
      <c r="G2" s="5" t="b">
        <v>0</v>
      </c>
      <c r="H2" s="5" t="b">
        <v>0</v>
      </c>
    </row>
    <row r="3" spans="1:8" ht="14.4">
      <c r="A3" s="5" t="s">
        <v>20</v>
      </c>
      <c r="B3" s="5">
        <v>0</v>
      </c>
      <c r="C3" s="5" t="b">
        <v>0</v>
      </c>
      <c r="D3" s="5" t="b">
        <v>0</v>
      </c>
      <c r="E3" s="5" t="b">
        <v>0</v>
      </c>
      <c r="F3" s="5" t="b">
        <v>0</v>
      </c>
      <c r="G3" s="5" t="b">
        <v>0</v>
      </c>
      <c r="H3" s="5" t="b">
        <v>0</v>
      </c>
    </row>
    <row r="4" spans="1:8" ht="14.4">
      <c r="A4" s="5" t="s">
        <v>21</v>
      </c>
      <c r="B4" s="5">
        <v>0</v>
      </c>
      <c r="C4" s="5" t="b">
        <v>0</v>
      </c>
      <c r="D4" s="5" t="b">
        <v>0</v>
      </c>
      <c r="E4" s="5" t="b">
        <v>0</v>
      </c>
      <c r="F4" s="5" t="b">
        <v>0</v>
      </c>
      <c r="G4" s="5" t="b">
        <v>0</v>
      </c>
      <c r="H4" s="5" t="b">
        <v>0</v>
      </c>
    </row>
    <row r="5" spans="1:8" ht="14.4">
      <c r="A5" s="5" t="s">
        <v>22</v>
      </c>
      <c r="B5" s="5">
        <v>0</v>
      </c>
      <c r="C5" s="5" t="b">
        <v>0</v>
      </c>
      <c r="D5" s="5" t="b">
        <v>0</v>
      </c>
      <c r="E5" s="5" t="b">
        <v>0</v>
      </c>
      <c r="F5" s="5" t="b">
        <v>0</v>
      </c>
      <c r="G5" s="5" t="b">
        <v>0</v>
      </c>
      <c r="H5" s="5" t="b">
        <v>0</v>
      </c>
    </row>
    <row r="6" spans="1:8" ht="14.4">
      <c r="A6" s="5" t="s">
        <v>23</v>
      </c>
      <c r="B6" s="5">
        <v>0</v>
      </c>
      <c r="C6" s="5" t="b">
        <v>0</v>
      </c>
      <c r="D6" s="5" t="b">
        <v>0</v>
      </c>
      <c r="E6" s="5" t="b">
        <v>0</v>
      </c>
      <c r="F6" s="5" t="b">
        <v>0</v>
      </c>
      <c r="G6" s="5" t="b">
        <v>0</v>
      </c>
      <c r="H6" s="5" t="b">
        <v>0</v>
      </c>
    </row>
    <row r="7" spans="1:8" ht="14.4">
      <c r="A7" s="5" t="s">
        <v>24</v>
      </c>
      <c r="B7" s="5">
        <v>0</v>
      </c>
      <c r="C7" s="5" t="b">
        <v>0</v>
      </c>
      <c r="D7" s="5" t="b">
        <v>0</v>
      </c>
      <c r="E7" s="5" t="b">
        <v>0</v>
      </c>
      <c r="F7" s="5" t="b">
        <v>0</v>
      </c>
      <c r="G7" s="5" t="b">
        <v>0</v>
      </c>
      <c r="H7" s="5" t="b">
        <v>0</v>
      </c>
    </row>
    <row r="8" spans="1:8" ht="14.4">
      <c r="A8" s="5" t="s">
        <v>25</v>
      </c>
      <c r="B8" s="5">
        <v>0</v>
      </c>
      <c r="C8" s="5" t="b">
        <v>0</v>
      </c>
      <c r="D8" s="5" t="b">
        <v>0</v>
      </c>
      <c r="E8" s="5" t="b">
        <v>0</v>
      </c>
      <c r="F8" s="5" t="b">
        <v>0</v>
      </c>
      <c r="G8" s="5" t="b">
        <v>0</v>
      </c>
      <c r="H8" s="5" t="b">
        <v>0</v>
      </c>
    </row>
    <row r="9" spans="1:8" ht="14.4">
      <c r="A9" s="5" t="s">
        <v>26</v>
      </c>
      <c r="B9" s="5">
        <v>0</v>
      </c>
      <c r="C9" s="5" t="b">
        <v>0</v>
      </c>
      <c r="D9" s="5" t="b">
        <v>0</v>
      </c>
      <c r="E9" s="5" t="b">
        <v>0</v>
      </c>
      <c r="F9" s="5" t="b">
        <v>0</v>
      </c>
      <c r="G9" s="5" t="b">
        <v>0</v>
      </c>
      <c r="H9" s="5" t="b">
        <v>0</v>
      </c>
    </row>
    <row r="10" spans="1:8" ht="14.4">
      <c r="A10" s="5" t="s">
        <v>27</v>
      </c>
      <c r="B10" s="5">
        <v>0</v>
      </c>
      <c r="C10" s="5" t="b">
        <v>0</v>
      </c>
      <c r="D10" s="5" t="b">
        <v>0</v>
      </c>
      <c r="E10" s="5" t="b">
        <v>0</v>
      </c>
      <c r="F10" s="5" t="b">
        <v>0</v>
      </c>
      <c r="G10" s="5" t="b">
        <v>0</v>
      </c>
      <c r="H10" s="5" t="b">
        <v>0</v>
      </c>
    </row>
    <row r="11" spans="1:8" ht="14.4">
      <c r="A11" s="5" t="s">
        <v>28</v>
      </c>
      <c r="B11" s="5">
        <v>0</v>
      </c>
      <c r="C11" s="5" t="b">
        <v>0</v>
      </c>
      <c r="D11" s="5" t="b">
        <v>0</v>
      </c>
      <c r="E11" s="5" t="b">
        <v>0</v>
      </c>
      <c r="F11" s="5" t="b">
        <v>0</v>
      </c>
      <c r="G11" s="5" t="b">
        <v>0</v>
      </c>
      <c r="H11" s="5" t="b">
        <v>0</v>
      </c>
    </row>
    <row r="12" spans="1:8" ht="14.4">
      <c r="A12" s="5" t="s">
        <v>29</v>
      </c>
      <c r="B12" s="5">
        <v>0</v>
      </c>
      <c r="C12" s="5" t="b">
        <v>0</v>
      </c>
      <c r="D12" s="5" t="b">
        <v>0</v>
      </c>
      <c r="E12" s="5" t="b">
        <v>0</v>
      </c>
      <c r="F12" s="5" t="b">
        <v>0</v>
      </c>
      <c r="G12" s="5" t="b">
        <v>0</v>
      </c>
      <c r="H12" s="5" t="b">
        <v>0</v>
      </c>
    </row>
    <row r="13" spans="1:8" ht="14.4">
      <c r="A13" s="5" t="s">
        <v>30</v>
      </c>
      <c r="B13" s="5">
        <v>0</v>
      </c>
      <c r="C13" s="5" t="b">
        <v>0</v>
      </c>
      <c r="D13" s="5" t="b">
        <v>0</v>
      </c>
      <c r="E13" s="5" t="b">
        <v>0</v>
      </c>
      <c r="F13" s="5" t="b">
        <v>0</v>
      </c>
      <c r="G13" s="5" t="b">
        <v>0</v>
      </c>
      <c r="H13" s="5" t="b">
        <v>0</v>
      </c>
    </row>
    <row r="14" spans="1:8" ht="14.4">
      <c r="A14" s="5" t="s">
        <v>31</v>
      </c>
      <c r="B14" s="5">
        <v>0</v>
      </c>
      <c r="C14" s="5" t="b">
        <v>0</v>
      </c>
      <c r="D14" s="5" t="b">
        <v>0</v>
      </c>
      <c r="E14" s="5" t="b">
        <v>0</v>
      </c>
      <c r="F14" s="5" t="b">
        <v>0</v>
      </c>
      <c r="G14" s="5" t="b">
        <v>0</v>
      </c>
      <c r="H14" s="5" t="b">
        <v>0</v>
      </c>
    </row>
    <row r="15" spans="1:8" ht="14.4">
      <c r="A15" s="5" t="s">
        <v>32</v>
      </c>
      <c r="B15" s="5">
        <v>0</v>
      </c>
      <c r="C15" s="5" t="b">
        <v>0</v>
      </c>
      <c r="D15" s="5" t="b">
        <v>0</v>
      </c>
      <c r="E15" s="5" t="b">
        <v>0</v>
      </c>
      <c r="F15" s="5" t="b">
        <v>0</v>
      </c>
      <c r="G15" s="5" t="b">
        <v>0</v>
      </c>
      <c r="H15" s="5" t="b">
        <v>0</v>
      </c>
    </row>
    <row r="16" spans="1:8" ht="14.4">
      <c r="A16" s="5" t="s">
        <v>33</v>
      </c>
      <c r="B16" s="5">
        <v>0</v>
      </c>
      <c r="C16" s="5" t="b">
        <v>0</v>
      </c>
      <c r="D16" s="5" t="b">
        <v>0</v>
      </c>
      <c r="E16" s="5" t="b">
        <v>0</v>
      </c>
      <c r="F16" s="5" t="b">
        <v>0</v>
      </c>
      <c r="G16" s="5" t="b">
        <v>0</v>
      </c>
      <c r="H16" s="5" t="b">
        <v>0</v>
      </c>
    </row>
    <row r="17" spans="1:8" ht="14.4">
      <c r="A17" s="5" t="s">
        <v>34</v>
      </c>
      <c r="B17" s="5">
        <v>0</v>
      </c>
      <c r="C17" s="5" t="b">
        <v>0</v>
      </c>
      <c r="D17" s="5" t="b">
        <v>0</v>
      </c>
      <c r="E17" s="5" t="b">
        <v>0</v>
      </c>
      <c r="F17" s="5" t="b">
        <v>0</v>
      </c>
      <c r="G17" s="5" t="b">
        <v>0</v>
      </c>
      <c r="H17" s="5" t="b">
        <v>0</v>
      </c>
    </row>
    <row r="18" spans="1:8" ht="14.4">
      <c r="A18" s="5" t="s">
        <v>35</v>
      </c>
      <c r="B18" s="5">
        <v>0</v>
      </c>
      <c r="C18" s="5" t="b">
        <v>0</v>
      </c>
      <c r="D18" s="5" t="b">
        <v>0</v>
      </c>
      <c r="E18" s="5" t="b">
        <v>0</v>
      </c>
      <c r="F18" s="5" t="b">
        <v>0</v>
      </c>
      <c r="G18" s="5" t="b">
        <v>0</v>
      </c>
      <c r="H18" s="5" t="b">
        <v>0</v>
      </c>
    </row>
    <row r="19" spans="1:8" ht="14.4">
      <c r="A19" s="5" t="s">
        <v>36</v>
      </c>
      <c r="B19" s="5">
        <v>0</v>
      </c>
      <c r="C19" s="5" t="b">
        <v>0</v>
      </c>
      <c r="D19" s="5" t="b">
        <v>0</v>
      </c>
      <c r="E19" s="5" t="b">
        <v>0</v>
      </c>
      <c r="F19" s="5" t="b">
        <v>0</v>
      </c>
      <c r="G19" s="5" t="b">
        <v>0</v>
      </c>
      <c r="H19" s="5" t="b">
        <v>0</v>
      </c>
    </row>
    <row r="20" spans="1:8" ht="14.4">
      <c r="A20" s="5" t="s">
        <v>37</v>
      </c>
      <c r="B20" s="5">
        <v>0</v>
      </c>
      <c r="C20" s="5" t="b">
        <v>0</v>
      </c>
      <c r="D20" s="5" t="b">
        <v>0</v>
      </c>
      <c r="E20" s="5" t="b">
        <v>0</v>
      </c>
      <c r="F20" s="5" t="b">
        <v>0</v>
      </c>
      <c r="G20" s="5" t="b">
        <v>0</v>
      </c>
      <c r="H20" s="5" t="b">
        <v>0</v>
      </c>
    </row>
    <row r="21" spans="1:8" ht="15.75" customHeight="1">
      <c r="A21" s="5" t="s">
        <v>38</v>
      </c>
      <c r="B21" s="5">
        <v>0</v>
      </c>
      <c r="C21" s="5" t="b">
        <v>0</v>
      </c>
      <c r="D21" s="5" t="b">
        <v>0</v>
      </c>
      <c r="E21" s="5" t="b">
        <v>0</v>
      </c>
      <c r="F21" s="5" t="b">
        <v>0</v>
      </c>
      <c r="G21" s="5" t="b">
        <v>0</v>
      </c>
      <c r="H21" s="5" t="b">
        <v>0</v>
      </c>
    </row>
    <row r="22" spans="1:8" ht="15.75" customHeight="1">
      <c r="A22" s="5" t="s">
        <v>39</v>
      </c>
      <c r="B22" s="5">
        <v>0</v>
      </c>
      <c r="C22" s="5" t="b">
        <v>0</v>
      </c>
      <c r="D22" s="5" t="b">
        <v>0</v>
      </c>
      <c r="E22" s="5" t="b">
        <v>0</v>
      </c>
      <c r="F22" s="5" t="b">
        <v>0</v>
      </c>
      <c r="G22" s="5" t="b">
        <v>0</v>
      </c>
      <c r="H22" s="5" t="b">
        <v>0</v>
      </c>
    </row>
    <row r="23" spans="1:8" ht="15.75" customHeight="1">
      <c r="A23" s="5" t="s">
        <v>40</v>
      </c>
      <c r="B23" s="5">
        <v>30</v>
      </c>
      <c r="C23" s="5" t="b">
        <v>1</v>
      </c>
      <c r="D23" s="5" t="b">
        <v>1</v>
      </c>
      <c r="E23" s="5" t="b">
        <v>1</v>
      </c>
      <c r="F23" s="5" t="b">
        <v>0</v>
      </c>
      <c r="G23" s="5" t="b">
        <v>0</v>
      </c>
      <c r="H23" s="5" t="b">
        <v>0</v>
      </c>
    </row>
    <row r="24" spans="1:8" ht="15.75" customHeight="1">
      <c r="A24" s="5" t="s">
        <v>41</v>
      </c>
      <c r="B24" s="5">
        <v>30</v>
      </c>
      <c r="C24" s="5" t="b">
        <v>1</v>
      </c>
      <c r="D24" s="5" t="b">
        <v>1</v>
      </c>
      <c r="E24" s="5" t="b">
        <v>1</v>
      </c>
      <c r="F24" s="5" t="b">
        <v>0</v>
      </c>
      <c r="G24" s="5" t="b">
        <v>0</v>
      </c>
      <c r="H24" s="5" t="b">
        <v>0</v>
      </c>
    </row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howDropDown="1" showErrorMessage="1" sqref="C2:H24" xr:uid="{00000000-0002-0000-0700-000001000000}">
      <formula1>"TRUE,FALSE"</formula1>
    </dataValidation>
    <dataValidation type="custom" allowBlank="1" showDropDown="1" sqref="B2:B24" xr:uid="{00000000-0002-0000-0700-000004000000}">
      <formula1>AND(ISNUMBER(B2),(NOT(OR(NOT(ISERROR(DATEVALUE(B2))), AND(ISNUMBER(B2), LEFT(CELL("format", B2))="D")))))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1000"/>
  <sheetViews>
    <sheetView workbookViewId="0">
      <selection activeCell="AH16" sqref="AH16"/>
    </sheetView>
  </sheetViews>
  <sheetFormatPr defaultColWidth="12.6640625" defaultRowHeight="15" customHeight="1"/>
  <cols>
    <col min="1" max="1" width="5.109375" customWidth="1"/>
    <col min="2" max="2" width="13.6640625" customWidth="1"/>
    <col min="3" max="37" width="8.6640625" customWidth="1"/>
  </cols>
  <sheetData>
    <row r="1" spans="1:38" ht="14.4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tr">
        <f t="array" ref="M1:AI1">TRANSPOSE('ETE Question Map'!A2:A24)</f>
        <v>1a</v>
      </c>
      <c r="N1" s="1" t="str">
        <v>1b</v>
      </c>
      <c r="O1" s="1" t="str">
        <v>1c</v>
      </c>
      <c r="P1" s="1" t="str">
        <v>1d</v>
      </c>
      <c r="Q1" s="1" t="str">
        <v>1e</v>
      </c>
      <c r="R1" s="1" t="str">
        <v>Q2</v>
      </c>
      <c r="S1" s="1" t="str">
        <v>Q3</v>
      </c>
      <c r="T1" s="1" t="str">
        <v>Q4</v>
      </c>
      <c r="U1" s="1" t="str">
        <v>Q5</v>
      </c>
      <c r="V1" s="1" t="str">
        <v>Q6</v>
      </c>
      <c r="W1" s="1" t="str">
        <v>Q7</v>
      </c>
      <c r="X1" s="1" t="str">
        <v>Q8</v>
      </c>
      <c r="Y1" s="1" t="str">
        <v>Q9</v>
      </c>
      <c r="Z1" s="1" t="str">
        <v>Q10</v>
      </c>
      <c r="AA1" s="1" t="str">
        <v>Q11</v>
      </c>
      <c r="AB1" s="1" t="str">
        <v>Q12</v>
      </c>
      <c r="AC1" s="1" t="str">
        <v>Q13</v>
      </c>
      <c r="AD1" s="1" t="str">
        <v>Q14</v>
      </c>
      <c r="AE1" s="1" t="str">
        <v>Q15</v>
      </c>
      <c r="AF1" s="1" t="str">
        <v>Q16</v>
      </c>
      <c r="AG1" s="1" t="str">
        <v>Assignment</v>
      </c>
      <c r="AH1" s="1" t="str">
        <v>FA1</v>
      </c>
      <c r="AI1" s="1" t="str">
        <v>FA2</v>
      </c>
      <c r="AJ1" s="1" t="s">
        <v>54</v>
      </c>
      <c r="AK1" s="1" t="s">
        <v>55</v>
      </c>
    </row>
    <row r="2" spans="1:38" ht="14.4">
      <c r="A2">
        <v>1</v>
      </c>
      <c r="B2" s="6">
        <v>2010990089</v>
      </c>
      <c r="C2" s="6" t="s">
        <v>61</v>
      </c>
      <c r="E2" t="s">
        <v>79</v>
      </c>
      <c r="F2" t="s">
        <v>82</v>
      </c>
      <c r="G2" s="7" t="s">
        <v>56</v>
      </c>
      <c r="H2" s="7" t="s">
        <v>80</v>
      </c>
      <c r="I2" s="7" t="s">
        <v>81</v>
      </c>
      <c r="J2" s="7">
        <v>2020</v>
      </c>
      <c r="K2" s="7">
        <v>3</v>
      </c>
      <c r="L2" s="8" t="s">
        <v>83</v>
      </c>
      <c r="M2" s="1" t="s">
        <v>58</v>
      </c>
      <c r="N2" s="1" t="s">
        <v>58</v>
      </c>
      <c r="O2" s="1" t="s">
        <v>58</v>
      </c>
      <c r="P2" s="1" t="s">
        <v>58</v>
      </c>
      <c r="Q2" s="1" t="s">
        <v>58</v>
      </c>
      <c r="R2" s="1" t="s">
        <v>58</v>
      </c>
      <c r="S2" s="1" t="s">
        <v>58</v>
      </c>
      <c r="T2" s="1" t="s">
        <v>58</v>
      </c>
      <c r="U2" s="1" t="s">
        <v>58</v>
      </c>
      <c r="V2" s="1" t="s">
        <v>58</v>
      </c>
      <c r="W2" s="1" t="s">
        <v>58</v>
      </c>
      <c r="X2" s="1" t="s">
        <v>58</v>
      </c>
      <c r="Y2" s="1" t="s">
        <v>58</v>
      </c>
      <c r="Z2" s="1" t="s">
        <v>58</v>
      </c>
      <c r="AA2" s="1" t="s">
        <v>58</v>
      </c>
      <c r="AB2" s="1" t="s">
        <v>58</v>
      </c>
      <c r="AC2" s="1" t="s">
        <v>58</v>
      </c>
      <c r="AD2" s="1" t="s">
        <v>58</v>
      </c>
      <c r="AE2" s="1" t="s">
        <v>58</v>
      </c>
      <c r="AF2" s="1" t="s">
        <v>58</v>
      </c>
      <c r="AG2" s="1" t="s">
        <v>58</v>
      </c>
      <c r="AH2" s="1">
        <v>25</v>
      </c>
      <c r="AI2" s="1">
        <v>20</v>
      </c>
      <c r="AJ2" s="9">
        <f t="shared" ref="AJ2:AJ19" si="0">SUM(M2:AI2)</f>
        <v>45</v>
      </c>
      <c r="AK2" s="10">
        <v>60</v>
      </c>
      <c r="AL2" s="22"/>
    </row>
    <row r="3" spans="1:38" ht="14.4">
      <c r="A3">
        <v>2</v>
      </c>
      <c r="B3" s="6">
        <v>2010992002</v>
      </c>
      <c r="C3" s="6" t="s">
        <v>62</v>
      </c>
      <c r="E3" t="s">
        <v>79</v>
      </c>
      <c r="F3" t="s">
        <v>82</v>
      </c>
      <c r="G3" s="7" t="s">
        <v>56</v>
      </c>
      <c r="H3" s="7" t="s">
        <v>80</v>
      </c>
      <c r="I3" s="7" t="s">
        <v>81</v>
      </c>
      <c r="J3" s="7">
        <v>2020</v>
      </c>
      <c r="K3" s="7">
        <v>3</v>
      </c>
      <c r="L3" s="8" t="s">
        <v>83</v>
      </c>
      <c r="M3" s="1" t="s">
        <v>58</v>
      </c>
      <c r="N3" s="1" t="s">
        <v>58</v>
      </c>
      <c r="O3" s="1" t="s">
        <v>58</v>
      </c>
      <c r="P3" s="1" t="s">
        <v>58</v>
      </c>
      <c r="Q3" s="1" t="s">
        <v>58</v>
      </c>
      <c r="R3" s="1" t="s">
        <v>58</v>
      </c>
      <c r="S3" s="1" t="s">
        <v>58</v>
      </c>
      <c r="T3" s="1" t="s">
        <v>58</v>
      </c>
      <c r="U3" s="1" t="s">
        <v>58</v>
      </c>
      <c r="V3" s="1" t="s">
        <v>58</v>
      </c>
      <c r="W3" s="1" t="s">
        <v>58</v>
      </c>
      <c r="X3" s="1" t="s">
        <v>58</v>
      </c>
      <c r="Y3" s="1" t="s">
        <v>58</v>
      </c>
      <c r="Z3" s="1" t="s">
        <v>58</v>
      </c>
      <c r="AA3" s="1" t="s">
        <v>58</v>
      </c>
      <c r="AB3" s="1" t="s">
        <v>58</v>
      </c>
      <c r="AC3" s="1" t="s">
        <v>58</v>
      </c>
      <c r="AD3" s="1" t="s">
        <v>58</v>
      </c>
      <c r="AE3" s="1" t="s">
        <v>58</v>
      </c>
      <c r="AF3" s="1" t="s">
        <v>58</v>
      </c>
      <c r="AG3" s="1" t="s">
        <v>58</v>
      </c>
      <c r="AH3" s="1">
        <v>25</v>
      </c>
      <c r="AI3" s="1">
        <v>22</v>
      </c>
      <c r="AJ3" s="9">
        <f t="shared" si="0"/>
        <v>47</v>
      </c>
      <c r="AK3" s="10">
        <v>60</v>
      </c>
      <c r="AL3" s="22"/>
    </row>
    <row r="4" spans="1:38" ht="14.4">
      <c r="A4">
        <v>3</v>
      </c>
      <c r="B4" s="6">
        <v>2010992004</v>
      </c>
      <c r="C4" s="6" t="s">
        <v>63</v>
      </c>
      <c r="E4" t="s">
        <v>79</v>
      </c>
      <c r="F4" t="s">
        <v>82</v>
      </c>
      <c r="G4" s="7" t="s">
        <v>56</v>
      </c>
      <c r="H4" s="7" t="s">
        <v>80</v>
      </c>
      <c r="I4" s="7" t="s">
        <v>81</v>
      </c>
      <c r="J4" s="7">
        <v>2020</v>
      </c>
      <c r="K4" s="7">
        <v>3</v>
      </c>
      <c r="L4" s="8" t="s">
        <v>83</v>
      </c>
      <c r="M4" s="1" t="s">
        <v>58</v>
      </c>
      <c r="N4" s="1" t="s">
        <v>58</v>
      </c>
      <c r="O4" s="1" t="s">
        <v>58</v>
      </c>
      <c r="P4" s="1" t="s">
        <v>58</v>
      </c>
      <c r="Q4" s="1" t="s">
        <v>58</v>
      </c>
      <c r="R4" s="1" t="s">
        <v>58</v>
      </c>
      <c r="S4" s="1" t="s">
        <v>58</v>
      </c>
      <c r="T4" s="1" t="s">
        <v>58</v>
      </c>
      <c r="U4" s="1" t="s">
        <v>58</v>
      </c>
      <c r="V4" s="1" t="s">
        <v>58</v>
      </c>
      <c r="W4" s="1" t="s">
        <v>58</v>
      </c>
      <c r="X4" s="1" t="s">
        <v>58</v>
      </c>
      <c r="Y4" s="1" t="s">
        <v>58</v>
      </c>
      <c r="Z4" s="1" t="s">
        <v>58</v>
      </c>
      <c r="AA4" s="1" t="s">
        <v>58</v>
      </c>
      <c r="AB4" s="1" t="s">
        <v>58</v>
      </c>
      <c r="AC4" s="1" t="s">
        <v>58</v>
      </c>
      <c r="AD4" s="1" t="s">
        <v>58</v>
      </c>
      <c r="AE4" s="1" t="s">
        <v>58</v>
      </c>
      <c r="AF4" s="1" t="s">
        <v>58</v>
      </c>
      <c r="AG4" s="1" t="s">
        <v>58</v>
      </c>
      <c r="AH4" s="1">
        <v>26</v>
      </c>
      <c r="AI4" s="1">
        <v>20</v>
      </c>
      <c r="AJ4" s="9">
        <f t="shared" si="0"/>
        <v>46</v>
      </c>
      <c r="AK4" s="10">
        <v>60</v>
      </c>
      <c r="AL4" s="22"/>
    </row>
    <row r="5" spans="1:38" ht="14.4">
      <c r="A5">
        <v>4</v>
      </c>
      <c r="B5" s="6">
        <v>2010992005</v>
      </c>
      <c r="C5" s="6" t="s">
        <v>64</v>
      </c>
      <c r="E5" t="s">
        <v>79</v>
      </c>
      <c r="F5" t="s">
        <v>82</v>
      </c>
      <c r="G5" s="7" t="s">
        <v>56</v>
      </c>
      <c r="H5" s="7" t="s">
        <v>80</v>
      </c>
      <c r="I5" s="7" t="s">
        <v>81</v>
      </c>
      <c r="J5" s="7">
        <v>2020</v>
      </c>
      <c r="K5" s="7">
        <v>3</v>
      </c>
      <c r="L5" s="8" t="s">
        <v>83</v>
      </c>
      <c r="M5" s="1" t="s">
        <v>58</v>
      </c>
      <c r="N5" s="1" t="s">
        <v>58</v>
      </c>
      <c r="O5" s="1" t="s">
        <v>58</v>
      </c>
      <c r="P5" s="1" t="s">
        <v>58</v>
      </c>
      <c r="Q5" s="1" t="s">
        <v>58</v>
      </c>
      <c r="R5" s="1" t="s">
        <v>58</v>
      </c>
      <c r="S5" s="1" t="s">
        <v>58</v>
      </c>
      <c r="T5" s="1" t="s">
        <v>58</v>
      </c>
      <c r="U5" s="1" t="s">
        <v>58</v>
      </c>
      <c r="V5" s="1" t="s">
        <v>58</v>
      </c>
      <c r="W5" s="1" t="s">
        <v>58</v>
      </c>
      <c r="X5" s="1" t="s">
        <v>58</v>
      </c>
      <c r="Y5" s="1" t="s">
        <v>58</v>
      </c>
      <c r="Z5" s="1" t="s">
        <v>58</v>
      </c>
      <c r="AA5" s="1" t="s">
        <v>58</v>
      </c>
      <c r="AB5" s="1" t="s">
        <v>58</v>
      </c>
      <c r="AC5" s="1" t="s">
        <v>58</v>
      </c>
      <c r="AD5" s="1" t="s">
        <v>58</v>
      </c>
      <c r="AE5" s="1" t="s">
        <v>58</v>
      </c>
      <c r="AF5" s="1" t="s">
        <v>58</v>
      </c>
      <c r="AG5" s="1" t="s">
        <v>58</v>
      </c>
      <c r="AH5" s="1">
        <v>25</v>
      </c>
      <c r="AI5" s="1">
        <v>18</v>
      </c>
      <c r="AJ5" s="9">
        <f t="shared" si="0"/>
        <v>43</v>
      </c>
      <c r="AK5" s="10">
        <v>60</v>
      </c>
      <c r="AL5" s="22"/>
    </row>
    <row r="6" spans="1:38" ht="15" customHeight="1">
      <c r="A6">
        <v>5</v>
      </c>
      <c r="B6" s="6">
        <v>2010992006</v>
      </c>
      <c r="C6" s="6" t="s">
        <v>65</v>
      </c>
      <c r="E6" t="s">
        <v>79</v>
      </c>
      <c r="F6" t="s">
        <v>82</v>
      </c>
      <c r="G6" s="7" t="s">
        <v>56</v>
      </c>
      <c r="H6" s="7" t="s">
        <v>80</v>
      </c>
      <c r="I6" s="7" t="s">
        <v>81</v>
      </c>
      <c r="J6" s="7">
        <v>2020</v>
      </c>
      <c r="K6" s="7">
        <v>3</v>
      </c>
      <c r="L6" s="8" t="s">
        <v>83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58</v>
      </c>
      <c r="AF6" s="1" t="s">
        <v>58</v>
      </c>
      <c r="AG6" s="1" t="s">
        <v>58</v>
      </c>
      <c r="AH6" s="1">
        <v>26</v>
      </c>
      <c r="AI6" s="1">
        <v>22</v>
      </c>
      <c r="AJ6" s="9">
        <f t="shared" si="0"/>
        <v>48</v>
      </c>
      <c r="AK6" s="10">
        <v>60</v>
      </c>
      <c r="AL6" s="22"/>
    </row>
    <row r="7" spans="1:38" ht="15" customHeight="1">
      <c r="A7">
        <v>6</v>
      </c>
      <c r="B7" s="6">
        <v>2010992008</v>
      </c>
      <c r="C7" s="6" t="s">
        <v>66</v>
      </c>
      <c r="E7" t="s">
        <v>79</v>
      </c>
      <c r="F7" t="s">
        <v>82</v>
      </c>
      <c r="G7" s="7" t="s">
        <v>56</v>
      </c>
      <c r="H7" s="7" t="s">
        <v>80</v>
      </c>
      <c r="I7" s="7" t="s">
        <v>81</v>
      </c>
      <c r="J7" s="7">
        <v>2020</v>
      </c>
      <c r="K7" s="7">
        <v>3</v>
      </c>
      <c r="L7" s="8" t="s">
        <v>83</v>
      </c>
      <c r="M7" s="1" t="s">
        <v>58</v>
      </c>
      <c r="N7" s="1" t="s">
        <v>58</v>
      </c>
      <c r="O7" s="1" t="s">
        <v>58</v>
      </c>
      <c r="P7" s="1" t="s">
        <v>58</v>
      </c>
      <c r="Q7" s="1" t="s">
        <v>58</v>
      </c>
      <c r="R7" s="1" t="s">
        <v>58</v>
      </c>
      <c r="S7" s="1" t="s">
        <v>58</v>
      </c>
      <c r="T7" s="1" t="s">
        <v>58</v>
      </c>
      <c r="U7" s="1" t="s">
        <v>58</v>
      </c>
      <c r="V7" s="1" t="s">
        <v>58</v>
      </c>
      <c r="W7" s="1" t="s">
        <v>58</v>
      </c>
      <c r="X7" s="1" t="s">
        <v>58</v>
      </c>
      <c r="Y7" s="1" t="s">
        <v>58</v>
      </c>
      <c r="Z7" s="1" t="s">
        <v>58</v>
      </c>
      <c r="AA7" s="1" t="s">
        <v>58</v>
      </c>
      <c r="AB7" s="1" t="s">
        <v>58</v>
      </c>
      <c r="AC7" s="1" t="s">
        <v>58</v>
      </c>
      <c r="AD7" s="1" t="s">
        <v>58</v>
      </c>
      <c r="AE7" s="1" t="s">
        <v>58</v>
      </c>
      <c r="AF7" s="1" t="s">
        <v>58</v>
      </c>
      <c r="AG7" s="1" t="s">
        <v>58</v>
      </c>
      <c r="AH7" s="1">
        <v>28</v>
      </c>
      <c r="AI7" s="1">
        <v>20</v>
      </c>
      <c r="AJ7" s="9">
        <f t="shared" si="0"/>
        <v>48</v>
      </c>
      <c r="AK7" s="10">
        <v>60</v>
      </c>
      <c r="AL7" s="22"/>
    </row>
    <row r="8" spans="1:38" ht="15" customHeight="1">
      <c r="A8">
        <v>7</v>
      </c>
      <c r="B8" s="6">
        <v>2010992009</v>
      </c>
      <c r="C8" s="6" t="s">
        <v>67</v>
      </c>
      <c r="E8" t="s">
        <v>79</v>
      </c>
      <c r="F8" t="s">
        <v>82</v>
      </c>
      <c r="G8" s="7" t="s">
        <v>56</v>
      </c>
      <c r="H8" s="7" t="s">
        <v>80</v>
      </c>
      <c r="I8" s="7" t="s">
        <v>81</v>
      </c>
      <c r="J8" s="7">
        <v>2020</v>
      </c>
      <c r="K8" s="7">
        <v>3</v>
      </c>
      <c r="L8" s="8" t="s">
        <v>83</v>
      </c>
      <c r="M8" s="1" t="s">
        <v>58</v>
      </c>
      <c r="N8" s="1" t="s">
        <v>58</v>
      </c>
      <c r="O8" s="1" t="s">
        <v>58</v>
      </c>
      <c r="P8" s="1" t="s">
        <v>58</v>
      </c>
      <c r="Q8" s="1" t="s">
        <v>58</v>
      </c>
      <c r="R8" s="1" t="s">
        <v>58</v>
      </c>
      <c r="S8" s="1" t="s">
        <v>58</v>
      </c>
      <c r="T8" s="1" t="s">
        <v>58</v>
      </c>
      <c r="U8" s="1" t="s">
        <v>58</v>
      </c>
      <c r="V8" s="1" t="s">
        <v>58</v>
      </c>
      <c r="W8" s="1" t="s">
        <v>58</v>
      </c>
      <c r="X8" s="1" t="s">
        <v>58</v>
      </c>
      <c r="Y8" s="1" t="s">
        <v>58</v>
      </c>
      <c r="Z8" s="1" t="s">
        <v>58</v>
      </c>
      <c r="AA8" s="1" t="s">
        <v>58</v>
      </c>
      <c r="AB8" s="1" t="s">
        <v>58</v>
      </c>
      <c r="AC8" s="1" t="s">
        <v>58</v>
      </c>
      <c r="AD8" s="1" t="s">
        <v>58</v>
      </c>
      <c r="AE8" s="1" t="s">
        <v>58</v>
      </c>
      <c r="AF8" s="1" t="s">
        <v>58</v>
      </c>
      <c r="AG8" s="1" t="s">
        <v>58</v>
      </c>
      <c r="AH8" s="1">
        <v>22</v>
      </c>
      <c r="AI8" s="1">
        <v>28</v>
      </c>
      <c r="AJ8" s="9">
        <f t="shared" si="0"/>
        <v>50</v>
      </c>
      <c r="AK8" s="10">
        <v>60</v>
      </c>
      <c r="AL8" s="22"/>
    </row>
    <row r="9" spans="1:38" ht="15" customHeight="1">
      <c r="A9">
        <v>8</v>
      </c>
      <c r="B9" s="6">
        <v>2010992010</v>
      </c>
      <c r="C9" s="6" t="s">
        <v>68</v>
      </c>
      <c r="E9" t="s">
        <v>79</v>
      </c>
      <c r="F9" t="s">
        <v>82</v>
      </c>
      <c r="G9" s="7" t="s">
        <v>56</v>
      </c>
      <c r="H9" s="7" t="s">
        <v>80</v>
      </c>
      <c r="I9" s="7" t="s">
        <v>81</v>
      </c>
      <c r="J9" s="7">
        <v>2020</v>
      </c>
      <c r="K9" s="7">
        <v>3</v>
      </c>
      <c r="L9" s="8" t="s">
        <v>83</v>
      </c>
      <c r="M9" s="1" t="s">
        <v>58</v>
      </c>
      <c r="N9" s="1" t="s">
        <v>58</v>
      </c>
      <c r="O9" s="1" t="s">
        <v>58</v>
      </c>
      <c r="P9" s="1" t="s">
        <v>58</v>
      </c>
      <c r="Q9" s="1" t="s">
        <v>58</v>
      </c>
      <c r="R9" s="1" t="s">
        <v>58</v>
      </c>
      <c r="S9" s="1" t="s">
        <v>58</v>
      </c>
      <c r="T9" s="1" t="s">
        <v>58</v>
      </c>
      <c r="U9" s="1" t="s">
        <v>58</v>
      </c>
      <c r="V9" s="1" t="s">
        <v>58</v>
      </c>
      <c r="W9" s="1" t="s">
        <v>58</v>
      </c>
      <c r="X9" s="1" t="s">
        <v>58</v>
      </c>
      <c r="Y9" s="1" t="s">
        <v>58</v>
      </c>
      <c r="Z9" s="1" t="s">
        <v>58</v>
      </c>
      <c r="AA9" s="1" t="s">
        <v>58</v>
      </c>
      <c r="AB9" s="1" t="s">
        <v>58</v>
      </c>
      <c r="AC9" s="1" t="s">
        <v>58</v>
      </c>
      <c r="AD9" s="1" t="s">
        <v>58</v>
      </c>
      <c r="AE9" s="1" t="s">
        <v>58</v>
      </c>
      <c r="AF9" s="1" t="s">
        <v>58</v>
      </c>
      <c r="AG9" s="1" t="s">
        <v>58</v>
      </c>
      <c r="AH9" s="1">
        <v>26</v>
      </c>
      <c r="AI9" s="1">
        <v>22</v>
      </c>
      <c r="AJ9" s="9">
        <f t="shared" si="0"/>
        <v>48</v>
      </c>
      <c r="AK9" s="10">
        <v>60</v>
      </c>
      <c r="AL9" s="22"/>
    </row>
    <row r="10" spans="1:38" ht="15" customHeight="1">
      <c r="A10">
        <v>9</v>
      </c>
      <c r="B10" s="6">
        <v>2010992011</v>
      </c>
      <c r="C10" s="6" t="s">
        <v>69</v>
      </c>
      <c r="E10" t="s">
        <v>79</v>
      </c>
      <c r="F10" t="s">
        <v>82</v>
      </c>
      <c r="G10" s="7" t="s">
        <v>56</v>
      </c>
      <c r="H10" s="7" t="s">
        <v>80</v>
      </c>
      <c r="I10" s="7" t="s">
        <v>81</v>
      </c>
      <c r="J10" s="7">
        <v>2020</v>
      </c>
      <c r="K10" s="7">
        <v>3</v>
      </c>
      <c r="L10" s="8" t="s">
        <v>83</v>
      </c>
      <c r="M10" s="1" t="s">
        <v>58</v>
      </c>
      <c r="N10" s="1" t="s">
        <v>58</v>
      </c>
      <c r="O10" s="1" t="s">
        <v>58</v>
      </c>
      <c r="P10" s="1" t="s">
        <v>58</v>
      </c>
      <c r="Q10" s="1" t="s">
        <v>58</v>
      </c>
      <c r="R10" s="1" t="s">
        <v>58</v>
      </c>
      <c r="S10" s="1" t="s">
        <v>58</v>
      </c>
      <c r="T10" s="1" t="s">
        <v>58</v>
      </c>
      <c r="U10" s="1" t="s">
        <v>58</v>
      </c>
      <c r="V10" s="1" t="s">
        <v>58</v>
      </c>
      <c r="W10" s="1" t="s">
        <v>58</v>
      </c>
      <c r="X10" s="1" t="s">
        <v>58</v>
      </c>
      <c r="Y10" s="1" t="s">
        <v>58</v>
      </c>
      <c r="Z10" s="1" t="s">
        <v>58</v>
      </c>
      <c r="AA10" s="1" t="s">
        <v>58</v>
      </c>
      <c r="AB10" s="1" t="s">
        <v>58</v>
      </c>
      <c r="AC10" s="1" t="s">
        <v>58</v>
      </c>
      <c r="AD10" s="1" t="s">
        <v>58</v>
      </c>
      <c r="AE10" s="1" t="s">
        <v>58</v>
      </c>
      <c r="AF10" s="1" t="s">
        <v>58</v>
      </c>
      <c r="AG10" s="1" t="s">
        <v>58</v>
      </c>
      <c r="AH10" s="1">
        <v>26</v>
      </c>
      <c r="AI10" s="1">
        <v>20</v>
      </c>
      <c r="AJ10" s="9">
        <f t="shared" si="0"/>
        <v>46</v>
      </c>
      <c r="AK10" s="10">
        <v>60</v>
      </c>
      <c r="AL10" s="22"/>
    </row>
    <row r="11" spans="1:38" ht="15" customHeight="1">
      <c r="A11">
        <v>10</v>
      </c>
      <c r="B11" s="6">
        <v>2010992012</v>
      </c>
      <c r="C11" s="6" t="s">
        <v>70</v>
      </c>
      <c r="E11" t="s">
        <v>79</v>
      </c>
      <c r="F11" t="s">
        <v>82</v>
      </c>
      <c r="G11" s="7" t="s">
        <v>56</v>
      </c>
      <c r="H11" s="7" t="s">
        <v>80</v>
      </c>
      <c r="I11" s="7" t="s">
        <v>81</v>
      </c>
      <c r="J11" s="7">
        <v>2020</v>
      </c>
      <c r="K11" s="7">
        <v>3</v>
      </c>
      <c r="L11" s="8" t="s">
        <v>83</v>
      </c>
      <c r="M11" s="1" t="s">
        <v>58</v>
      </c>
      <c r="N11" s="1" t="s">
        <v>58</v>
      </c>
      <c r="O11" s="1" t="s">
        <v>58</v>
      </c>
      <c r="P11" s="1" t="s">
        <v>58</v>
      </c>
      <c r="Q11" s="1" t="s">
        <v>58</v>
      </c>
      <c r="R11" s="1" t="s">
        <v>58</v>
      </c>
      <c r="S11" s="1" t="s">
        <v>58</v>
      </c>
      <c r="T11" s="1" t="s">
        <v>58</v>
      </c>
      <c r="U11" s="1" t="s">
        <v>58</v>
      </c>
      <c r="V11" s="1" t="s">
        <v>58</v>
      </c>
      <c r="W11" s="1" t="s">
        <v>58</v>
      </c>
      <c r="X11" s="1" t="s">
        <v>58</v>
      </c>
      <c r="Y11" s="1" t="s">
        <v>58</v>
      </c>
      <c r="Z11" s="1" t="s">
        <v>58</v>
      </c>
      <c r="AA11" s="1" t="s">
        <v>58</v>
      </c>
      <c r="AB11" s="1" t="s">
        <v>58</v>
      </c>
      <c r="AC11" s="1" t="s">
        <v>58</v>
      </c>
      <c r="AD11" s="1" t="s">
        <v>58</v>
      </c>
      <c r="AE11" s="1" t="s">
        <v>58</v>
      </c>
      <c r="AF11" s="1" t="s">
        <v>58</v>
      </c>
      <c r="AG11" s="1" t="s">
        <v>58</v>
      </c>
      <c r="AH11" s="1">
        <v>23</v>
      </c>
      <c r="AI11" s="1">
        <v>18</v>
      </c>
      <c r="AJ11" s="9">
        <f t="shared" si="0"/>
        <v>41</v>
      </c>
      <c r="AK11" s="10">
        <v>60</v>
      </c>
      <c r="AL11" s="22"/>
    </row>
    <row r="12" spans="1:38" ht="15" customHeight="1">
      <c r="A12">
        <v>11</v>
      </c>
      <c r="B12" s="6">
        <v>2010992014</v>
      </c>
      <c r="C12" s="6" t="s">
        <v>71</v>
      </c>
      <c r="E12" t="s">
        <v>79</v>
      </c>
      <c r="F12" t="s">
        <v>82</v>
      </c>
      <c r="G12" s="7" t="s">
        <v>56</v>
      </c>
      <c r="H12" s="7" t="s">
        <v>80</v>
      </c>
      <c r="I12" s="7" t="s">
        <v>81</v>
      </c>
      <c r="J12" s="7">
        <v>2020</v>
      </c>
      <c r="K12" s="7">
        <v>3</v>
      </c>
      <c r="L12" s="8" t="s">
        <v>83</v>
      </c>
      <c r="M12" s="1" t="s">
        <v>58</v>
      </c>
      <c r="N12" s="1" t="s">
        <v>58</v>
      </c>
      <c r="O12" s="1" t="s">
        <v>58</v>
      </c>
      <c r="P12" s="1" t="s">
        <v>58</v>
      </c>
      <c r="Q12" s="1" t="s">
        <v>58</v>
      </c>
      <c r="R12" s="1" t="s">
        <v>58</v>
      </c>
      <c r="S12" s="1" t="s">
        <v>58</v>
      </c>
      <c r="T12" s="1" t="s">
        <v>58</v>
      </c>
      <c r="U12" s="1" t="s">
        <v>58</v>
      </c>
      <c r="V12" s="1" t="s">
        <v>58</v>
      </c>
      <c r="W12" s="1" t="s">
        <v>58</v>
      </c>
      <c r="X12" s="1" t="s">
        <v>58</v>
      </c>
      <c r="Y12" s="1" t="s">
        <v>58</v>
      </c>
      <c r="Z12" s="1" t="s">
        <v>58</v>
      </c>
      <c r="AA12" s="1" t="s">
        <v>58</v>
      </c>
      <c r="AB12" s="1" t="s">
        <v>58</v>
      </c>
      <c r="AC12" s="1" t="s">
        <v>58</v>
      </c>
      <c r="AD12" s="1" t="s">
        <v>58</v>
      </c>
      <c r="AE12" s="1" t="s">
        <v>58</v>
      </c>
      <c r="AF12" s="1" t="s">
        <v>58</v>
      </c>
      <c r="AG12" s="1" t="s">
        <v>58</v>
      </c>
      <c r="AH12" s="1">
        <v>26</v>
      </c>
      <c r="AI12" s="1">
        <v>22</v>
      </c>
      <c r="AJ12" s="9">
        <f t="shared" si="0"/>
        <v>48</v>
      </c>
      <c r="AK12" s="10">
        <v>60</v>
      </c>
      <c r="AL12" s="22"/>
    </row>
    <row r="13" spans="1:38" ht="15" customHeight="1">
      <c r="A13">
        <v>12</v>
      </c>
      <c r="B13" s="6">
        <v>2010992015</v>
      </c>
      <c r="C13" s="6" t="s">
        <v>72</v>
      </c>
      <c r="E13" t="s">
        <v>79</v>
      </c>
      <c r="F13" t="s">
        <v>82</v>
      </c>
      <c r="G13" s="7" t="s">
        <v>56</v>
      </c>
      <c r="H13" s="7" t="s">
        <v>80</v>
      </c>
      <c r="I13" s="7" t="s">
        <v>81</v>
      </c>
      <c r="J13" s="7">
        <v>2020</v>
      </c>
      <c r="K13" s="7">
        <v>3</v>
      </c>
      <c r="L13" s="8" t="s">
        <v>83</v>
      </c>
      <c r="M13" s="1" t="s">
        <v>58</v>
      </c>
      <c r="N13" s="1" t="s">
        <v>58</v>
      </c>
      <c r="O13" s="1" t="s">
        <v>58</v>
      </c>
      <c r="P13" s="1" t="s">
        <v>58</v>
      </c>
      <c r="Q13" s="1" t="s">
        <v>58</v>
      </c>
      <c r="R13" s="1" t="s">
        <v>58</v>
      </c>
      <c r="S13" s="1" t="s">
        <v>58</v>
      </c>
      <c r="T13" s="1" t="s">
        <v>58</v>
      </c>
      <c r="U13" s="1" t="s">
        <v>58</v>
      </c>
      <c r="V13" s="1" t="s">
        <v>58</v>
      </c>
      <c r="W13" s="1" t="s">
        <v>58</v>
      </c>
      <c r="X13" s="1" t="s">
        <v>58</v>
      </c>
      <c r="Y13" s="1" t="s">
        <v>58</v>
      </c>
      <c r="Z13" s="1" t="s">
        <v>58</v>
      </c>
      <c r="AA13" s="1" t="s">
        <v>58</v>
      </c>
      <c r="AB13" s="1" t="s">
        <v>58</v>
      </c>
      <c r="AC13" s="1" t="s">
        <v>58</v>
      </c>
      <c r="AD13" s="1" t="s">
        <v>58</v>
      </c>
      <c r="AE13" s="1" t="s">
        <v>58</v>
      </c>
      <c r="AF13" s="1" t="s">
        <v>58</v>
      </c>
      <c r="AG13" s="1" t="s">
        <v>58</v>
      </c>
      <c r="AH13" s="1">
        <v>20</v>
      </c>
      <c r="AI13" s="1">
        <v>18</v>
      </c>
      <c r="AJ13" s="9">
        <f t="shared" si="0"/>
        <v>38</v>
      </c>
      <c r="AK13" s="10">
        <v>60</v>
      </c>
      <c r="AL13" s="22"/>
    </row>
    <row r="14" spans="1:38" ht="15" customHeight="1">
      <c r="A14">
        <v>13</v>
      </c>
      <c r="B14" s="6">
        <v>2010992016</v>
      </c>
      <c r="C14" s="6" t="s">
        <v>73</v>
      </c>
      <c r="E14" t="s">
        <v>79</v>
      </c>
      <c r="F14" t="s">
        <v>82</v>
      </c>
      <c r="G14" s="7" t="s">
        <v>56</v>
      </c>
      <c r="H14" s="7" t="s">
        <v>80</v>
      </c>
      <c r="I14" s="7" t="s">
        <v>81</v>
      </c>
      <c r="J14" s="7">
        <v>2020</v>
      </c>
      <c r="K14" s="7">
        <v>3</v>
      </c>
      <c r="L14" s="8" t="s">
        <v>83</v>
      </c>
      <c r="M14" s="1" t="s">
        <v>58</v>
      </c>
      <c r="N14" s="1" t="s">
        <v>58</v>
      </c>
      <c r="O14" s="1" t="s">
        <v>58</v>
      </c>
      <c r="P14" s="1" t="s">
        <v>58</v>
      </c>
      <c r="Q14" s="1" t="s">
        <v>58</v>
      </c>
      <c r="R14" s="1" t="s">
        <v>58</v>
      </c>
      <c r="S14" s="1" t="s">
        <v>58</v>
      </c>
      <c r="T14" s="1" t="s">
        <v>58</v>
      </c>
      <c r="U14" s="1" t="s">
        <v>58</v>
      </c>
      <c r="V14" s="1" t="s">
        <v>58</v>
      </c>
      <c r="W14" s="1" t="s">
        <v>58</v>
      </c>
      <c r="X14" s="1" t="s">
        <v>58</v>
      </c>
      <c r="Y14" s="1" t="s">
        <v>58</v>
      </c>
      <c r="Z14" s="1" t="s">
        <v>58</v>
      </c>
      <c r="AA14" s="1" t="s">
        <v>58</v>
      </c>
      <c r="AB14" s="1" t="s">
        <v>58</v>
      </c>
      <c r="AC14" s="1" t="s">
        <v>58</v>
      </c>
      <c r="AD14" s="1" t="s">
        <v>58</v>
      </c>
      <c r="AE14" s="1" t="s">
        <v>58</v>
      </c>
      <c r="AF14" s="1" t="s">
        <v>58</v>
      </c>
      <c r="AG14" s="1" t="s">
        <v>58</v>
      </c>
      <c r="AH14" s="1">
        <v>28</v>
      </c>
      <c r="AI14" s="1">
        <v>22</v>
      </c>
      <c r="AJ14" s="9">
        <f t="shared" si="0"/>
        <v>50</v>
      </c>
      <c r="AK14" s="10">
        <v>60</v>
      </c>
      <c r="AL14" s="22"/>
    </row>
    <row r="15" spans="1:38" ht="15" customHeight="1">
      <c r="A15">
        <v>14</v>
      </c>
      <c r="B15" s="6">
        <v>2010992017</v>
      </c>
      <c r="C15" s="6" t="s">
        <v>74</v>
      </c>
      <c r="E15" t="s">
        <v>79</v>
      </c>
      <c r="F15" t="s">
        <v>82</v>
      </c>
      <c r="G15" s="7" t="s">
        <v>56</v>
      </c>
      <c r="H15" s="7" t="s">
        <v>80</v>
      </c>
      <c r="I15" s="7" t="s">
        <v>81</v>
      </c>
      <c r="J15" s="7">
        <v>2020</v>
      </c>
      <c r="K15" s="7">
        <v>3</v>
      </c>
      <c r="L15" s="8" t="s">
        <v>83</v>
      </c>
      <c r="M15" s="1" t="s">
        <v>58</v>
      </c>
      <c r="N15" s="1" t="s">
        <v>58</v>
      </c>
      <c r="O15" s="1" t="s">
        <v>58</v>
      </c>
      <c r="P15" s="1" t="s">
        <v>58</v>
      </c>
      <c r="Q15" s="1" t="s">
        <v>58</v>
      </c>
      <c r="R15" s="1" t="s">
        <v>58</v>
      </c>
      <c r="S15" s="1" t="s">
        <v>58</v>
      </c>
      <c r="T15" s="1" t="s">
        <v>58</v>
      </c>
      <c r="U15" s="1" t="s">
        <v>58</v>
      </c>
      <c r="V15" s="1" t="s">
        <v>58</v>
      </c>
      <c r="W15" s="1" t="s">
        <v>58</v>
      </c>
      <c r="X15" s="1" t="s">
        <v>58</v>
      </c>
      <c r="Y15" s="1" t="s">
        <v>58</v>
      </c>
      <c r="Z15" s="1" t="s">
        <v>58</v>
      </c>
      <c r="AA15" s="1" t="s">
        <v>58</v>
      </c>
      <c r="AB15" s="1" t="s">
        <v>58</v>
      </c>
      <c r="AC15" s="1" t="s">
        <v>58</v>
      </c>
      <c r="AD15" s="1" t="s">
        <v>58</v>
      </c>
      <c r="AE15" s="1" t="s">
        <v>58</v>
      </c>
      <c r="AF15" s="1" t="s">
        <v>58</v>
      </c>
      <c r="AG15" s="1" t="s">
        <v>58</v>
      </c>
      <c r="AH15" s="1">
        <v>26</v>
      </c>
      <c r="AI15" s="1">
        <v>24</v>
      </c>
      <c r="AJ15" s="9">
        <f t="shared" si="0"/>
        <v>50</v>
      </c>
      <c r="AK15" s="10">
        <v>60</v>
      </c>
      <c r="AL15" s="22"/>
    </row>
    <row r="16" spans="1:38" ht="15" customHeight="1">
      <c r="A16">
        <v>15</v>
      </c>
      <c r="B16" s="6">
        <v>2010992018</v>
      </c>
      <c r="C16" s="6" t="s">
        <v>75</v>
      </c>
      <c r="E16" t="s">
        <v>79</v>
      </c>
      <c r="F16" t="s">
        <v>82</v>
      </c>
      <c r="G16" s="7" t="s">
        <v>56</v>
      </c>
      <c r="H16" s="7" t="s">
        <v>80</v>
      </c>
      <c r="I16" s="7" t="s">
        <v>81</v>
      </c>
      <c r="J16" s="7">
        <v>2020</v>
      </c>
      <c r="K16" s="7">
        <v>3</v>
      </c>
      <c r="L16" s="8" t="s">
        <v>83</v>
      </c>
      <c r="M16" s="1" t="s">
        <v>58</v>
      </c>
      <c r="N16" s="1" t="s">
        <v>58</v>
      </c>
      <c r="O16" s="1" t="s">
        <v>58</v>
      </c>
      <c r="P16" s="1" t="s">
        <v>58</v>
      </c>
      <c r="Q16" s="1" t="s">
        <v>58</v>
      </c>
      <c r="R16" s="1" t="s">
        <v>58</v>
      </c>
      <c r="S16" s="1" t="s">
        <v>58</v>
      </c>
      <c r="T16" s="1" t="s">
        <v>58</v>
      </c>
      <c r="U16" s="1" t="s">
        <v>58</v>
      </c>
      <c r="V16" s="1" t="s">
        <v>58</v>
      </c>
      <c r="W16" s="1" t="s">
        <v>58</v>
      </c>
      <c r="X16" s="1" t="s">
        <v>58</v>
      </c>
      <c r="Y16" s="1" t="s">
        <v>58</v>
      </c>
      <c r="Z16" s="1" t="s">
        <v>58</v>
      </c>
      <c r="AA16" s="1" t="s">
        <v>58</v>
      </c>
      <c r="AB16" s="1" t="s">
        <v>58</v>
      </c>
      <c r="AC16" s="1" t="s">
        <v>58</v>
      </c>
      <c r="AD16" s="1" t="s">
        <v>58</v>
      </c>
      <c r="AE16" s="1" t="s">
        <v>58</v>
      </c>
      <c r="AF16" s="1" t="s">
        <v>58</v>
      </c>
      <c r="AG16" s="1" t="s">
        <v>58</v>
      </c>
      <c r="AH16" s="1">
        <v>29</v>
      </c>
      <c r="AI16" s="1">
        <v>22</v>
      </c>
      <c r="AJ16" s="9">
        <f t="shared" si="0"/>
        <v>51</v>
      </c>
      <c r="AK16" s="10">
        <v>60</v>
      </c>
      <c r="AL16" s="22"/>
    </row>
    <row r="17" spans="1:38" ht="15" customHeight="1">
      <c r="A17">
        <v>16</v>
      </c>
      <c r="B17" s="6">
        <v>2010992019</v>
      </c>
      <c r="C17" s="6" t="s">
        <v>76</v>
      </c>
      <c r="E17" t="s">
        <v>79</v>
      </c>
      <c r="F17" t="s">
        <v>82</v>
      </c>
      <c r="G17" s="7" t="s">
        <v>56</v>
      </c>
      <c r="H17" s="7" t="s">
        <v>80</v>
      </c>
      <c r="I17" s="7" t="s">
        <v>81</v>
      </c>
      <c r="J17" s="7">
        <v>2020</v>
      </c>
      <c r="K17" s="7">
        <v>3</v>
      </c>
      <c r="L17" s="8" t="s">
        <v>83</v>
      </c>
      <c r="M17" s="1" t="s">
        <v>58</v>
      </c>
      <c r="N17" s="1" t="s">
        <v>58</v>
      </c>
      <c r="O17" s="1" t="s">
        <v>58</v>
      </c>
      <c r="P17" s="1" t="s">
        <v>58</v>
      </c>
      <c r="Q17" s="1" t="s">
        <v>58</v>
      </c>
      <c r="R17" s="1" t="s">
        <v>58</v>
      </c>
      <c r="S17" s="1" t="s">
        <v>58</v>
      </c>
      <c r="T17" s="1" t="s">
        <v>58</v>
      </c>
      <c r="U17" s="1" t="s">
        <v>58</v>
      </c>
      <c r="V17" s="1" t="s">
        <v>58</v>
      </c>
      <c r="W17" s="1" t="s">
        <v>58</v>
      </c>
      <c r="X17" s="1" t="s">
        <v>58</v>
      </c>
      <c r="Y17" s="1" t="s">
        <v>58</v>
      </c>
      <c r="Z17" s="1" t="s">
        <v>58</v>
      </c>
      <c r="AA17" s="1" t="s">
        <v>58</v>
      </c>
      <c r="AB17" s="1" t="s">
        <v>58</v>
      </c>
      <c r="AC17" s="1" t="s">
        <v>58</v>
      </c>
      <c r="AD17" s="1" t="s">
        <v>58</v>
      </c>
      <c r="AE17" s="1" t="s">
        <v>58</v>
      </c>
      <c r="AF17" s="1" t="s">
        <v>58</v>
      </c>
      <c r="AG17" s="1" t="s">
        <v>58</v>
      </c>
      <c r="AH17" s="1">
        <v>26</v>
      </c>
      <c r="AI17" s="1">
        <v>24</v>
      </c>
      <c r="AJ17" s="9">
        <f t="shared" si="0"/>
        <v>50</v>
      </c>
      <c r="AK17" s="10">
        <v>60</v>
      </c>
      <c r="AL17" s="22"/>
    </row>
    <row r="18" spans="1:38" ht="15" customHeight="1">
      <c r="A18">
        <v>17</v>
      </c>
      <c r="B18" s="6">
        <v>2010992163</v>
      </c>
      <c r="C18" s="6" t="s">
        <v>77</v>
      </c>
      <c r="E18" t="s">
        <v>79</v>
      </c>
      <c r="F18" t="s">
        <v>82</v>
      </c>
      <c r="G18" s="7" t="s">
        <v>56</v>
      </c>
      <c r="H18" s="7" t="s">
        <v>80</v>
      </c>
      <c r="I18" s="7" t="s">
        <v>81</v>
      </c>
      <c r="J18" s="7">
        <v>2020</v>
      </c>
      <c r="K18" s="7">
        <v>3</v>
      </c>
      <c r="L18" s="8" t="s">
        <v>83</v>
      </c>
      <c r="M18" s="1" t="s">
        <v>58</v>
      </c>
      <c r="N18" s="1" t="s">
        <v>58</v>
      </c>
      <c r="O18" s="1" t="s">
        <v>58</v>
      </c>
      <c r="P18" s="1" t="s">
        <v>58</v>
      </c>
      <c r="Q18" s="1" t="s">
        <v>58</v>
      </c>
      <c r="R18" s="1" t="s">
        <v>58</v>
      </c>
      <c r="S18" s="1" t="s">
        <v>58</v>
      </c>
      <c r="T18" s="1" t="s">
        <v>58</v>
      </c>
      <c r="U18" s="1" t="s">
        <v>58</v>
      </c>
      <c r="V18" s="1" t="s">
        <v>58</v>
      </c>
      <c r="W18" s="1" t="s">
        <v>58</v>
      </c>
      <c r="X18" s="1" t="s">
        <v>58</v>
      </c>
      <c r="Y18" s="1" t="s">
        <v>58</v>
      </c>
      <c r="Z18" s="1" t="s">
        <v>58</v>
      </c>
      <c r="AA18" s="1" t="s">
        <v>58</v>
      </c>
      <c r="AB18" s="1" t="s">
        <v>58</v>
      </c>
      <c r="AC18" s="1" t="s">
        <v>58</v>
      </c>
      <c r="AD18" s="1" t="s">
        <v>58</v>
      </c>
      <c r="AE18" s="1" t="s">
        <v>58</v>
      </c>
      <c r="AF18" s="1" t="s">
        <v>58</v>
      </c>
      <c r="AG18" s="1" t="s">
        <v>58</v>
      </c>
      <c r="AH18" s="1">
        <v>19</v>
      </c>
      <c r="AI18" s="1">
        <v>22</v>
      </c>
      <c r="AJ18" s="9">
        <f t="shared" si="0"/>
        <v>41</v>
      </c>
      <c r="AK18" s="10">
        <v>60</v>
      </c>
      <c r="AL18" s="22"/>
    </row>
    <row r="19" spans="1:38" ht="15" customHeight="1">
      <c r="A19">
        <v>18</v>
      </c>
      <c r="B19" s="6">
        <v>2010992202</v>
      </c>
      <c r="C19" s="6" t="s">
        <v>78</v>
      </c>
      <c r="E19" t="s">
        <v>79</v>
      </c>
      <c r="F19" t="s">
        <v>82</v>
      </c>
      <c r="G19" s="7" t="s">
        <v>56</v>
      </c>
      <c r="H19" s="7" t="s">
        <v>80</v>
      </c>
      <c r="I19" s="7" t="s">
        <v>81</v>
      </c>
      <c r="J19" s="7">
        <v>2020</v>
      </c>
      <c r="K19" s="7">
        <v>3</v>
      </c>
      <c r="L19" s="8" t="s">
        <v>83</v>
      </c>
      <c r="M19" s="1" t="s">
        <v>58</v>
      </c>
      <c r="N19" s="1" t="s">
        <v>58</v>
      </c>
      <c r="O19" s="1" t="s">
        <v>58</v>
      </c>
      <c r="P19" s="1" t="s">
        <v>58</v>
      </c>
      <c r="Q19" s="1" t="s">
        <v>58</v>
      </c>
      <c r="R19" s="1" t="s">
        <v>58</v>
      </c>
      <c r="S19" s="1" t="s">
        <v>58</v>
      </c>
      <c r="T19" s="1" t="s">
        <v>58</v>
      </c>
      <c r="U19" s="1" t="s">
        <v>58</v>
      </c>
      <c r="V19" s="1" t="s">
        <v>58</v>
      </c>
      <c r="W19" s="1" t="s">
        <v>58</v>
      </c>
      <c r="X19" s="1" t="s">
        <v>58</v>
      </c>
      <c r="Y19" s="1" t="s">
        <v>58</v>
      </c>
      <c r="Z19" s="1" t="s">
        <v>58</v>
      </c>
      <c r="AA19" s="1" t="s">
        <v>58</v>
      </c>
      <c r="AB19" s="1" t="s">
        <v>58</v>
      </c>
      <c r="AC19" s="1" t="s">
        <v>58</v>
      </c>
      <c r="AD19" s="1" t="s">
        <v>58</v>
      </c>
      <c r="AE19" s="1" t="s">
        <v>58</v>
      </c>
      <c r="AF19" s="1" t="s">
        <v>58</v>
      </c>
      <c r="AG19" s="1" t="s">
        <v>58</v>
      </c>
      <c r="AH19" s="1">
        <v>27</v>
      </c>
      <c r="AI19" s="1">
        <v>20</v>
      </c>
      <c r="AJ19" s="9">
        <f t="shared" si="0"/>
        <v>47</v>
      </c>
      <c r="AK19" s="10">
        <v>60</v>
      </c>
      <c r="AL19" s="22"/>
    </row>
    <row r="21" spans="1:38" ht="15.75" customHeight="1"/>
    <row r="22" spans="1:38" ht="15.75" customHeight="1"/>
    <row r="23" spans="1:38" ht="15.75" customHeight="1"/>
    <row r="24" spans="1:38" ht="15.75" customHeight="1"/>
    <row r="25" spans="1:38" ht="15.75" customHeight="1"/>
    <row r="26" spans="1:38" ht="15.75" customHeight="1"/>
    <row r="27" spans="1:38" ht="15.75" customHeight="1"/>
    <row r="28" spans="1:38" ht="15.75" customHeight="1"/>
    <row r="29" spans="1:38" ht="15.75" customHeight="1"/>
    <row r="30" spans="1:38" ht="15.75" customHeight="1"/>
    <row r="31" spans="1:38" ht="15.75" customHeight="1"/>
    <row r="32" spans="1:3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OBE Details</vt:lpstr>
      <vt:lpstr>ST1 Question Map</vt:lpstr>
      <vt:lpstr>ST1 Result</vt:lpstr>
      <vt:lpstr>ST2 Question Map</vt:lpstr>
      <vt:lpstr>ST2 Result</vt:lpstr>
      <vt:lpstr>ST3 Question Map</vt:lpstr>
      <vt:lpstr>ST3 Result</vt:lpstr>
      <vt:lpstr>ETE Question Map</vt:lpstr>
      <vt:lpstr>ETE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S</dc:creator>
  <cp:lastModifiedBy>Prateek Singh</cp:lastModifiedBy>
  <dcterms:created xsi:type="dcterms:W3CDTF">2025-05-19T06:10:04Z</dcterms:created>
  <dcterms:modified xsi:type="dcterms:W3CDTF">2025-12-23T05:25:37Z</dcterms:modified>
</cp:coreProperties>
</file>