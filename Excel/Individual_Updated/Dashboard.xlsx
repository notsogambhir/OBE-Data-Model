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ECE Showcase\"/>
    </mc:Choice>
  </mc:AlternateContent>
  <xr:revisionPtr revIDLastSave="0" documentId="13_ncr:1_{B4EBF5E3-A0F1-45AC-B044-DDEB6BE63D7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Output" sheetId="7" r:id="rId1"/>
    <sheet name="ST1 Student Wise" sheetId="1" r:id="rId2"/>
    <sheet name="ST2 Student Wise" sheetId="2" r:id="rId3"/>
    <sheet name="ST3 Student Wise" sheetId="5" r:id="rId4"/>
    <sheet name="ETE Student Wise" sheetId="3" r:id="rId5"/>
    <sheet name="ASN Student Wise" sheetId="8" r:id="rId6"/>
    <sheet name="Averages" sheetId="4" r:id="rId7"/>
  </sheets>
  <externalReferences>
    <externalReference r:id="rId8"/>
    <externalReference r:id="rId9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4" l="1" a="1"/>
  <c r="B7" i="4"/>
  <c r="C7" i="4" a="1"/>
  <c r="C7" i="4" s="1"/>
  <c r="D7" i="4" a="1"/>
  <c r="D7" i="4" s="1"/>
  <c r="F7" i="4" a="1"/>
  <c r="F7" i="4" s="1"/>
  <c r="G7" i="4" a="1"/>
  <c r="G7" i="4"/>
  <c r="H7" i="4" a="1"/>
  <c r="H7" i="4" s="1"/>
  <c r="I7" i="4" a="1"/>
  <c r="I7" i="4" s="1"/>
  <c r="J7" i="4" a="1"/>
  <c r="J7" i="4"/>
  <c r="K7" i="4" a="1"/>
  <c r="K7" i="4" s="1"/>
  <c r="L7" i="4" a="1"/>
  <c r="L7" i="4" s="1"/>
  <c r="N7" i="4" a="1"/>
  <c r="N7" i="4" s="1"/>
  <c r="O7" i="4" a="1"/>
  <c r="O7" i="4"/>
  <c r="P7" i="4" a="1"/>
  <c r="P7" i="4" s="1"/>
  <c r="R7" i="4" a="1"/>
  <c r="R7" i="4" s="1"/>
  <c r="S7" i="4" a="1"/>
  <c r="S7" i="4" s="1"/>
  <c r="T7" i="4" a="1"/>
  <c r="T7" i="4" s="1"/>
  <c r="V7" i="4" a="1"/>
  <c r="V7" i="4" s="1"/>
  <c r="W7" i="4" a="1"/>
  <c r="W7" i="4" s="1"/>
  <c r="X7" i="4" a="1"/>
  <c r="X7" i="4" s="1"/>
  <c r="U6" i="4" a="1"/>
  <c r="U6" i="4" s="1"/>
  <c r="Y6" i="4" a="1"/>
  <c r="Y6" i="4" s="1"/>
  <c r="X6" i="4"/>
  <c r="W6" i="4"/>
  <c r="V6" i="4"/>
  <c r="T6" i="4"/>
  <c r="S6" i="4"/>
  <c r="R6" i="4"/>
  <c r="Q6" i="4" a="1"/>
  <c r="Q6" i="4" s="1"/>
  <c r="N6" i="4"/>
  <c r="P6" i="4"/>
  <c r="O6" i="4"/>
  <c r="M6" i="4" a="1"/>
  <c r="M6" i="4" s="1"/>
  <c r="L6" i="4"/>
  <c r="K6" i="4"/>
  <c r="J6" i="4"/>
  <c r="I6" i="4" a="1"/>
  <c r="I6" i="4" s="1"/>
  <c r="H6" i="4"/>
  <c r="G6" i="4"/>
  <c r="F6" i="4"/>
  <c r="E6" i="4" a="1"/>
  <c r="E6" i="4" s="1"/>
  <c r="D6" i="4"/>
  <c r="C6" i="4"/>
  <c r="B6" i="4"/>
  <c r="BI11" i="7" a="1"/>
  <c r="BI11" i="7" s="1"/>
  <c r="BH11" i="7" a="1"/>
  <c r="BH11" i="7" s="1"/>
  <c r="BG11" i="7" a="1"/>
  <c r="BG11" i="7" s="1"/>
  <c r="BF11" i="7" a="1"/>
  <c r="BF11" i="7" s="1"/>
  <c r="BE11" i="7" a="1"/>
  <c r="BE11" i="7" s="1"/>
  <c r="BD11" i="7" a="1"/>
  <c r="BD11" i="7" s="1"/>
  <c r="BC11" i="7" a="1"/>
  <c r="BC11" i="7" s="1"/>
  <c r="BB11" i="7" a="1"/>
  <c r="BB11" i="7" s="1"/>
  <c r="BA11" i="7" a="1"/>
  <c r="BA11" i="7" s="1"/>
  <c r="AZ11" i="7" a="1"/>
  <c r="AZ11" i="7" s="1"/>
  <c r="AY11" i="7" a="1"/>
  <c r="AY11" i="7" s="1"/>
  <c r="AX11" i="7" a="1"/>
  <c r="AX11" i="7" s="1"/>
  <c r="O8" i="7"/>
  <c r="O7" i="7"/>
  <c r="O6" i="7"/>
  <c r="O5" i="7"/>
  <c r="O4" i="7"/>
  <c r="O3" i="7"/>
  <c r="O2" i="7"/>
  <c r="N4" i="7"/>
  <c r="M4" i="7"/>
  <c r="L4" i="7"/>
  <c r="A2" i="8" a="1"/>
  <c r="A2" i="8" s="1"/>
  <c r="N7" i="7"/>
  <c r="N2" i="7"/>
  <c r="N3" i="7"/>
  <c r="N5" i="7"/>
  <c r="N6" i="7"/>
  <c r="B2" i="7"/>
  <c r="A2" i="3" l="1" a="1"/>
  <c r="A2" i="3" s="1"/>
  <c r="AB3" i="3" l="1" a="1"/>
  <c r="AB3" i="3" s="1"/>
  <c r="AA3" i="3" a="1"/>
  <c r="AA3" i="3" s="1"/>
  <c r="Q3" i="3" a="1"/>
  <c r="Q3" i="3" s="1"/>
  <c r="M3" i="3" a="1"/>
  <c r="M3" i="3" s="1"/>
  <c r="B3" i="3" a="1"/>
  <c r="B3" i="3" s="1"/>
  <c r="V3" i="3" a="1"/>
  <c r="V3" i="3" s="1"/>
  <c r="H3" i="3" l="1" a="1"/>
  <c r="H3" i="3" s="1"/>
  <c r="G3" i="3" a="1"/>
  <c r="G3" i="3" s="1"/>
  <c r="C3" i="3" l="1" a="1"/>
  <c r="C3" i="3" s="1"/>
  <c r="L3" i="3" a="1"/>
  <c r="L3" i="3" s="1"/>
  <c r="W3" i="3" l="1" a="1"/>
  <c r="W3" i="3" s="1"/>
  <c r="R3" i="3" l="1" a="1"/>
  <c r="R3" i="3" s="1"/>
  <c r="AN11" i="7" l="1" a="1"/>
  <c r="AN11" i="7" s="1"/>
  <c r="I3" i="3" a="1"/>
  <c r="I3" i="3" s="1"/>
  <c r="F8" i="4" s="1"/>
  <c r="AL11" i="7" a="1"/>
  <c r="AL11" i="7" s="1"/>
  <c r="D3" i="3" a="1"/>
  <c r="D3" i="3" s="1"/>
  <c r="B8" i="4" s="1"/>
  <c r="AC3" i="3" a="1"/>
  <c r="AC3" i="3" s="1"/>
  <c r="V8" i="4" s="1"/>
  <c r="AV11" i="7" a="1"/>
  <c r="AV11" i="7" s="1"/>
  <c r="N3" i="3" l="1" a="1"/>
  <c r="N3" i="3" s="1"/>
  <c r="J8" i="4" s="1"/>
  <c r="AP11" i="7" a="1"/>
  <c r="AP11" i="7" s="1"/>
  <c r="S3" i="3" a="1"/>
  <c r="S3" i="3" s="1"/>
  <c r="N8" i="4" s="1"/>
  <c r="AR11" i="7" a="1"/>
  <c r="AR11" i="7" s="1"/>
  <c r="AT11" i="7" l="1" a="1"/>
  <c r="AT11" i="7" s="1"/>
  <c r="X3" i="3" a="1"/>
  <c r="X3" i="3" s="1"/>
  <c r="R8" i="4" s="1"/>
  <c r="B5" i="7" l="1" a="1"/>
  <c r="B5" i="7" s="1"/>
  <c r="B8" i="7"/>
  <c r="E3" i="3" l="1" a="1"/>
  <c r="E3" i="3" s="1"/>
  <c r="C8" i="4" s="1"/>
  <c r="AM11" i="7" l="1" a="1"/>
  <c r="AM11" i="7" s="1"/>
  <c r="F3" i="3" a="1"/>
  <c r="F3" i="3" s="1"/>
  <c r="D8" i="4" s="1"/>
  <c r="E8" i="4" s="1" a="1"/>
  <c r="E8" i="4" s="1"/>
  <c r="AD3" i="3" a="1"/>
  <c r="AD3" i="3" s="1"/>
  <c r="W8" i="4" s="1"/>
  <c r="J3" i="3" a="1"/>
  <c r="J3" i="3" s="1"/>
  <c r="G8" i="4" s="1"/>
  <c r="AO11" i="7" l="1" a="1"/>
  <c r="AO11" i="7" s="1"/>
  <c r="K3" i="3" a="1"/>
  <c r="K3" i="3" s="1"/>
  <c r="H8" i="4" s="1"/>
  <c r="I8" i="4" s="1" a="1"/>
  <c r="I8" i="4" s="1"/>
  <c r="AW11" i="7" a="1"/>
  <c r="AW11" i="7" s="1"/>
  <c r="AE3" i="3" a="1"/>
  <c r="AE3" i="3" s="1"/>
  <c r="X8" i="4" s="1"/>
  <c r="Y8" i="4" s="1" a="1"/>
  <c r="Y8" i="4" s="1"/>
  <c r="O3" i="3" l="1" a="1"/>
  <c r="O3" i="3" s="1"/>
  <c r="K8" i="4" s="1"/>
  <c r="T3" i="3" a="1"/>
  <c r="T3" i="3" s="1"/>
  <c r="O8" i="4" s="1"/>
  <c r="U3" i="3" l="1" a="1"/>
  <c r="U3" i="3" s="1"/>
  <c r="P8" i="4" s="1"/>
  <c r="Q8" i="4" s="1" a="1"/>
  <c r="Q8" i="4" s="1"/>
  <c r="AS11" i="7" a="1"/>
  <c r="AS11" i="7" s="1"/>
  <c r="AQ11" i="7" a="1"/>
  <c r="AQ11" i="7" s="1"/>
  <c r="P3" i="3" a="1"/>
  <c r="P3" i="3" s="1"/>
  <c r="L8" i="4" s="1"/>
  <c r="M8" i="4" s="1" a="1"/>
  <c r="M8" i="4" s="1"/>
  <c r="Y3" i="3" l="1" a="1"/>
  <c r="Y3" i="3" s="1"/>
  <c r="S8" i="4" s="1"/>
  <c r="Z3" i="3" l="1" a="1"/>
  <c r="Z3" i="3" s="1"/>
  <c r="AU11" i="7" a="1"/>
  <c r="AU11" i="7" s="1"/>
  <c r="Z53" i="3" l="1"/>
  <c r="Z52" i="3"/>
  <c r="T8" i="4" s="1"/>
  <c r="U8" i="4" s="1" a="1"/>
  <c r="U8" i="4" s="1"/>
  <c r="A2" i="5" l="1" a="1"/>
  <c r="A2" i="5" s="1"/>
  <c r="A2" i="2" l="1" a="1"/>
  <c r="A2" i="2" s="1"/>
  <c r="G3" i="5" l="1" a="1"/>
  <c r="G3" i="5" s="1"/>
  <c r="M3" i="5" l="1" a="1"/>
  <c r="M3" i="5" s="1"/>
  <c r="H3" i="2" a="1"/>
  <c r="H3" i="2" s="1"/>
  <c r="L3" i="5" a="1"/>
  <c r="L3" i="5" s="1"/>
  <c r="AB3" i="5" a="1"/>
  <c r="AB3" i="5" s="1"/>
  <c r="B3" i="5" a="1"/>
  <c r="B3" i="5" s="1"/>
  <c r="R3" i="5" a="1"/>
  <c r="R3" i="5" s="1"/>
  <c r="V3" i="5" a="1"/>
  <c r="V3" i="5" s="1"/>
  <c r="C3" i="2" a="1"/>
  <c r="C3" i="2" s="1"/>
  <c r="C3" i="5" a="1"/>
  <c r="C3" i="5" s="1"/>
  <c r="Q3" i="5" a="1"/>
  <c r="Q3" i="5" s="1"/>
  <c r="AA3" i="5" a="1"/>
  <c r="AA3" i="5" s="1"/>
  <c r="H3" i="5" l="1" a="1"/>
  <c r="H3" i="5" s="1"/>
  <c r="W3" i="5" a="1"/>
  <c r="W3" i="5" s="1"/>
  <c r="V3" i="2" a="1"/>
  <c r="V3" i="2" s="1"/>
  <c r="M6" i="7"/>
  <c r="M7" i="7"/>
  <c r="M2" i="7"/>
  <c r="M3" i="7"/>
  <c r="M5" i="7"/>
  <c r="J3" i="5" a="1"/>
  <c r="J3" i="5" s="1"/>
  <c r="G5" i="4" s="1"/>
  <c r="Z3" i="5" l="1" a="1"/>
  <c r="Z3" i="5" s="1"/>
  <c r="T5" i="4" s="1"/>
  <c r="U5" i="4" s="1" a="1"/>
  <c r="U5" i="4" s="1"/>
  <c r="AI11" i="7" a="1"/>
  <c r="AI11" i="7" s="1"/>
  <c r="E3" i="2" a="1"/>
  <c r="E3" i="2" s="1"/>
  <c r="C4" i="4" s="1"/>
  <c r="B3" i="2" a="1"/>
  <c r="B3" i="2" s="1"/>
  <c r="G3" i="2" a="1"/>
  <c r="G3" i="2" s="1"/>
  <c r="Z11" i="7" a="1"/>
  <c r="Z11" i="7" s="1"/>
  <c r="D3" i="5" a="1"/>
  <c r="D3" i="5" s="1"/>
  <c r="B5" i="4" s="1"/>
  <c r="AJ11" i="7" a="1"/>
  <c r="AJ11" i="7" s="1"/>
  <c r="AC3" i="5" a="1"/>
  <c r="AC3" i="5" s="1"/>
  <c r="V5" i="4" s="1"/>
  <c r="X3" i="5" a="1"/>
  <c r="X3" i="5" s="1"/>
  <c r="R5" i="4" s="1"/>
  <c r="AH11" i="7" a="1"/>
  <c r="AH11" i="7" s="1"/>
  <c r="AF11" i="7" a="1"/>
  <c r="AF11" i="7" s="1"/>
  <c r="S3" i="5" a="1"/>
  <c r="S3" i="5" s="1"/>
  <c r="N5" i="4" s="1"/>
  <c r="AD11" i="7" a="1"/>
  <c r="AD11" i="7" s="1"/>
  <c r="N3" i="5" a="1"/>
  <c r="N3" i="5" s="1"/>
  <c r="J5" i="4" s="1"/>
  <c r="AC11" i="7" a="1"/>
  <c r="AC11" i="7" s="1"/>
  <c r="K3" i="5" a="1"/>
  <c r="K3" i="5" s="1"/>
  <c r="H5" i="4" s="1"/>
  <c r="I5" i="4" s="1" a="1"/>
  <c r="I5" i="4" s="1"/>
  <c r="Y3" i="5" a="1"/>
  <c r="Y3" i="5" s="1"/>
  <c r="S5" i="4" s="1"/>
  <c r="AB11" i="7" a="1"/>
  <c r="AB11" i="7" s="1"/>
  <c r="I3" i="5" a="1"/>
  <c r="I3" i="5" s="1"/>
  <c r="F5" i="4" s="1"/>
  <c r="L5" i="7"/>
  <c r="L3" i="7"/>
  <c r="L2" i="7"/>
  <c r="L7" i="7"/>
  <c r="L6" i="7"/>
  <c r="AD3" i="5" a="1"/>
  <c r="AD3" i="5" s="1"/>
  <c r="W5" i="4" s="1"/>
  <c r="T3" i="5" a="1"/>
  <c r="T3" i="5" s="1"/>
  <c r="O5" i="4" s="1"/>
  <c r="E3" i="5" a="1"/>
  <c r="E3" i="5" s="1"/>
  <c r="C5" i="4" s="1"/>
  <c r="O3" i="5" a="1"/>
  <c r="O3" i="5" s="1"/>
  <c r="K5" i="4" s="1"/>
  <c r="Q3" i="2" a="1"/>
  <c r="Q3" i="2" s="1"/>
  <c r="AA3" i="2" a="1"/>
  <c r="AA3" i="2" s="1"/>
  <c r="L3" i="2" a="1"/>
  <c r="L3" i="2" s="1"/>
  <c r="M3" i="2" l="1" a="1"/>
  <c r="M3" i="2" s="1"/>
  <c r="W3" i="2" a="1"/>
  <c r="W3" i="2" s="1"/>
  <c r="R3" i="2" a="1"/>
  <c r="R3" i="2" s="1"/>
  <c r="AB3" i="2" a="1"/>
  <c r="AB3" i="2" s="1"/>
  <c r="P3" i="5" a="1"/>
  <c r="P3" i="5" s="1"/>
  <c r="L5" i="4" s="1"/>
  <c r="M5" i="4" s="1" a="1"/>
  <c r="M5" i="4" s="1"/>
  <c r="AE11" i="7" a="1"/>
  <c r="AE11" i="7" s="1"/>
  <c r="Q11" i="7" a="1"/>
  <c r="Q11" i="7" s="1"/>
  <c r="K3" i="2" a="1"/>
  <c r="K3" i="2" s="1"/>
  <c r="H4" i="4" s="1"/>
  <c r="I4" i="4" s="1" a="1"/>
  <c r="I4" i="4" s="1"/>
  <c r="F3" i="2" a="1"/>
  <c r="F3" i="2" s="1"/>
  <c r="D4" i="4" s="1"/>
  <c r="E4" i="4" s="1" a="1"/>
  <c r="E4" i="4" s="1"/>
  <c r="O11" i="7" a="1"/>
  <c r="O11" i="7" s="1"/>
  <c r="I3" i="2" a="1"/>
  <c r="I3" i="2" s="1"/>
  <c r="F4" i="4" s="1"/>
  <c r="P11" i="7" a="1"/>
  <c r="P11" i="7" s="1"/>
  <c r="J3" i="2" a="1"/>
  <c r="J3" i="2" s="1"/>
  <c r="G4" i="4" s="1"/>
  <c r="F3" i="5" a="1"/>
  <c r="F3" i="5" s="1"/>
  <c r="D5" i="4" s="1"/>
  <c r="E5" i="4" s="1" a="1"/>
  <c r="E5" i="4" s="1"/>
  <c r="AA11" i="7" a="1"/>
  <c r="AA11" i="7" s="1"/>
  <c r="N11" i="7" a="1"/>
  <c r="N11" i="7" s="1"/>
  <c r="D3" i="2" a="1"/>
  <c r="D3" i="2" s="1"/>
  <c r="B4" i="4" s="1"/>
  <c r="AG11" i="7" a="1"/>
  <c r="AG11" i="7" s="1"/>
  <c r="U3" i="5" a="1"/>
  <c r="U3" i="5" s="1"/>
  <c r="P5" i="4" s="1"/>
  <c r="Q5" i="4" s="1" a="1"/>
  <c r="Q5" i="4" s="1"/>
  <c r="AK11" i="7" a="1"/>
  <c r="AK11" i="7" s="1"/>
  <c r="AE3" i="5" a="1"/>
  <c r="AE3" i="5" s="1"/>
  <c r="X5" i="4" s="1"/>
  <c r="Y5" i="4" s="1" a="1"/>
  <c r="Y5" i="4" s="1"/>
  <c r="X3" i="2" l="1" a="1"/>
  <c r="X3" i="2" s="1"/>
  <c r="V11" i="7" a="1"/>
  <c r="V11" i="7" s="1"/>
  <c r="Y3" i="2" a="1"/>
  <c r="Y3" i="2" s="1"/>
  <c r="S4" i="4" s="1"/>
  <c r="AC3" i="2" a="1"/>
  <c r="AC3" i="2" s="1"/>
  <c r="V4" i="4" s="1"/>
  <c r="X11" i="7" a="1"/>
  <c r="X11" i="7" s="1"/>
  <c r="AD3" i="2" a="1"/>
  <c r="AD3" i="2" s="1"/>
  <c r="W4" i="4" s="1"/>
  <c r="S3" i="2" a="1"/>
  <c r="S3" i="2" s="1"/>
  <c r="N4" i="4" s="1"/>
  <c r="T11" i="7" a="1"/>
  <c r="T11" i="7" s="1"/>
  <c r="T3" i="2" a="1"/>
  <c r="T3" i="2" s="1"/>
  <c r="O4" i="4" s="1"/>
  <c r="R11" i="7" a="1"/>
  <c r="R11" i="7" s="1"/>
  <c r="N3" i="2" a="1"/>
  <c r="N3" i="2" s="1"/>
  <c r="J4" i="4" s="1"/>
  <c r="O3" i="2" a="1"/>
  <c r="O3" i="2" s="1"/>
  <c r="K4" i="4" s="1"/>
  <c r="W11" i="7" l="1" a="1"/>
  <c r="W11" i="7" s="1"/>
  <c r="Z3" i="2" a="1"/>
  <c r="Z3" i="2" s="1"/>
  <c r="T4" i="4" s="1"/>
  <c r="Y11" i="7" a="1"/>
  <c r="Y11" i="7" s="1"/>
  <c r="AE3" i="2" a="1"/>
  <c r="AE3" i="2" s="1"/>
  <c r="X4" i="4" s="1"/>
  <c r="U3" i="2" a="1"/>
  <c r="U3" i="2" s="1"/>
  <c r="P4" i="4" s="1"/>
  <c r="U11" i="7" a="1"/>
  <c r="U11" i="7" s="1"/>
  <c r="R4" i="4"/>
  <c r="R3" i="4"/>
  <c r="P3" i="2" a="1"/>
  <c r="P3" i="2" s="1"/>
  <c r="L4" i="4" s="1"/>
  <c r="M4" i="4" s="1" a="1"/>
  <c r="M4" i="4" s="1"/>
  <c r="S11" i="7" a="1"/>
  <c r="S11" i="7" s="1"/>
  <c r="Q4" i="4" l="1" a="1"/>
  <c r="Q4" i="4" s="1"/>
  <c r="Y4" i="4" a="1"/>
  <c r="Y4" i="4" s="1"/>
  <c r="R9" i="4"/>
  <c r="U4" i="4" a="1"/>
  <c r="U4" i="4" s="1"/>
  <c r="V3" i="8" l="1" a="1"/>
  <c r="V3" i="8" s="1"/>
  <c r="L3" i="8" a="1"/>
  <c r="L3" i="8" s="1"/>
  <c r="Q3" i="8" a="1"/>
  <c r="Q3" i="8" s="1"/>
  <c r="G3" i="8" a="1"/>
  <c r="G3" i="8" s="1"/>
  <c r="AA3" i="8" a="1"/>
  <c r="AA3" i="8" s="1"/>
  <c r="M3" i="8" a="1"/>
  <c r="M3" i="8" s="1"/>
  <c r="H3" i="8" a="1"/>
  <c r="H3" i="8" s="1"/>
  <c r="R3" i="8" a="1"/>
  <c r="R3" i="8" s="1"/>
  <c r="W3" i="8" a="1"/>
  <c r="W3" i="8" s="1"/>
  <c r="AB3" i="8" a="1"/>
  <c r="AB3" i="8" s="1"/>
  <c r="B3" i="8" l="1" a="1"/>
  <c r="B3" i="8" s="1"/>
  <c r="C3" i="8" a="1"/>
  <c r="C3" i="8" s="1"/>
  <c r="AC3" i="8" a="1"/>
  <c r="AC3" i="8" s="1"/>
  <c r="N3" i="8" a="1"/>
  <c r="N3" i="8" s="1"/>
  <c r="S3" i="8" a="1"/>
  <c r="S3" i="8" s="1"/>
  <c r="AE3" i="8" l="1" a="1"/>
  <c r="AE3" i="8" s="1"/>
  <c r="AD3" i="8" a="1"/>
  <c r="AD3" i="8" s="1"/>
  <c r="P3" i="8" a="1"/>
  <c r="P3" i="8" s="1"/>
  <c r="O3" i="8" a="1"/>
  <c r="O3" i="8" s="1"/>
  <c r="T3" i="8" a="1"/>
  <c r="T3" i="8" s="1"/>
  <c r="U3" i="8" a="1"/>
  <c r="U3" i="8" s="1"/>
  <c r="Y3" i="8" l="1" a="1"/>
  <c r="Y3" i="8" s="1"/>
  <c r="X3" i="8" a="1"/>
  <c r="X3" i="8" s="1"/>
  <c r="Z3" i="8" a="1"/>
  <c r="Z3" i="8" l="1"/>
  <c r="Z52" i="8" s="1"/>
  <c r="Z53" i="8" l="1"/>
  <c r="L8" i="7" l="1"/>
  <c r="N8" i="7"/>
  <c r="B1" i="7"/>
  <c r="A2" i="1" a="1"/>
  <c r="A2" i="1" s="1"/>
  <c r="A10" i="7" a="1"/>
  <c r="A10" i="7" s="1"/>
  <c r="M8" i="7"/>
  <c r="K8" i="7"/>
  <c r="V3" i="1" l="1" a="1"/>
  <c r="V3" i="1" s="1"/>
  <c r="W3" i="1" a="1"/>
  <c r="W3" i="1" s="1"/>
  <c r="B3" i="1" a="1"/>
  <c r="B3" i="1" s="1"/>
  <c r="R3" i="1" a="1"/>
  <c r="R3" i="1" s="1"/>
  <c r="AA3" i="1" a="1"/>
  <c r="AA3" i="1" s="1"/>
  <c r="L3" i="1" a="1"/>
  <c r="L3" i="1" s="1"/>
  <c r="C3" i="1" a="1"/>
  <c r="C3" i="1" s="1"/>
  <c r="AB3" i="1" a="1"/>
  <c r="AB3" i="1" s="1"/>
  <c r="G3" i="1" a="1"/>
  <c r="G3" i="1" s="1"/>
  <c r="Q3" i="1" a="1"/>
  <c r="Q3" i="1" s="1"/>
  <c r="M3" i="1" a="1"/>
  <c r="M3" i="1" s="1"/>
  <c r="J11" i="7" l="1" a="1"/>
  <c r="J11" i="7" s="1"/>
  <c r="BR11" i="7" s="1" a="1"/>
  <c r="BR11" i="7" s="1"/>
  <c r="BS11" i="7" s="1" a="1"/>
  <c r="BS11" i="7" s="1"/>
  <c r="X3" i="1" a="1"/>
  <c r="X3" i="1" s="1"/>
  <c r="K3" i="7"/>
  <c r="K7" i="7"/>
  <c r="K5" i="7"/>
  <c r="K6" i="7"/>
  <c r="K4" i="7"/>
  <c r="K2" i="7"/>
  <c r="Y3" i="1" a="1"/>
  <c r="Y3" i="1" s="1"/>
  <c r="S3" i="4" s="1"/>
  <c r="S9" i="4" s="1"/>
  <c r="L11" i="7" l="1" a="1"/>
  <c r="L11" i="7" s="1"/>
  <c r="BT11" i="7" s="1" a="1"/>
  <c r="BT11" i="7" s="1"/>
  <c r="BU11" i="7" s="1" a="1"/>
  <c r="BU11" i="7" s="1"/>
  <c r="AC3" i="1" a="1"/>
  <c r="AC3" i="1" s="1"/>
  <c r="V3" i="4" s="1"/>
  <c r="V9" i="4" s="1"/>
  <c r="Z3" i="1" a="1"/>
  <c r="Z3" i="1" s="1"/>
  <c r="T3" i="4" s="1"/>
  <c r="K11" i="7" a="1"/>
  <c r="K11" i="7" s="1"/>
  <c r="O3" i="1" a="1"/>
  <c r="O3" i="1" s="1"/>
  <c r="K3" i="4" s="1"/>
  <c r="K9" i="4" s="1"/>
  <c r="N3" i="1" a="1"/>
  <c r="N3" i="1" s="1"/>
  <c r="J3" i="4" s="1"/>
  <c r="J9" i="4" s="1"/>
  <c r="F11" i="7" a="1"/>
  <c r="F11" i="7" s="1"/>
  <c r="BN11" i="7" s="1" a="1"/>
  <c r="BN11" i="7" s="1"/>
  <c r="BO11" i="7" s="1" a="1"/>
  <c r="BO11" i="7" s="1"/>
  <c r="AD3" i="1" a="1"/>
  <c r="AD3" i="1" s="1"/>
  <c r="W3" i="4" s="1"/>
  <c r="W9" i="4" s="1"/>
  <c r="H11" i="7" l="1" a="1"/>
  <c r="H11" i="7" s="1"/>
  <c r="BP11" i="7" s="1" a="1"/>
  <c r="BP11" i="7" s="1"/>
  <c r="BQ11" i="7" s="1" a="1"/>
  <c r="BQ11" i="7" s="1"/>
  <c r="S3" i="1" a="1"/>
  <c r="S3" i="1" s="1"/>
  <c r="N3" i="4" s="1"/>
  <c r="N9" i="4" s="1"/>
  <c r="AE3" i="1" a="1"/>
  <c r="AE3" i="1" s="1"/>
  <c r="X3" i="4" s="1"/>
  <c r="M11" i="7" a="1"/>
  <c r="M11" i="7" s="1"/>
  <c r="U3" i="4" a="1"/>
  <c r="U3" i="4" s="1"/>
  <c r="AI7" i="1" s="1"/>
  <c r="G11" i="7" a="1"/>
  <c r="G11" i="7" s="1"/>
  <c r="P3" i="1" a="1"/>
  <c r="P3" i="1" s="1"/>
  <c r="L3" i="4" s="1"/>
  <c r="T3" i="1" a="1"/>
  <c r="T3" i="1" s="1"/>
  <c r="O3" i="4" s="1"/>
  <c r="O9" i="4" s="1"/>
  <c r="T9" i="4" l="1"/>
  <c r="U9" i="4" s="1" a="1"/>
  <c r="U9" i="4" s="1"/>
  <c r="B16" i="4" s="1"/>
  <c r="U7" i="4" a="1"/>
  <c r="U7" i="4" s="1"/>
  <c r="D3" i="1" a="1"/>
  <c r="D3" i="1" s="1"/>
  <c r="B3" i="4" s="1"/>
  <c r="B9" i="4" s="1"/>
  <c r="B11" i="7" a="1"/>
  <c r="B11" i="7" s="1"/>
  <c r="BJ11" i="7" s="1" a="1"/>
  <c r="BJ11" i="7" s="1"/>
  <c r="BK11" i="7" s="1" a="1"/>
  <c r="BK11" i="7" s="1"/>
  <c r="Y3" i="4" a="1"/>
  <c r="Y3" i="4" s="1"/>
  <c r="AI8" i="1" s="1"/>
  <c r="I11" i="7" a="1"/>
  <c r="I11" i="7" s="1"/>
  <c r="U3" i="1" a="1"/>
  <c r="U3" i="1" s="1"/>
  <c r="P3" i="4" s="1"/>
  <c r="M3" i="4" a="1"/>
  <c r="M3" i="4" s="1"/>
  <c r="AI5" i="1" s="1"/>
  <c r="E3" i="1" a="1"/>
  <c r="E3" i="1" s="1"/>
  <c r="C3" i="4" s="1"/>
  <c r="C9" i="4" s="1"/>
  <c r="I3" i="8" a="1"/>
  <c r="I3" i="8" s="1"/>
  <c r="X9" i="4" l="1"/>
  <c r="Y9" i="4" s="1" a="1"/>
  <c r="Y9" i="4" s="1"/>
  <c r="B17" i="4" s="1"/>
  <c r="Y7" i="4" a="1"/>
  <c r="Y7" i="4" s="1"/>
  <c r="F3" i="1" a="1"/>
  <c r="F3" i="1" s="1"/>
  <c r="D3" i="4" s="1"/>
  <c r="C11" i="7" a="1"/>
  <c r="C11" i="7" s="1"/>
  <c r="M7" i="4" a="1"/>
  <c r="M7" i="4" s="1"/>
  <c r="L9" i="4"/>
  <c r="M9" i="4" s="1" a="1"/>
  <c r="M9" i="4" s="1"/>
  <c r="B14" i="4" s="1"/>
  <c r="Q3" i="4" a="1"/>
  <c r="Q3" i="4" s="1"/>
  <c r="AI6" i="1" s="1"/>
  <c r="K3" i="8" a="1"/>
  <c r="K3" i="8" s="1"/>
  <c r="J3" i="8" a="1"/>
  <c r="J3" i="8" s="1"/>
  <c r="D3" i="8" l="1" a="1"/>
  <c r="D3" i="8" s="1"/>
  <c r="P9" i="4"/>
  <c r="Q9" i="4" s="1" a="1"/>
  <c r="Q9" i="4" s="1"/>
  <c r="B15" i="4" s="1"/>
  <c r="Q7" i="4" a="1"/>
  <c r="Q7" i="4" s="1"/>
  <c r="E3" i="4" a="1"/>
  <c r="E3" i="4" s="1"/>
  <c r="AI3" i="1" s="1"/>
  <c r="F3" i="8" a="1"/>
  <c r="F3" i="8" s="1"/>
  <c r="E3" i="8" a="1"/>
  <c r="E3" i="8" s="1"/>
  <c r="E7" i="4" l="1" a="1"/>
  <c r="E7" i="4" s="1"/>
  <c r="D9" i="4"/>
  <c r="E9" i="4" s="1" a="1"/>
  <c r="E9" i="4" s="1"/>
  <c r="B12" i="4" s="1"/>
  <c r="H3" i="1" l="1" a="1"/>
  <c r="H3" i="1" s="1"/>
  <c r="D11" i="7" l="1" a="1"/>
  <c r="D11" i="7" s="1"/>
  <c r="BL11" i="7" s="1" a="1"/>
  <c r="BL11" i="7" s="1"/>
  <c r="BM11" i="7" s="1" a="1"/>
  <c r="BM11" i="7" s="1"/>
  <c r="J3" i="1" a="1"/>
  <c r="I3" i="1" a="1"/>
  <c r="I3" i="1" l="1"/>
  <c r="F3" i="4" s="1"/>
  <c r="F9" i="4" s="1"/>
  <c r="J3" i="1"/>
  <c r="G3" i="4"/>
  <c r="G9" i="4" s="1"/>
  <c r="E11" i="7" a="1"/>
  <c r="E11" i="7" s="1"/>
  <c r="K3" i="1" a="1"/>
  <c r="K3" i="1" s="1"/>
  <c r="H3" i="4" s="1"/>
  <c r="I3" i="4" l="1" a="1"/>
  <c r="I3" i="4" s="1"/>
  <c r="AI4" i="1" s="1"/>
  <c r="H9" i="4" l="1"/>
  <c r="I9" i="4" s="1" a="1"/>
  <c r="I9" i="4" s="1"/>
  <c r="B13" i="4" s="1"/>
  <c r="B18" i="4" l="1"/>
  <c r="E1" i="7" a="1"/>
  <c r="E1" i="7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<sst xmlns="http://schemas.openxmlformats.org/spreadsheetml/2006/main" count="425" uniqueCount="38">
  <si>
    <t>CO1</t>
  </si>
  <si>
    <t>CO2</t>
  </si>
  <si>
    <t>CO3</t>
  </si>
  <si>
    <t>CO4</t>
  </si>
  <si>
    <t>Max</t>
  </si>
  <si>
    <t>Achieved</t>
  </si>
  <si>
    <t>Percentage</t>
  </si>
  <si>
    <t>Score</t>
  </si>
  <si>
    <t>Tarrget Achieved</t>
  </si>
  <si>
    <t>CO5</t>
  </si>
  <si>
    <t>CO6</t>
  </si>
  <si>
    <t>Cos</t>
  </si>
  <si>
    <t>ST1</t>
  </si>
  <si>
    <t>ST2</t>
  </si>
  <si>
    <t>ST3</t>
  </si>
  <si>
    <t>Exams</t>
  </si>
  <si>
    <t>%age of targets attained</t>
  </si>
  <si>
    <t>Avg percent attainment</t>
  </si>
  <si>
    <t>Average for internals</t>
  </si>
  <si>
    <t>ETE</t>
  </si>
  <si>
    <t>Overall Course Averages</t>
  </si>
  <si>
    <t>Avg of Student's CO Score Attained</t>
  </si>
  <si>
    <t>Course CO Score Attained</t>
  </si>
  <si>
    <t>Course Outcome</t>
  </si>
  <si>
    <t>Achieved CO Score</t>
  </si>
  <si>
    <t>Overall Attainment</t>
  </si>
  <si>
    <t>Overall</t>
  </si>
  <si>
    <t>Exam</t>
  </si>
  <si>
    <t>Course Name</t>
  </si>
  <si>
    <t>Course Code</t>
  </si>
  <si>
    <t>Target Threshold</t>
  </si>
  <si>
    <t>CO Score</t>
  </si>
  <si>
    <t>Student pass percentage required</t>
  </si>
  <si>
    <t>Strength Of Class</t>
  </si>
  <si>
    <t>CO Attempts</t>
  </si>
  <si>
    <t>-</t>
  </si>
  <si>
    <t>ASN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</si>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</sst>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CCFF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4">
    <xf numFmtId="0" fontId="0" fillId="0" borderId="0" xfId="0"/>
    <xf numFmtId="0" fontId="0" fillId="0" borderId="1" xfId="0" applyBorder="1"/>
    <xf numFmtId="0" fontId="0" fillId="0" borderId="2" xfId="0" applyBorder="1"/>
    <xf numFmtId="9" fontId="0" fillId="0" borderId="1" xfId="1" applyFont="1" applyBorder="1" applyAlignment="1"/>
    <xf numFmtId="0" fontId="0" fillId="0" borderId="3" xfId="0" applyBorder="1"/>
    <xf numFmtId="0" fontId="0" fillId="0" borderId="5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9" fontId="0" fillId="0" borderId="1" xfId="1" applyFont="1" applyBorder="1"/>
    <xf numFmtId="9" fontId="0" fillId="0" borderId="0" xfId="1" applyFont="1"/>
    <xf numFmtId="2" fontId="0" fillId="0" borderId="4" xfId="0" applyNumberFormat="1" applyBorder="1"/>
    <xf numFmtId="0" fontId="3" fillId="0" borderId="0" xfId="0" applyFont="1"/>
    <xf numFmtId="9" fontId="0" fillId="0" borderId="4" xfId="1" applyFont="1" applyBorder="1"/>
    <xf numFmtId="9" fontId="0" fillId="0" borderId="4" xfId="1" applyFont="1" applyFill="1" applyBorder="1"/>
    <xf numFmtId="9" fontId="0" fillId="0" borderId="15" xfId="1" applyFont="1" applyBorder="1"/>
    <xf numFmtId="0" fontId="0" fillId="0" borderId="8" xfId="1" applyNumberFormat="1" applyFont="1" applyBorder="1"/>
    <xf numFmtId="0" fontId="3" fillId="0" borderId="13" xfId="0" applyFont="1" applyBorder="1"/>
    <xf numFmtId="0" fontId="0" fillId="0" borderId="13" xfId="0" applyBorder="1"/>
    <xf numFmtId="2" fontId="0" fillId="0" borderId="1" xfId="0" applyNumberFormat="1" applyBorder="1"/>
    <xf numFmtId="0" fontId="0" fillId="0" borderId="2" xfId="1" applyNumberFormat="1" applyFont="1" applyBorder="1"/>
    <xf numFmtId="2" fontId="0" fillId="0" borderId="7" xfId="1" applyNumberFormat="1" applyFont="1" applyBorder="1"/>
    <xf numFmtId="2" fontId="0" fillId="0" borderId="3" xfId="0" applyNumberFormat="1" applyBorder="1"/>
    <xf numFmtId="2" fontId="0" fillId="0" borderId="7" xfId="0" applyNumberFormat="1" applyBorder="1"/>
    <xf numFmtId="0" fontId="0" fillId="0" borderId="18" xfId="0" applyBorder="1"/>
    <xf numFmtId="9" fontId="0" fillId="0" borderId="18" xfId="1" applyFont="1" applyBorder="1"/>
    <xf numFmtId="9" fontId="0" fillId="0" borderId="19" xfId="1" applyFont="1" applyBorder="1"/>
    <xf numFmtId="2" fontId="0" fillId="0" borderId="14" xfId="0" applyNumberFormat="1" applyBorder="1"/>
    <xf numFmtId="2" fontId="0" fillId="0" borderId="15" xfId="0" applyNumberFormat="1" applyBorder="1"/>
    <xf numFmtId="9" fontId="0" fillId="0" borderId="15" xfId="1" applyFont="1" applyFill="1" applyBorder="1"/>
    <xf numFmtId="0" fontId="0" fillId="0" borderId="16" xfId="1" applyNumberFormat="1" applyFont="1" applyBorder="1"/>
    <xf numFmtId="0" fontId="0" fillId="0" borderId="20" xfId="0" applyBorder="1"/>
    <xf numFmtId="2" fontId="0" fillId="0" borderId="14" xfId="1" applyNumberFormat="1" applyFont="1" applyBorder="1"/>
    <xf numFmtId="0" fontId="3" fillId="0" borderId="11" xfId="0" applyFont="1" applyBorder="1"/>
    <xf numFmtId="0" fontId="0" fillId="0" borderId="12" xfId="0" applyBorder="1"/>
    <xf numFmtId="2" fontId="0" fillId="0" borderId="22" xfId="0" applyNumberFormat="1" applyBorder="1"/>
    <xf numFmtId="9" fontId="0" fillId="0" borderId="22" xfId="1" applyFont="1" applyBorder="1"/>
    <xf numFmtId="9" fontId="0" fillId="0" borderId="22" xfId="1" applyFont="1" applyFill="1" applyBorder="1"/>
    <xf numFmtId="0" fontId="0" fillId="0" borderId="23" xfId="1" applyNumberFormat="1" applyFont="1" applyBorder="1"/>
    <xf numFmtId="9" fontId="0" fillId="0" borderId="1" xfId="1" applyFont="1" applyFill="1" applyBorder="1"/>
    <xf numFmtId="2" fontId="0" fillId="0" borderId="21" xfId="0" applyNumberFormat="1" applyBorder="1"/>
    <xf numFmtId="0" fontId="0" fillId="0" borderId="24" xfId="0" applyBorder="1"/>
    <xf numFmtId="2" fontId="0" fillId="0" borderId="25" xfId="0" applyNumberFormat="1" applyBorder="1"/>
    <xf numFmtId="2" fontId="0" fillId="0" borderId="26" xfId="0" applyNumberFormat="1" applyBorder="1"/>
    <xf numFmtId="2" fontId="0" fillId="0" borderId="27" xfId="0" applyNumberFormat="1" applyBorder="1"/>
    <xf numFmtId="2" fontId="0" fillId="0" borderId="17" xfId="0" applyNumberFormat="1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4" fillId="0" borderId="3" xfId="0" applyFont="1" applyBorder="1"/>
    <xf numFmtId="0" fontId="0" fillId="0" borderId="36" xfId="0" applyBorder="1"/>
    <xf numFmtId="0" fontId="0" fillId="0" borderId="37" xfId="0" applyBorder="1"/>
    <xf numFmtId="0" fontId="4" fillId="3" borderId="7" xfId="0" applyFont="1" applyFill="1" applyBorder="1"/>
    <xf numFmtId="0" fontId="5" fillId="3" borderId="8" xfId="0" applyFont="1" applyFill="1" applyBorder="1"/>
    <xf numFmtId="0" fontId="4" fillId="2" borderId="10" xfId="0" applyFont="1" applyFill="1" applyBorder="1"/>
    <xf numFmtId="0" fontId="5" fillId="2" borderId="32" xfId="0" applyFont="1" applyFill="1" applyBorder="1"/>
    <xf numFmtId="0" fontId="4" fillId="5" borderId="7" xfId="0" applyFont="1" applyFill="1" applyBorder="1"/>
    <xf numFmtId="0" fontId="5" fillId="5" borderId="8" xfId="0" applyFont="1" applyFill="1" applyBorder="1"/>
    <xf numFmtId="0" fontId="4" fillId="4" borderId="7" xfId="0" applyFont="1" applyFill="1" applyBorder="1"/>
    <xf numFmtId="0" fontId="5" fillId="4" borderId="8" xfId="0" applyFont="1" applyFill="1" applyBorder="1"/>
    <xf numFmtId="0" fontId="4" fillId="6" borderId="7" xfId="0" applyFont="1" applyFill="1" applyBorder="1"/>
    <xf numFmtId="0" fontId="5" fillId="6" borderId="8" xfId="0" applyFont="1" applyFill="1" applyBorder="1"/>
    <xf numFmtId="0" fontId="4" fillId="7" borderId="34" xfId="0" applyFont="1" applyFill="1" applyBorder="1"/>
    <xf numFmtId="0" fontId="5" fillId="7" borderId="35" xfId="0" applyFont="1" applyFill="1" applyBorder="1"/>
    <xf numFmtId="0" fontId="4" fillId="0" borderId="3" xfId="0" applyFont="1" applyBorder="1" applyAlignment="1">
      <alignment wrapText="1"/>
    </xf>
    <xf numFmtId="0" fontId="4" fillId="2" borderId="10" xfId="0" applyFont="1" applyFill="1" applyBorder="1" applyAlignment="1">
      <alignment wrapText="1"/>
    </xf>
    <xf numFmtId="0" fontId="5" fillId="2" borderId="32" xfId="0" applyFont="1" applyFill="1" applyBorder="1" applyAlignment="1">
      <alignment wrapText="1"/>
    </xf>
    <xf numFmtId="0" fontId="4" fillId="3" borderId="7" xfId="0" applyFont="1" applyFill="1" applyBorder="1" applyAlignment="1">
      <alignment wrapText="1"/>
    </xf>
    <xf numFmtId="0" fontId="5" fillId="3" borderId="8" xfId="0" applyFont="1" applyFill="1" applyBorder="1" applyAlignment="1">
      <alignment wrapText="1"/>
    </xf>
    <xf numFmtId="0" fontId="4" fillId="4" borderId="7" xfId="0" applyFont="1" applyFill="1" applyBorder="1" applyAlignment="1">
      <alignment wrapText="1"/>
    </xf>
    <xf numFmtId="0" fontId="5" fillId="4" borderId="8" xfId="0" applyFont="1" applyFill="1" applyBorder="1" applyAlignment="1">
      <alignment wrapText="1"/>
    </xf>
    <xf numFmtId="0" fontId="4" fillId="5" borderId="7" xfId="0" applyFont="1" applyFill="1" applyBorder="1" applyAlignment="1">
      <alignment wrapText="1"/>
    </xf>
    <xf numFmtId="0" fontId="5" fillId="5" borderId="8" xfId="0" applyFont="1" applyFill="1" applyBorder="1" applyAlignment="1">
      <alignment wrapText="1"/>
    </xf>
    <xf numFmtId="0" fontId="4" fillId="6" borderId="7" xfId="0" applyFont="1" applyFill="1" applyBorder="1" applyAlignment="1">
      <alignment wrapText="1"/>
    </xf>
    <xf numFmtId="0" fontId="5" fillId="6" borderId="8" xfId="0" applyFont="1" applyFill="1" applyBorder="1" applyAlignment="1">
      <alignment wrapText="1"/>
    </xf>
    <xf numFmtId="0" fontId="4" fillId="7" borderId="34" xfId="0" applyFont="1" applyFill="1" applyBorder="1" applyAlignment="1">
      <alignment wrapText="1"/>
    </xf>
    <xf numFmtId="0" fontId="5" fillId="7" borderId="35" xfId="0" applyFont="1" applyFill="1" applyBorder="1" applyAlignment="1">
      <alignment wrapText="1"/>
    </xf>
    <xf numFmtId="0" fontId="4" fillId="0" borderId="11" xfId="0" applyFont="1" applyBorder="1" applyAlignment="1">
      <alignment wrapText="1"/>
    </xf>
    <xf numFmtId="0" fontId="4" fillId="0" borderId="2" xfId="0" applyFont="1" applyBorder="1" applyAlignment="1">
      <alignment wrapText="1"/>
    </xf>
    <xf numFmtId="0" fontId="3" fillId="0" borderId="38" xfId="0" applyFont="1" applyBorder="1" applyAlignment="1">
      <alignment wrapText="1"/>
    </xf>
    <xf numFmtId="0" fontId="0" fillId="0" borderId="39" xfId="0" applyBorder="1" applyAlignment="1">
      <alignment wrapText="1"/>
    </xf>
    <xf numFmtId="0" fontId="3" fillId="0" borderId="40" xfId="0" applyFont="1" applyBorder="1" applyAlignment="1">
      <alignment wrapText="1"/>
    </xf>
    <xf numFmtId="0" fontId="0" fillId="0" borderId="41" xfId="0" applyBorder="1" applyAlignment="1">
      <alignment wrapText="1"/>
    </xf>
    <xf numFmtId="0" fontId="0" fillId="0" borderId="40" xfId="0" applyBorder="1" applyAlignment="1">
      <alignment wrapText="1"/>
    </xf>
    <xf numFmtId="9" fontId="0" fillId="0" borderId="41" xfId="1" applyFont="1" applyBorder="1" applyAlignment="1">
      <alignment wrapText="1"/>
    </xf>
    <xf numFmtId="0" fontId="3" fillId="0" borderId="42" xfId="0" applyFont="1" applyBorder="1" applyAlignment="1">
      <alignment wrapText="1"/>
    </xf>
    <xf numFmtId="0" fontId="0" fillId="0" borderId="43" xfId="0" applyBorder="1" applyAlignment="1">
      <alignment horizontal="right" wrapText="1"/>
    </xf>
    <xf numFmtId="0" fontId="4" fillId="0" borderId="13" xfId="0" applyFont="1" applyBorder="1" applyAlignment="1">
      <alignment wrapText="1"/>
    </xf>
    <xf numFmtId="0" fontId="0" fillId="0" borderId="32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0" xfId="0" applyAlignment="1">
      <alignment wrapText="1"/>
    </xf>
    <xf numFmtId="0" fontId="0" fillId="0" borderId="44" xfId="0" applyBorder="1"/>
    <xf numFmtId="0" fontId="0" fillId="0" borderId="45" xfId="0" applyBorder="1"/>
    <xf numFmtId="2" fontId="0" fillId="0" borderId="46" xfId="0" applyNumberFormat="1" applyBorder="1"/>
    <xf numFmtId="2" fontId="0" fillId="0" borderId="47" xfId="0" applyNumberFormat="1" applyBorder="1"/>
    <xf numFmtId="9" fontId="0" fillId="0" borderId="47" xfId="1" applyFont="1" applyBorder="1"/>
    <xf numFmtId="9" fontId="0" fillId="0" borderId="47" xfId="1" applyFont="1" applyFill="1" applyBorder="1"/>
    <xf numFmtId="2" fontId="0" fillId="0" borderId="48" xfId="0" applyNumberFormat="1" applyBorder="1"/>
    <xf numFmtId="0" fontId="3" fillId="0" borderId="11" xfId="0" applyFont="1" applyBorder="1" applyAlignment="1">
      <alignment horizontal="center"/>
    </xf>
    <xf numFmtId="0" fontId="3" fillId="0" borderId="33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2" fontId="0" fillId="0" borderId="1" xfId="1" applyNumberFormat="1" applyFont="1" applyBorder="1"/>
  </cellXfs>
  <cellStyles count="2">
    <cellStyle name="Normal" xfId="0" builtinId="0"/>
    <cellStyle name="Percent" xfId="1" builtinId="5"/>
  </cellStyles>
  <dxfs count="0"/>
  <tableStyles count="1" defaultTableStyle="TableStyleMedium2" defaultPivotStyle="PivotStyleLight16">
    <tableStyle name="Invisible" pivot="0" table="0" count="0" xr9:uid="{E395C7B1-7865-48EC-96AC-C274EDABD8A0}"/>
  </tableStyles>
  <colors>
    <mruColors>
      <color rgb="FFFFCCFF"/>
      <color rgb="FFFF99CC"/>
      <color rgb="FFCCFFFF"/>
      <color rgb="FFCCCCFF"/>
      <color rgb="FF9999FF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ECE%20Showcase\Calculations.xlsx" TargetMode="External"/><Relationship Id="rId1" Type="http://schemas.openxmlformats.org/officeDocument/2006/relationships/externalLinkPath" Target="Calculation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ECE%20Showcase\Teacher%20Input%20sheet.xlsx" TargetMode="External"/><Relationship Id="rId1" Type="http://schemas.openxmlformats.org/officeDocument/2006/relationships/externalLinkPath" Target="Teacher%20Input%20she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BE Data"/>
      <sheetName val="ST1 Questions"/>
      <sheetName val="ST1 Result"/>
      <sheetName val="ST1 Student Marks"/>
      <sheetName val="ST1 Question Map"/>
      <sheetName val="ST1 Attemped Qs"/>
      <sheetName val="ST1 Attempted COs"/>
      <sheetName val="ST1 Student MO CO Score"/>
      <sheetName val="ST1 Student Attained CO Score"/>
      <sheetName val="ST1 Student Attainment percent"/>
      <sheetName val="ST1 CO Attainment Score"/>
      <sheetName val="ST1 Target Attained"/>
      <sheetName val="ST2 Questions"/>
      <sheetName val="ST2 Result"/>
      <sheetName val="ST2 Student Marks"/>
      <sheetName val="ST2 Question Map"/>
      <sheetName val="ST2 Attemped Qs"/>
      <sheetName val="ST2 Attempted COs"/>
      <sheetName val="ST2 Student MO CO Score"/>
      <sheetName val="ST2 Student Attained CO Score"/>
      <sheetName val="ST2 Student Attainment percent"/>
      <sheetName val="ST2 CO Attainment Score"/>
      <sheetName val="ST2 Target Attained"/>
      <sheetName val="ST3 Questions"/>
      <sheetName val="ST3 Result"/>
      <sheetName val="ST3 Student Marks"/>
      <sheetName val="ST3 Question Map"/>
      <sheetName val="ST3 Attemped Qs"/>
      <sheetName val="ST3 Attempted COs"/>
      <sheetName val="ST3 Student MO CO Score"/>
      <sheetName val="ST3 Student Attained CO Score"/>
      <sheetName val="ST3 Student Attainment percent"/>
      <sheetName val="ST3 CO Attainment Score"/>
      <sheetName val="ST3 Target Attained"/>
      <sheetName val="ETE Questions"/>
      <sheetName val="ETE Result"/>
      <sheetName val="ETE Student Marks"/>
      <sheetName val="ETE Question Map"/>
      <sheetName val="ETE Attemped Qs"/>
      <sheetName val="ETE Attempted COs"/>
      <sheetName val="ETE Student MO CO Score"/>
      <sheetName val="ETE Student Attained CO Score"/>
      <sheetName val="ETE Student Attainment percent"/>
      <sheetName val="ETE CO Attainment Score"/>
      <sheetName val="ETE Target Attained"/>
      <sheetName val="ASN Questions"/>
      <sheetName val="ASN Result"/>
      <sheetName val="ASN Student Marks"/>
      <sheetName val="ASN Question Map"/>
      <sheetName val="ASN Attemped Qs"/>
      <sheetName val="ASN Attempted COs"/>
      <sheetName val="ASN Student MO CO Score"/>
      <sheetName val="ASN Student Attained CO Score"/>
      <sheetName val="ASN Student Attainment percent"/>
      <sheetName val="ASN CO Attainment Score"/>
      <sheetName val="ASN Target Attained"/>
    </sheetNames>
    <sheetDataSet>
      <sheetData sheetId="0">
        <row r="5">
          <cell r="B5">
            <v>60</v>
          </cell>
        </row>
        <row r="9">
          <cell r="B9">
            <v>0.4</v>
          </cell>
        </row>
        <row r="10">
          <cell r="B10">
            <v>0.6</v>
          </cell>
        </row>
        <row r="13">
          <cell r="B13">
            <v>0.8</v>
          </cell>
        </row>
        <row r="14">
          <cell r="B14">
            <v>0.7</v>
          </cell>
        </row>
        <row r="15">
          <cell r="B15">
            <v>0.6</v>
          </cell>
        </row>
      </sheetData>
      <sheetData sheetId="1"/>
      <sheetData sheetId="2">
        <row r="1">
          <cell r="B1" t="str">
            <v>Admission No. (Roll No.)</v>
          </cell>
          <cell r="C1" t="str">
            <v>Name of Student</v>
          </cell>
          <cell r="D1" t="str">
            <v>Division(Section)</v>
          </cell>
          <cell r="E1" t="str">
            <v>Course Code</v>
          </cell>
          <cell r="F1" t="str">
            <v>Course Name</v>
          </cell>
        </row>
        <row r="2">
          <cell r="B2">
            <v>2010990089</v>
          </cell>
          <cell r="C2" t="str">
            <v>ANSH GARG</v>
          </cell>
          <cell r="D2">
            <v>0</v>
          </cell>
          <cell r="E2" t="str">
            <v>EC112</v>
          </cell>
          <cell r="F2" t="str">
            <v>Network Analysis and Synthesis</v>
          </cell>
        </row>
        <row r="3">
          <cell r="B3">
            <v>2010992002</v>
          </cell>
          <cell r="C3" t="str">
            <v>PANSY VERMA</v>
          </cell>
          <cell r="D3">
            <v>0</v>
          </cell>
          <cell r="E3" t="str">
            <v>EC112</v>
          </cell>
          <cell r="F3" t="str">
            <v>Network Analysis and Synthesis</v>
          </cell>
        </row>
        <row r="4">
          <cell r="B4">
            <v>2010992004</v>
          </cell>
          <cell r="C4" t="str">
            <v>UTKARSH BHATT</v>
          </cell>
          <cell r="D4">
            <v>0</v>
          </cell>
          <cell r="E4" t="str">
            <v>EC112</v>
          </cell>
          <cell r="F4" t="str">
            <v>Network Analysis and Synthesis</v>
          </cell>
        </row>
        <row r="5">
          <cell r="B5">
            <v>2010992005</v>
          </cell>
          <cell r="C5" t="str">
            <v>RATANABH SHARMA</v>
          </cell>
          <cell r="D5">
            <v>0</v>
          </cell>
          <cell r="E5" t="str">
            <v>EC112</v>
          </cell>
          <cell r="F5" t="str">
            <v>Network Analysis and Synthesis</v>
          </cell>
        </row>
        <row r="6">
          <cell r="B6">
            <v>2010992006</v>
          </cell>
          <cell r="C6" t="str">
            <v>AYUSH SHARMA</v>
          </cell>
          <cell r="D6">
            <v>0</v>
          </cell>
          <cell r="E6" t="str">
            <v>EC112</v>
          </cell>
          <cell r="F6" t="str">
            <v>Network Analysis and Synthesis</v>
          </cell>
        </row>
        <row r="7">
          <cell r="B7">
            <v>2010992008</v>
          </cell>
          <cell r="C7" t="str">
            <v>NAVDEEP SINGH</v>
          </cell>
          <cell r="D7">
            <v>0</v>
          </cell>
          <cell r="E7" t="str">
            <v>EC112</v>
          </cell>
          <cell r="F7" t="str">
            <v>Network Analysis and Synthesis</v>
          </cell>
        </row>
        <row r="8">
          <cell r="B8">
            <v>2010992009</v>
          </cell>
          <cell r="C8" t="str">
            <v>RIYA</v>
          </cell>
          <cell r="D8">
            <v>0</v>
          </cell>
          <cell r="E8" t="str">
            <v>EC112</v>
          </cell>
          <cell r="F8" t="str">
            <v>Network Analysis and Synthesis</v>
          </cell>
        </row>
        <row r="9">
          <cell r="B9">
            <v>2010992010</v>
          </cell>
          <cell r="C9" t="str">
            <v>RISHABH TANDON</v>
          </cell>
          <cell r="D9">
            <v>0</v>
          </cell>
          <cell r="E9" t="str">
            <v>EC112</v>
          </cell>
          <cell r="F9" t="str">
            <v>Network Analysis and Synthesis</v>
          </cell>
        </row>
        <row r="10">
          <cell r="B10">
            <v>2010992011</v>
          </cell>
          <cell r="C10" t="str">
            <v>HEERENDRA SINGH CHAUHAN</v>
          </cell>
          <cell r="D10">
            <v>0</v>
          </cell>
          <cell r="E10" t="str">
            <v>EC112</v>
          </cell>
          <cell r="F10" t="str">
            <v>Network Analysis and Synthesis</v>
          </cell>
        </row>
        <row r="11">
          <cell r="B11">
            <v>2010992012</v>
          </cell>
          <cell r="C11" t="str">
            <v>AKSHAT</v>
          </cell>
          <cell r="D11">
            <v>0</v>
          </cell>
          <cell r="E11" t="str">
            <v>EC112</v>
          </cell>
          <cell r="F11" t="str">
            <v>Network Analysis and Synthesis</v>
          </cell>
        </row>
        <row r="12">
          <cell r="B12">
            <v>2010992014</v>
          </cell>
          <cell r="C12" t="str">
            <v>HARSHIT CHAHAL</v>
          </cell>
          <cell r="D12">
            <v>0</v>
          </cell>
          <cell r="E12" t="str">
            <v>EC112</v>
          </cell>
          <cell r="F12" t="str">
            <v>Network Analysis and Synthesis</v>
          </cell>
        </row>
        <row r="13">
          <cell r="B13">
            <v>2010992015</v>
          </cell>
          <cell r="C13" t="str">
            <v>URVANSH NAHATA</v>
          </cell>
          <cell r="D13">
            <v>0</v>
          </cell>
          <cell r="E13" t="str">
            <v>EC112</v>
          </cell>
          <cell r="F13" t="str">
            <v>Network Analysis and Synthesis</v>
          </cell>
        </row>
        <row r="14">
          <cell r="B14">
            <v>2010992016</v>
          </cell>
          <cell r="C14" t="str">
            <v>VARUN</v>
          </cell>
          <cell r="D14">
            <v>0</v>
          </cell>
          <cell r="E14" t="str">
            <v>EC112</v>
          </cell>
          <cell r="F14" t="str">
            <v>Network Analysis and Synthesis</v>
          </cell>
        </row>
        <row r="15">
          <cell r="B15">
            <v>2010992017</v>
          </cell>
          <cell r="C15" t="str">
            <v>MRIDUL AGGARWAL</v>
          </cell>
          <cell r="D15">
            <v>0</v>
          </cell>
          <cell r="E15" t="str">
            <v>EC112</v>
          </cell>
          <cell r="F15" t="str">
            <v>Network Analysis and Synthesis</v>
          </cell>
        </row>
        <row r="16">
          <cell r="B16">
            <v>2010992018</v>
          </cell>
          <cell r="C16" t="str">
            <v>SHAKSHI SINGH</v>
          </cell>
          <cell r="D16">
            <v>0</v>
          </cell>
          <cell r="E16" t="str">
            <v>EC112</v>
          </cell>
          <cell r="F16" t="str">
            <v>Network Analysis and Synthesis</v>
          </cell>
        </row>
        <row r="17">
          <cell r="B17">
            <v>2010992019</v>
          </cell>
          <cell r="C17" t="str">
            <v>KHAN MUBASHIR RASOOL</v>
          </cell>
          <cell r="D17">
            <v>0</v>
          </cell>
          <cell r="E17" t="str">
            <v>EC112</v>
          </cell>
          <cell r="F17" t="str">
            <v>Network Analysis and Synthesis</v>
          </cell>
        </row>
        <row r="18">
          <cell r="B18">
            <v>2010992163</v>
          </cell>
          <cell r="C18" t="str">
            <v>TAMANA SIAG</v>
          </cell>
          <cell r="D18">
            <v>0</v>
          </cell>
          <cell r="E18" t="str">
            <v>EC112</v>
          </cell>
          <cell r="F18" t="str">
            <v>Network Analysis and Synthesis</v>
          </cell>
        </row>
        <row r="19">
          <cell r="B19">
            <v>2010992202</v>
          </cell>
          <cell r="C19" t="str">
            <v>EKAMJOT SINGH MAINGI</v>
          </cell>
          <cell r="D19">
            <v>0</v>
          </cell>
          <cell r="E19" t="str">
            <v>EC112</v>
          </cell>
          <cell r="F19" t="str">
            <v>Network Analysis and Synthesis</v>
          </cell>
        </row>
      </sheetData>
      <sheetData sheetId="3"/>
      <sheetData sheetId="4"/>
      <sheetData sheetId="5"/>
      <sheetData sheetId="6">
        <row r="1">
          <cell r="A1" t="str">
            <v>CO1</v>
          </cell>
          <cell r="B1" t="str">
            <v>CO2</v>
          </cell>
          <cell r="C1" t="str">
            <v>CO3</v>
          </cell>
          <cell r="D1" t="str">
            <v>CO4</v>
          </cell>
          <cell r="E1" t="str">
            <v>CO5</v>
          </cell>
          <cell r="F1" t="str">
            <v>CO6</v>
          </cell>
        </row>
        <row r="2">
          <cell r="A2">
            <v>2010990089</v>
          </cell>
          <cell r="B2">
            <v>2010990089</v>
          </cell>
          <cell r="C2">
            <v>2010990089</v>
          </cell>
          <cell r="D2">
            <v>2010990089</v>
          </cell>
          <cell r="E2">
            <v>2010992004</v>
          </cell>
          <cell r="F2">
            <v>2010990089</v>
          </cell>
        </row>
        <row r="3">
          <cell r="A3">
            <v>2010992004</v>
          </cell>
          <cell r="B3">
            <v>2010992004</v>
          </cell>
          <cell r="C3">
            <v>2010992002</v>
          </cell>
          <cell r="D3">
            <v>2010992002</v>
          </cell>
          <cell r="E3">
            <v>2010992006</v>
          </cell>
          <cell r="F3">
            <v>2010992002</v>
          </cell>
        </row>
        <row r="4">
          <cell r="A4">
            <v>2010992002</v>
          </cell>
          <cell r="B4">
            <v>2010992002</v>
          </cell>
          <cell r="C4">
            <v>2010992004</v>
          </cell>
          <cell r="D4">
            <v>2010992004</v>
          </cell>
          <cell r="E4">
            <v>2010992008</v>
          </cell>
          <cell r="F4">
            <v>2010992004</v>
          </cell>
        </row>
        <row r="5">
          <cell r="A5">
            <v>2010992006</v>
          </cell>
          <cell r="B5">
            <v>2010992006</v>
          </cell>
          <cell r="C5">
            <v>2010992005</v>
          </cell>
          <cell r="D5">
            <v>2010992005</v>
          </cell>
          <cell r="E5">
            <v>2010992009</v>
          </cell>
          <cell r="F5">
            <v>2010992005</v>
          </cell>
        </row>
        <row r="6">
          <cell r="A6">
            <v>2010992008</v>
          </cell>
          <cell r="B6">
            <v>2010992008</v>
          </cell>
          <cell r="C6">
            <v>2010992006</v>
          </cell>
          <cell r="D6">
            <v>2010992006</v>
          </cell>
          <cell r="E6">
            <v>2010992010</v>
          </cell>
          <cell r="F6">
            <v>2010992006</v>
          </cell>
        </row>
        <row r="7">
          <cell r="A7">
            <v>2010992005</v>
          </cell>
          <cell r="B7">
            <v>2010992005</v>
          </cell>
          <cell r="C7">
            <v>2010992008</v>
          </cell>
          <cell r="D7">
            <v>2010992008</v>
          </cell>
          <cell r="E7">
            <v>2010992011</v>
          </cell>
          <cell r="F7">
            <v>2010992008</v>
          </cell>
        </row>
        <row r="8">
          <cell r="A8">
            <v>2010992009</v>
          </cell>
          <cell r="B8">
            <v>2010992009</v>
          </cell>
          <cell r="C8">
            <v>2010992009</v>
          </cell>
          <cell r="D8">
            <v>2010992009</v>
          </cell>
          <cell r="E8">
            <v>2010992012</v>
          </cell>
          <cell r="F8">
            <v>2010992009</v>
          </cell>
        </row>
        <row r="9">
          <cell r="A9">
            <v>2010992010</v>
          </cell>
          <cell r="B9">
            <v>2010992010</v>
          </cell>
          <cell r="C9">
            <v>2010992010</v>
          </cell>
          <cell r="D9">
            <v>2010992010</v>
          </cell>
          <cell r="E9">
            <v>2010992014</v>
          </cell>
          <cell r="F9">
            <v>2010992010</v>
          </cell>
        </row>
        <row r="10">
          <cell r="A10">
            <v>2010992011</v>
          </cell>
          <cell r="B10">
            <v>2010992011</v>
          </cell>
          <cell r="C10">
            <v>2010992011</v>
          </cell>
          <cell r="D10">
            <v>2010992011</v>
          </cell>
          <cell r="E10">
            <v>2010992015</v>
          </cell>
          <cell r="F10">
            <v>2010992011</v>
          </cell>
        </row>
        <row r="11">
          <cell r="A11">
            <v>2010992012</v>
          </cell>
          <cell r="B11">
            <v>2010992012</v>
          </cell>
          <cell r="C11">
            <v>2010992012</v>
          </cell>
          <cell r="D11">
            <v>2010992012</v>
          </cell>
          <cell r="E11">
            <v>2010992016</v>
          </cell>
          <cell r="F11">
            <v>2010992012</v>
          </cell>
        </row>
        <row r="12">
          <cell r="A12">
            <v>2010992014</v>
          </cell>
          <cell r="B12">
            <v>2010992014</v>
          </cell>
          <cell r="C12">
            <v>2010992014</v>
          </cell>
          <cell r="D12">
            <v>2010992014</v>
          </cell>
          <cell r="E12">
            <v>2010992017</v>
          </cell>
          <cell r="F12">
            <v>2010992014</v>
          </cell>
        </row>
        <row r="13">
          <cell r="A13">
            <v>2010992015</v>
          </cell>
          <cell r="B13">
            <v>2010992015</v>
          </cell>
          <cell r="C13">
            <v>2010992015</v>
          </cell>
          <cell r="D13">
            <v>2010992015</v>
          </cell>
          <cell r="E13">
            <v>2010992018</v>
          </cell>
          <cell r="F13">
            <v>2010992015</v>
          </cell>
        </row>
        <row r="14">
          <cell r="A14">
            <v>2010992016</v>
          </cell>
          <cell r="B14">
            <v>2010992016</v>
          </cell>
          <cell r="C14">
            <v>2010992016</v>
          </cell>
          <cell r="D14">
            <v>2010992016</v>
          </cell>
          <cell r="E14">
            <v>2010992019</v>
          </cell>
          <cell r="F14">
            <v>2010992016</v>
          </cell>
        </row>
        <row r="15">
          <cell r="A15">
            <v>2010992017</v>
          </cell>
          <cell r="B15">
            <v>2010992017</v>
          </cell>
          <cell r="C15">
            <v>2010992017</v>
          </cell>
          <cell r="D15">
            <v>2010992017</v>
          </cell>
          <cell r="E15">
            <v>2010992163</v>
          </cell>
          <cell r="F15">
            <v>2010992017</v>
          </cell>
        </row>
        <row r="16">
          <cell r="A16">
            <v>2010992018</v>
          </cell>
          <cell r="B16">
            <v>2010992018</v>
          </cell>
          <cell r="C16">
            <v>2010992018</v>
          </cell>
          <cell r="D16">
            <v>2010992018</v>
          </cell>
          <cell r="E16">
            <v>2010992202</v>
          </cell>
          <cell r="F16">
            <v>2010992018</v>
          </cell>
        </row>
        <row r="17">
          <cell r="A17">
            <v>2010992019</v>
          </cell>
          <cell r="B17">
            <v>2010992019</v>
          </cell>
          <cell r="C17">
            <v>2010992019</v>
          </cell>
          <cell r="D17">
            <v>2010992019</v>
          </cell>
          <cell r="F17">
            <v>2010992019</v>
          </cell>
        </row>
        <row r="18">
          <cell r="A18">
            <v>2010992163</v>
          </cell>
          <cell r="B18">
            <v>2010992163</v>
          </cell>
          <cell r="C18">
            <v>2010992163</v>
          </cell>
          <cell r="D18">
            <v>2010992163</v>
          </cell>
          <cell r="F18">
            <v>2010992163</v>
          </cell>
        </row>
        <row r="19">
          <cell r="A19">
            <v>2010992202</v>
          </cell>
          <cell r="B19">
            <v>2010992202</v>
          </cell>
          <cell r="C19">
            <v>2010992202</v>
          </cell>
          <cell r="D19">
            <v>2010992202</v>
          </cell>
          <cell r="F19">
            <v>2010992202</v>
          </cell>
        </row>
      </sheetData>
      <sheetData sheetId="7">
        <row r="1">
          <cell r="B1" t="str">
            <v>CO1</v>
          </cell>
          <cell r="C1" t="str">
            <v>CO2</v>
          </cell>
          <cell r="D1" t="str">
            <v>CO3</v>
          </cell>
          <cell r="E1" t="str">
            <v>CO4</v>
          </cell>
          <cell r="F1" t="str">
            <v>CO5</v>
          </cell>
          <cell r="G1" t="str">
            <v>CO6</v>
          </cell>
        </row>
        <row r="2">
          <cell r="B2">
            <v>36</v>
          </cell>
          <cell r="C2">
            <v>22</v>
          </cell>
          <cell r="D2">
            <v>17</v>
          </cell>
          <cell r="E2">
            <v>22</v>
          </cell>
          <cell r="F2">
            <v>0</v>
          </cell>
          <cell r="G2">
            <v>15</v>
          </cell>
        </row>
        <row r="3">
          <cell r="B3">
            <v>36</v>
          </cell>
          <cell r="C3">
            <v>22</v>
          </cell>
          <cell r="D3">
            <v>17</v>
          </cell>
          <cell r="E3">
            <v>22</v>
          </cell>
          <cell r="F3">
            <v>0</v>
          </cell>
          <cell r="G3">
            <v>15</v>
          </cell>
        </row>
        <row r="4">
          <cell r="B4">
            <v>40</v>
          </cell>
          <cell r="C4">
            <v>26</v>
          </cell>
          <cell r="D4">
            <v>17</v>
          </cell>
          <cell r="E4">
            <v>22</v>
          </cell>
          <cell r="F4">
            <v>2</v>
          </cell>
          <cell r="G4">
            <v>15</v>
          </cell>
        </row>
        <row r="5">
          <cell r="B5">
            <v>36</v>
          </cell>
          <cell r="C5">
            <v>22</v>
          </cell>
          <cell r="D5">
            <v>17</v>
          </cell>
          <cell r="E5">
            <v>22</v>
          </cell>
          <cell r="F5">
            <v>0</v>
          </cell>
          <cell r="G5">
            <v>15</v>
          </cell>
        </row>
        <row r="6">
          <cell r="B6">
            <v>40</v>
          </cell>
          <cell r="C6">
            <v>26</v>
          </cell>
          <cell r="D6">
            <v>17</v>
          </cell>
          <cell r="E6">
            <v>22</v>
          </cell>
          <cell r="F6">
            <v>2</v>
          </cell>
          <cell r="G6">
            <v>15</v>
          </cell>
        </row>
        <row r="7">
          <cell r="B7">
            <v>40</v>
          </cell>
          <cell r="C7">
            <v>26</v>
          </cell>
          <cell r="D7">
            <v>17</v>
          </cell>
          <cell r="E7">
            <v>22</v>
          </cell>
          <cell r="F7">
            <v>2</v>
          </cell>
          <cell r="G7">
            <v>15</v>
          </cell>
        </row>
        <row r="8">
          <cell r="B8">
            <v>40</v>
          </cell>
          <cell r="C8">
            <v>26</v>
          </cell>
          <cell r="D8">
            <v>17</v>
          </cell>
          <cell r="E8">
            <v>22</v>
          </cell>
          <cell r="F8">
            <v>2</v>
          </cell>
          <cell r="G8">
            <v>15</v>
          </cell>
        </row>
        <row r="9">
          <cell r="B9">
            <v>40</v>
          </cell>
          <cell r="C9">
            <v>26</v>
          </cell>
          <cell r="D9">
            <v>17</v>
          </cell>
          <cell r="E9">
            <v>22</v>
          </cell>
          <cell r="F9">
            <v>2</v>
          </cell>
          <cell r="G9">
            <v>15</v>
          </cell>
        </row>
        <row r="10">
          <cell r="B10">
            <v>40</v>
          </cell>
          <cell r="C10">
            <v>26</v>
          </cell>
          <cell r="D10">
            <v>17</v>
          </cell>
          <cell r="E10">
            <v>22</v>
          </cell>
          <cell r="F10">
            <v>2</v>
          </cell>
          <cell r="G10">
            <v>15</v>
          </cell>
        </row>
        <row r="11">
          <cell r="B11">
            <v>40</v>
          </cell>
          <cell r="C11">
            <v>26</v>
          </cell>
          <cell r="D11">
            <v>17</v>
          </cell>
          <cell r="E11">
            <v>22</v>
          </cell>
          <cell r="F11">
            <v>2</v>
          </cell>
          <cell r="G11">
            <v>15</v>
          </cell>
        </row>
        <row r="12">
          <cell r="B12">
            <v>40</v>
          </cell>
          <cell r="C12">
            <v>26</v>
          </cell>
          <cell r="D12">
            <v>17</v>
          </cell>
          <cell r="E12">
            <v>22</v>
          </cell>
          <cell r="F12">
            <v>2</v>
          </cell>
          <cell r="G12">
            <v>15</v>
          </cell>
        </row>
        <row r="13">
          <cell r="B13">
            <v>35</v>
          </cell>
          <cell r="C13">
            <v>21</v>
          </cell>
          <cell r="D13">
            <v>17</v>
          </cell>
          <cell r="E13">
            <v>22</v>
          </cell>
          <cell r="F13">
            <v>2</v>
          </cell>
          <cell r="G13">
            <v>15</v>
          </cell>
        </row>
        <row r="14">
          <cell r="B14">
            <v>40</v>
          </cell>
          <cell r="C14">
            <v>26</v>
          </cell>
          <cell r="D14">
            <v>17</v>
          </cell>
          <cell r="E14">
            <v>22</v>
          </cell>
          <cell r="F14">
            <v>2</v>
          </cell>
          <cell r="G14">
            <v>15</v>
          </cell>
        </row>
        <row r="15">
          <cell r="B15">
            <v>40</v>
          </cell>
          <cell r="C15">
            <v>26</v>
          </cell>
          <cell r="D15">
            <v>17</v>
          </cell>
          <cell r="E15">
            <v>22</v>
          </cell>
          <cell r="F15">
            <v>2</v>
          </cell>
          <cell r="G15">
            <v>15</v>
          </cell>
        </row>
        <row r="16">
          <cell r="B16">
            <v>40</v>
          </cell>
          <cell r="C16">
            <v>26</v>
          </cell>
          <cell r="D16">
            <v>17</v>
          </cell>
          <cell r="E16">
            <v>22</v>
          </cell>
          <cell r="F16">
            <v>2</v>
          </cell>
          <cell r="G16">
            <v>15</v>
          </cell>
        </row>
        <row r="17">
          <cell r="B17">
            <v>40</v>
          </cell>
          <cell r="C17">
            <v>26</v>
          </cell>
          <cell r="D17">
            <v>17</v>
          </cell>
          <cell r="E17">
            <v>22</v>
          </cell>
          <cell r="F17">
            <v>2</v>
          </cell>
          <cell r="G17">
            <v>15</v>
          </cell>
        </row>
        <row r="18">
          <cell r="B18">
            <v>40</v>
          </cell>
          <cell r="C18">
            <v>26</v>
          </cell>
          <cell r="D18">
            <v>17</v>
          </cell>
          <cell r="E18">
            <v>22</v>
          </cell>
          <cell r="F18">
            <v>2</v>
          </cell>
          <cell r="G18">
            <v>15</v>
          </cell>
        </row>
        <row r="19">
          <cell r="B19">
            <v>40</v>
          </cell>
          <cell r="C19">
            <v>26</v>
          </cell>
          <cell r="D19">
            <v>17</v>
          </cell>
          <cell r="E19">
            <v>22</v>
          </cell>
          <cell r="F19">
            <v>2</v>
          </cell>
          <cell r="G19">
            <v>15</v>
          </cell>
        </row>
      </sheetData>
      <sheetData sheetId="8">
        <row r="1">
          <cell r="B1" t="str">
            <v>CO1</v>
          </cell>
          <cell r="C1" t="str">
            <v>CO2</v>
          </cell>
          <cell r="D1" t="str">
            <v>CO3</v>
          </cell>
          <cell r="E1" t="str">
            <v>CO4</v>
          </cell>
          <cell r="F1" t="str">
            <v>CO5</v>
          </cell>
          <cell r="G1" t="str">
            <v>CO6</v>
          </cell>
        </row>
        <row r="2">
          <cell r="B2">
            <v>14</v>
          </cell>
          <cell r="C2">
            <v>8</v>
          </cell>
          <cell r="D2">
            <v>6</v>
          </cell>
          <cell r="E2">
            <v>10</v>
          </cell>
          <cell r="F2">
            <v>0</v>
          </cell>
          <cell r="G2">
            <v>8</v>
          </cell>
        </row>
        <row r="3">
          <cell r="B3">
            <v>34</v>
          </cell>
          <cell r="C3">
            <v>21</v>
          </cell>
          <cell r="D3">
            <v>17</v>
          </cell>
          <cell r="E3">
            <v>20</v>
          </cell>
          <cell r="F3">
            <v>0</v>
          </cell>
          <cell r="G3">
            <v>14</v>
          </cell>
        </row>
        <row r="4">
          <cell r="B4">
            <v>28</v>
          </cell>
          <cell r="C4">
            <v>18</v>
          </cell>
          <cell r="D4">
            <v>12</v>
          </cell>
          <cell r="E4">
            <v>15</v>
          </cell>
          <cell r="F4">
            <v>2</v>
          </cell>
          <cell r="G4">
            <v>10</v>
          </cell>
        </row>
        <row r="5">
          <cell r="B5">
            <v>25</v>
          </cell>
          <cell r="C5">
            <v>16</v>
          </cell>
          <cell r="D5">
            <v>13</v>
          </cell>
          <cell r="E5">
            <v>16</v>
          </cell>
          <cell r="F5">
            <v>0</v>
          </cell>
          <cell r="G5">
            <v>11</v>
          </cell>
        </row>
        <row r="6">
          <cell r="B6">
            <v>28</v>
          </cell>
          <cell r="C6">
            <v>18</v>
          </cell>
          <cell r="D6">
            <v>12</v>
          </cell>
          <cell r="E6">
            <v>15</v>
          </cell>
          <cell r="F6">
            <v>2</v>
          </cell>
          <cell r="G6">
            <v>10</v>
          </cell>
        </row>
        <row r="7">
          <cell r="B7">
            <v>29</v>
          </cell>
          <cell r="C7">
            <v>19</v>
          </cell>
          <cell r="D7">
            <v>12</v>
          </cell>
          <cell r="E7">
            <v>16</v>
          </cell>
          <cell r="F7">
            <v>2</v>
          </cell>
          <cell r="G7">
            <v>11</v>
          </cell>
        </row>
        <row r="8">
          <cell r="B8">
            <v>28</v>
          </cell>
          <cell r="C8">
            <v>18</v>
          </cell>
          <cell r="D8">
            <v>14</v>
          </cell>
          <cell r="E8">
            <v>16</v>
          </cell>
          <cell r="F8">
            <v>1</v>
          </cell>
          <cell r="G8">
            <v>11</v>
          </cell>
        </row>
        <row r="9">
          <cell r="B9">
            <v>29</v>
          </cell>
          <cell r="C9">
            <v>19</v>
          </cell>
          <cell r="D9">
            <v>13</v>
          </cell>
          <cell r="E9">
            <v>17</v>
          </cell>
          <cell r="F9">
            <v>1</v>
          </cell>
          <cell r="G9">
            <v>12</v>
          </cell>
        </row>
        <row r="10">
          <cell r="B10">
            <v>28</v>
          </cell>
          <cell r="C10">
            <v>19</v>
          </cell>
          <cell r="D10">
            <v>12</v>
          </cell>
          <cell r="E10">
            <v>17</v>
          </cell>
          <cell r="F10">
            <v>1</v>
          </cell>
          <cell r="G10">
            <v>12</v>
          </cell>
        </row>
        <row r="11">
          <cell r="B11">
            <v>26</v>
          </cell>
          <cell r="C11">
            <v>17</v>
          </cell>
          <cell r="D11">
            <v>10</v>
          </cell>
          <cell r="E11">
            <v>15</v>
          </cell>
          <cell r="F11">
            <v>1</v>
          </cell>
          <cell r="G11">
            <v>10</v>
          </cell>
        </row>
        <row r="12">
          <cell r="B12">
            <v>29</v>
          </cell>
          <cell r="C12">
            <v>19</v>
          </cell>
          <cell r="D12">
            <v>13</v>
          </cell>
          <cell r="E12">
            <v>17</v>
          </cell>
          <cell r="F12">
            <v>1</v>
          </cell>
          <cell r="G12">
            <v>12</v>
          </cell>
        </row>
        <row r="13">
          <cell r="B13">
            <v>23</v>
          </cell>
          <cell r="C13">
            <v>14</v>
          </cell>
          <cell r="D13">
            <v>12</v>
          </cell>
          <cell r="E13">
            <v>15</v>
          </cell>
          <cell r="F13">
            <v>1</v>
          </cell>
          <cell r="G13">
            <v>10</v>
          </cell>
        </row>
        <row r="14">
          <cell r="B14">
            <v>21</v>
          </cell>
          <cell r="C14">
            <v>15</v>
          </cell>
          <cell r="D14">
            <v>8</v>
          </cell>
          <cell r="E14">
            <v>11</v>
          </cell>
          <cell r="F14">
            <v>1</v>
          </cell>
          <cell r="G14">
            <v>7</v>
          </cell>
        </row>
        <row r="15">
          <cell r="B15">
            <v>31</v>
          </cell>
          <cell r="C15">
            <v>20</v>
          </cell>
          <cell r="D15">
            <v>13</v>
          </cell>
          <cell r="E15">
            <v>17</v>
          </cell>
          <cell r="F15">
            <v>2</v>
          </cell>
          <cell r="G15">
            <v>12</v>
          </cell>
        </row>
        <row r="16">
          <cell r="B16">
            <v>26</v>
          </cell>
          <cell r="C16">
            <v>17</v>
          </cell>
          <cell r="D16">
            <v>13</v>
          </cell>
          <cell r="E16">
            <v>16</v>
          </cell>
          <cell r="F16">
            <v>1</v>
          </cell>
          <cell r="G16">
            <v>11</v>
          </cell>
        </row>
        <row r="17">
          <cell r="B17">
            <v>22</v>
          </cell>
          <cell r="C17">
            <v>13</v>
          </cell>
          <cell r="D17">
            <v>9</v>
          </cell>
          <cell r="E17">
            <v>13</v>
          </cell>
          <cell r="F17">
            <v>1</v>
          </cell>
          <cell r="G17">
            <v>9</v>
          </cell>
        </row>
        <row r="18">
          <cell r="B18">
            <v>31</v>
          </cell>
          <cell r="C18">
            <v>21</v>
          </cell>
          <cell r="D18">
            <v>14</v>
          </cell>
          <cell r="E18">
            <v>18</v>
          </cell>
          <cell r="F18">
            <v>2</v>
          </cell>
          <cell r="G18">
            <v>13</v>
          </cell>
        </row>
        <row r="19">
          <cell r="B19">
            <v>30</v>
          </cell>
          <cell r="C19">
            <v>20</v>
          </cell>
          <cell r="D19">
            <v>13</v>
          </cell>
          <cell r="E19">
            <v>17</v>
          </cell>
          <cell r="F19">
            <v>2</v>
          </cell>
          <cell r="G19">
            <v>12</v>
          </cell>
        </row>
      </sheetData>
      <sheetData sheetId="9">
        <row r="1">
          <cell r="B1" t="str">
            <v>CO1</v>
          </cell>
          <cell r="C1" t="str">
            <v>CO2</v>
          </cell>
          <cell r="D1" t="str">
            <v>CO3</v>
          </cell>
          <cell r="E1" t="str">
            <v>CO4</v>
          </cell>
          <cell r="F1" t="str">
            <v>CO5</v>
          </cell>
          <cell r="G1" t="str">
            <v>CO6</v>
          </cell>
        </row>
        <row r="2">
          <cell r="B2">
            <v>38.888888888888893</v>
          </cell>
          <cell r="C2">
            <v>36.363636363636367</v>
          </cell>
          <cell r="D2">
            <v>35.294117647058826</v>
          </cell>
          <cell r="E2">
            <v>45.454545454545453</v>
          </cell>
          <cell r="F2" t="str">
            <v>NA</v>
          </cell>
          <cell r="G2">
            <v>53.333333333333336</v>
          </cell>
        </row>
        <row r="3">
          <cell r="B3">
            <v>94.444444444444443</v>
          </cell>
          <cell r="C3">
            <v>95.454545454545453</v>
          </cell>
          <cell r="D3">
            <v>100</v>
          </cell>
          <cell r="E3">
            <v>90.909090909090907</v>
          </cell>
          <cell r="F3" t="str">
            <v>NA</v>
          </cell>
          <cell r="G3">
            <v>93.333333333333329</v>
          </cell>
        </row>
        <row r="4">
          <cell r="B4">
            <v>70</v>
          </cell>
          <cell r="C4">
            <v>69.230769230769226</v>
          </cell>
          <cell r="D4">
            <v>70.588235294117652</v>
          </cell>
          <cell r="E4">
            <v>68.181818181818173</v>
          </cell>
          <cell r="F4">
            <v>100</v>
          </cell>
          <cell r="G4">
            <v>66.666666666666657</v>
          </cell>
        </row>
        <row r="5">
          <cell r="B5">
            <v>69.444444444444443</v>
          </cell>
          <cell r="C5">
            <v>72.727272727272734</v>
          </cell>
          <cell r="D5">
            <v>76.470588235294116</v>
          </cell>
          <cell r="E5">
            <v>72.727272727272734</v>
          </cell>
          <cell r="F5" t="str">
            <v>NA</v>
          </cell>
          <cell r="G5">
            <v>73.333333333333329</v>
          </cell>
        </row>
        <row r="6">
          <cell r="B6">
            <v>70</v>
          </cell>
          <cell r="C6">
            <v>69.230769230769226</v>
          </cell>
          <cell r="D6">
            <v>70.588235294117652</v>
          </cell>
          <cell r="E6">
            <v>68.181818181818173</v>
          </cell>
          <cell r="F6">
            <v>100</v>
          </cell>
          <cell r="G6">
            <v>66.666666666666657</v>
          </cell>
        </row>
        <row r="7">
          <cell r="B7">
            <v>72.5</v>
          </cell>
          <cell r="C7">
            <v>73.076923076923066</v>
          </cell>
          <cell r="D7">
            <v>70.588235294117652</v>
          </cell>
          <cell r="E7">
            <v>72.727272727272734</v>
          </cell>
          <cell r="F7">
            <v>100</v>
          </cell>
          <cell r="G7">
            <v>73.333333333333329</v>
          </cell>
        </row>
        <row r="8">
          <cell r="B8">
            <v>70</v>
          </cell>
          <cell r="C8">
            <v>69.230769230769226</v>
          </cell>
          <cell r="D8">
            <v>82.35294117647058</v>
          </cell>
          <cell r="E8">
            <v>72.727272727272734</v>
          </cell>
          <cell r="F8">
            <v>50</v>
          </cell>
          <cell r="G8">
            <v>73.333333333333329</v>
          </cell>
        </row>
        <row r="9">
          <cell r="B9">
            <v>72.5</v>
          </cell>
          <cell r="C9">
            <v>73.076923076923066</v>
          </cell>
          <cell r="D9">
            <v>76.470588235294116</v>
          </cell>
          <cell r="E9">
            <v>77.272727272727266</v>
          </cell>
          <cell r="F9">
            <v>50</v>
          </cell>
          <cell r="G9">
            <v>80</v>
          </cell>
        </row>
        <row r="10">
          <cell r="B10">
            <v>70</v>
          </cell>
          <cell r="C10">
            <v>73.076923076923066</v>
          </cell>
          <cell r="D10">
            <v>70.588235294117652</v>
          </cell>
          <cell r="E10">
            <v>77.272727272727266</v>
          </cell>
          <cell r="F10">
            <v>50</v>
          </cell>
          <cell r="G10">
            <v>80</v>
          </cell>
        </row>
        <row r="11">
          <cell r="B11">
            <v>65</v>
          </cell>
          <cell r="C11">
            <v>65.384615384615387</v>
          </cell>
          <cell r="D11">
            <v>58.82352941176471</v>
          </cell>
          <cell r="E11">
            <v>68.181818181818173</v>
          </cell>
          <cell r="F11">
            <v>50</v>
          </cell>
          <cell r="G11">
            <v>66.666666666666657</v>
          </cell>
        </row>
        <row r="12">
          <cell r="B12">
            <v>72.5</v>
          </cell>
          <cell r="C12">
            <v>73.076923076923066</v>
          </cell>
          <cell r="D12">
            <v>76.470588235294116</v>
          </cell>
          <cell r="E12">
            <v>77.272727272727266</v>
          </cell>
          <cell r="F12">
            <v>50</v>
          </cell>
          <cell r="G12">
            <v>80</v>
          </cell>
        </row>
        <row r="13">
          <cell r="B13">
            <v>65.714285714285708</v>
          </cell>
          <cell r="C13">
            <v>66.666666666666657</v>
          </cell>
          <cell r="D13">
            <v>70.588235294117652</v>
          </cell>
          <cell r="E13">
            <v>68.181818181818173</v>
          </cell>
          <cell r="F13">
            <v>50</v>
          </cell>
          <cell r="G13">
            <v>66.666666666666657</v>
          </cell>
        </row>
        <row r="14">
          <cell r="B14">
            <v>52.5</v>
          </cell>
          <cell r="C14">
            <v>57.692307692307686</v>
          </cell>
          <cell r="D14">
            <v>47.058823529411761</v>
          </cell>
          <cell r="E14">
            <v>50</v>
          </cell>
          <cell r="F14">
            <v>50</v>
          </cell>
          <cell r="G14">
            <v>46.666666666666664</v>
          </cell>
        </row>
        <row r="15">
          <cell r="B15">
            <v>77.5</v>
          </cell>
          <cell r="C15">
            <v>76.923076923076934</v>
          </cell>
          <cell r="D15">
            <v>76.470588235294116</v>
          </cell>
          <cell r="E15">
            <v>77.272727272727266</v>
          </cell>
          <cell r="F15">
            <v>100</v>
          </cell>
          <cell r="G15">
            <v>80</v>
          </cell>
        </row>
        <row r="16">
          <cell r="B16">
            <v>65</v>
          </cell>
          <cell r="C16">
            <v>65.384615384615387</v>
          </cell>
          <cell r="D16">
            <v>76.470588235294116</v>
          </cell>
          <cell r="E16">
            <v>72.727272727272734</v>
          </cell>
          <cell r="F16">
            <v>50</v>
          </cell>
          <cell r="G16">
            <v>73.333333333333329</v>
          </cell>
        </row>
        <row r="17">
          <cell r="B17">
            <v>55.000000000000007</v>
          </cell>
          <cell r="C17">
            <v>50</v>
          </cell>
          <cell r="D17">
            <v>52.941176470588239</v>
          </cell>
          <cell r="E17">
            <v>59.090909090909093</v>
          </cell>
          <cell r="F17">
            <v>50</v>
          </cell>
          <cell r="G17">
            <v>60</v>
          </cell>
        </row>
        <row r="18">
          <cell r="B18">
            <v>77.5</v>
          </cell>
          <cell r="C18">
            <v>80.769230769230774</v>
          </cell>
          <cell r="D18">
            <v>82.35294117647058</v>
          </cell>
          <cell r="E18">
            <v>81.818181818181827</v>
          </cell>
          <cell r="F18">
            <v>100</v>
          </cell>
          <cell r="G18">
            <v>86.666666666666671</v>
          </cell>
        </row>
        <row r="19">
          <cell r="B19">
            <v>75</v>
          </cell>
          <cell r="C19">
            <v>76.923076923076934</v>
          </cell>
          <cell r="D19">
            <v>76.470588235294116</v>
          </cell>
          <cell r="E19">
            <v>77.272727272727266</v>
          </cell>
          <cell r="F19">
            <v>100</v>
          </cell>
          <cell r="G19">
            <v>80</v>
          </cell>
        </row>
      </sheetData>
      <sheetData sheetId="10">
        <row r="1">
          <cell r="B1" t="str">
            <v>CO1</v>
          </cell>
          <cell r="C1" t="str">
            <v>CO2</v>
          </cell>
          <cell r="D1" t="str">
            <v>CO3</v>
          </cell>
          <cell r="E1" t="str">
            <v>CO4</v>
          </cell>
          <cell r="F1" t="str">
            <v>CO5</v>
          </cell>
          <cell r="G1" t="str">
            <v>CO6</v>
          </cell>
        </row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 t="str">
            <v>NA</v>
          </cell>
          <cell r="G2">
            <v>0</v>
          </cell>
        </row>
        <row r="3">
          <cell r="B3">
            <v>3</v>
          </cell>
          <cell r="C3">
            <v>3</v>
          </cell>
          <cell r="D3">
            <v>3</v>
          </cell>
          <cell r="E3">
            <v>3</v>
          </cell>
          <cell r="F3" t="str">
            <v>NA</v>
          </cell>
          <cell r="G3">
            <v>3</v>
          </cell>
        </row>
        <row r="4">
          <cell r="B4">
            <v>3</v>
          </cell>
          <cell r="C4">
            <v>3</v>
          </cell>
          <cell r="D4">
            <v>3</v>
          </cell>
          <cell r="E4">
            <v>3</v>
          </cell>
          <cell r="F4">
            <v>3</v>
          </cell>
          <cell r="G4">
            <v>3</v>
          </cell>
        </row>
        <row r="5">
          <cell r="B5">
            <v>3</v>
          </cell>
          <cell r="C5">
            <v>3</v>
          </cell>
          <cell r="D5">
            <v>3</v>
          </cell>
          <cell r="E5">
            <v>3</v>
          </cell>
          <cell r="F5" t="str">
            <v>NA</v>
          </cell>
          <cell r="G5">
            <v>3</v>
          </cell>
        </row>
        <row r="6">
          <cell r="B6">
            <v>3</v>
          </cell>
          <cell r="C6">
            <v>3</v>
          </cell>
          <cell r="D6">
            <v>3</v>
          </cell>
          <cell r="E6">
            <v>3</v>
          </cell>
          <cell r="F6">
            <v>3</v>
          </cell>
          <cell r="G6">
            <v>3</v>
          </cell>
        </row>
        <row r="7">
          <cell r="B7">
            <v>3</v>
          </cell>
          <cell r="C7">
            <v>3</v>
          </cell>
          <cell r="D7">
            <v>3</v>
          </cell>
          <cell r="E7">
            <v>3</v>
          </cell>
          <cell r="F7">
            <v>3</v>
          </cell>
          <cell r="G7">
            <v>3</v>
          </cell>
        </row>
        <row r="8">
          <cell r="B8">
            <v>3</v>
          </cell>
          <cell r="C8">
            <v>3</v>
          </cell>
          <cell r="D8">
            <v>3</v>
          </cell>
          <cell r="E8">
            <v>3</v>
          </cell>
          <cell r="F8">
            <v>0</v>
          </cell>
          <cell r="G8">
            <v>3</v>
          </cell>
        </row>
        <row r="9">
          <cell r="B9">
            <v>3</v>
          </cell>
          <cell r="C9">
            <v>3</v>
          </cell>
          <cell r="D9">
            <v>3</v>
          </cell>
          <cell r="E9">
            <v>3</v>
          </cell>
          <cell r="F9">
            <v>0</v>
          </cell>
          <cell r="G9">
            <v>3</v>
          </cell>
        </row>
        <row r="10">
          <cell r="B10">
            <v>3</v>
          </cell>
          <cell r="C10">
            <v>3</v>
          </cell>
          <cell r="D10">
            <v>3</v>
          </cell>
          <cell r="E10">
            <v>3</v>
          </cell>
          <cell r="F10">
            <v>0</v>
          </cell>
          <cell r="G10">
            <v>3</v>
          </cell>
        </row>
        <row r="11">
          <cell r="B11">
            <v>3</v>
          </cell>
          <cell r="C11">
            <v>3</v>
          </cell>
          <cell r="D11">
            <v>0</v>
          </cell>
          <cell r="E11">
            <v>3</v>
          </cell>
          <cell r="F11">
            <v>0</v>
          </cell>
          <cell r="G11">
            <v>3</v>
          </cell>
        </row>
        <row r="12">
          <cell r="B12">
            <v>3</v>
          </cell>
          <cell r="C12">
            <v>3</v>
          </cell>
          <cell r="D12">
            <v>3</v>
          </cell>
          <cell r="E12">
            <v>3</v>
          </cell>
          <cell r="F12">
            <v>0</v>
          </cell>
          <cell r="G12">
            <v>3</v>
          </cell>
        </row>
        <row r="13">
          <cell r="B13">
            <v>3</v>
          </cell>
          <cell r="C13">
            <v>3</v>
          </cell>
          <cell r="D13">
            <v>3</v>
          </cell>
          <cell r="E13">
            <v>3</v>
          </cell>
          <cell r="F13">
            <v>0</v>
          </cell>
          <cell r="G13">
            <v>3</v>
          </cell>
        </row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</row>
        <row r="15">
          <cell r="B15">
            <v>3</v>
          </cell>
          <cell r="C15">
            <v>3</v>
          </cell>
          <cell r="D15">
            <v>3</v>
          </cell>
          <cell r="E15">
            <v>3</v>
          </cell>
          <cell r="F15">
            <v>3</v>
          </cell>
          <cell r="G15">
            <v>3</v>
          </cell>
        </row>
        <row r="16">
          <cell r="B16">
            <v>3</v>
          </cell>
          <cell r="C16">
            <v>3</v>
          </cell>
          <cell r="D16">
            <v>3</v>
          </cell>
          <cell r="E16">
            <v>3</v>
          </cell>
          <cell r="F16">
            <v>0</v>
          </cell>
          <cell r="G16">
            <v>3</v>
          </cell>
        </row>
        <row r="17">
          <cell r="B17">
            <v>0</v>
          </cell>
          <cell r="C17">
            <v>0</v>
          </cell>
          <cell r="D17">
            <v>0</v>
          </cell>
          <cell r="E17">
            <v>3</v>
          </cell>
          <cell r="F17">
            <v>0</v>
          </cell>
          <cell r="G17">
            <v>3</v>
          </cell>
        </row>
        <row r="18">
          <cell r="B18">
            <v>3</v>
          </cell>
          <cell r="C18">
            <v>3</v>
          </cell>
          <cell r="D18">
            <v>3</v>
          </cell>
          <cell r="E18">
            <v>3</v>
          </cell>
          <cell r="F18">
            <v>3</v>
          </cell>
          <cell r="G18">
            <v>3</v>
          </cell>
        </row>
        <row r="19">
          <cell r="B19">
            <v>3</v>
          </cell>
          <cell r="C19">
            <v>3</v>
          </cell>
          <cell r="D19">
            <v>3</v>
          </cell>
          <cell r="E19">
            <v>3</v>
          </cell>
          <cell r="F19">
            <v>3</v>
          </cell>
          <cell r="G19">
            <v>3</v>
          </cell>
        </row>
      </sheetData>
      <sheetData sheetId="11">
        <row r="1">
          <cell r="B1" t="str">
            <v>CO1</v>
          </cell>
          <cell r="C1" t="str">
            <v>CO2</v>
          </cell>
          <cell r="D1" t="str">
            <v>CO3</v>
          </cell>
          <cell r="E1" t="str">
            <v>CO4</v>
          </cell>
          <cell r="F1" t="str">
            <v>CO5</v>
          </cell>
          <cell r="G1" t="str">
            <v>CO6</v>
          </cell>
        </row>
        <row r="2">
          <cell r="B2" t="str">
            <v>N</v>
          </cell>
          <cell r="C2" t="str">
            <v>N</v>
          </cell>
          <cell r="D2" t="str">
            <v>N</v>
          </cell>
          <cell r="E2" t="str">
            <v>N</v>
          </cell>
          <cell r="F2" t="str">
            <v>NA</v>
          </cell>
          <cell r="G2" t="str">
            <v>N</v>
          </cell>
        </row>
        <row r="3">
          <cell r="B3" t="str">
            <v>Y</v>
          </cell>
          <cell r="C3" t="str">
            <v>Y</v>
          </cell>
          <cell r="D3" t="str">
            <v>Y</v>
          </cell>
          <cell r="E3" t="str">
            <v>Y</v>
          </cell>
          <cell r="F3" t="str">
            <v>NA</v>
          </cell>
          <cell r="G3" t="str">
            <v>Y</v>
          </cell>
        </row>
        <row r="4">
          <cell r="B4" t="str">
            <v>Y</v>
          </cell>
          <cell r="C4" t="str">
            <v>Y</v>
          </cell>
          <cell r="D4" t="str">
            <v>Y</v>
          </cell>
          <cell r="E4" t="str">
            <v>Y</v>
          </cell>
          <cell r="F4" t="str">
            <v>Y</v>
          </cell>
          <cell r="G4" t="str">
            <v>Y</v>
          </cell>
        </row>
        <row r="5">
          <cell r="B5" t="str">
            <v>Y</v>
          </cell>
          <cell r="C5" t="str">
            <v>Y</v>
          </cell>
          <cell r="D5" t="str">
            <v>Y</v>
          </cell>
          <cell r="E5" t="str">
            <v>Y</v>
          </cell>
          <cell r="F5" t="str">
            <v>NA</v>
          </cell>
          <cell r="G5" t="str">
            <v>Y</v>
          </cell>
        </row>
        <row r="6">
          <cell r="B6" t="str">
            <v>Y</v>
          </cell>
          <cell r="C6" t="str">
            <v>Y</v>
          </cell>
          <cell r="D6" t="str">
            <v>Y</v>
          </cell>
          <cell r="E6" t="str">
            <v>Y</v>
          </cell>
          <cell r="F6" t="str">
            <v>Y</v>
          </cell>
          <cell r="G6" t="str">
            <v>Y</v>
          </cell>
        </row>
        <row r="7">
          <cell r="B7" t="str">
            <v>Y</v>
          </cell>
          <cell r="C7" t="str">
            <v>Y</v>
          </cell>
          <cell r="D7" t="str">
            <v>Y</v>
          </cell>
          <cell r="E7" t="str">
            <v>Y</v>
          </cell>
          <cell r="F7" t="str">
            <v>Y</v>
          </cell>
          <cell r="G7" t="str">
            <v>Y</v>
          </cell>
        </row>
        <row r="8">
          <cell r="B8" t="str">
            <v>Y</v>
          </cell>
          <cell r="C8" t="str">
            <v>Y</v>
          </cell>
          <cell r="D8" t="str">
            <v>Y</v>
          </cell>
          <cell r="E8" t="str">
            <v>Y</v>
          </cell>
          <cell r="F8" t="str">
            <v>N</v>
          </cell>
          <cell r="G8" t="str">
            <v>Y</v>
          </cell>
        </row>
        <row r="9">
          <cell r="B9" t="str">
            <v>Y</v>
          </cell>
          <cell r="C9" t="str">
            <v>Y</v>
          </cell>
          <cell r="D9" t="str">
            <v>Y</v>
          </cell>
          <cell r="E9" t="str">
            <v>Y</v>
          </cell>
          <cell r="F9" t="str">
            <v>N</v>
          </cell>
          <cell r="G9" t="str">
            <v>Y</v>
          </cell>
        </row>
        <row r="10">
          <cell r="B10" t="str">
            <v>Y</v>
          </cell>
          <cell r="C10" t="str">
            <v>Y</v>
          </cell>
          <cell r="D10" t="str">
            <v>Y</v>
          </cell>
          <cell r="E10" t="str">
            <v>Y</v>
          </cell>
          <cell r="F10" t="str">
            <v>N</v>
          </cell>
          <cell r="G10" t="str">
            <v>Y</v>
          </cell>
        </row>
        <row r="11">
          <cell r="B11" t="str">
            <v>Y</v>
          </cell>
          <cell r="C11" t="str">
            <v>Y</v>
          </cell>
          <cell r="D11" t="str">
            <v>N</v>
          </cell>
          <cell r="E11" t="str">
            <v>Y</v>
          </cell>
          <cell r="F11" t="str">
            <v>N</v>
          </cell>
          <cell r="G11" t="str">
            <v>Y</v>
          </cell>
        </row>
        <row r="12">
          <cell r="B12" t="str">
            <v>Y</v>
          </cell>
          <cell r="C12" t="str">
            <v>Y</v>
          </cell>
          <cell r="D12" t="str">
            <v>Y</v>
          </cell>
          <cell r="E12" t="str">
            <v>Y</v>
          </cell>
          <cell r="F12" t="str">
            <v>N</v>
          </cell>
          <cell r="G12" t="str">
            <v>Y</v>
          </cell>
        </row>
        <row r="13">
          <cell r="B13" t="str">
            <v>Y</v>
          </cell>
          <cell r="C13" t="str">
            <v>Y</v>
          </cell>
          <cell r="D13" t="str">
            <v>Y</v>
          </cell>
          <cell r="E13" t="str">
            <v>Y</v>
          </cell>
          <cell r="F13" t="str">
            <v>N</v>
          </cell>
          <cell r="G13" t="str">
            <v>Y</v>
          </cell>
        </row>
        <row r="14">
          <cell r="B14" t="str">
            <v>N</v>
          </cell>
          <cell r="C14" t="str">
            <v>N</v>
          </cell>
          <cell r="D14" t="str">
            <v>N</v>
          </cell>
          <cell r="E14" t="str">
            <v>N</v>
          </cell>
          <cell r="F14" t="str">
            <v>N</v>
          </cell>
          <cell r="G14" t="str">
            <v>N</v>
          </cell>
        </row>
        <row r="15">
          <cell r="B15" t="str">
            <v>Y</v>
          </cell>
          <cell r="C15" t="str">
            <v>Y</v>
          </cell>
          <cell r="D15" t="str">
            <v>Y</v>
          </cell>
          <cell r="E15" t="str">
            <v>Y</v>
          </cell>
          <cell r="F15" t="str">
            <v>Y</v>
          </cell>
          <cell r="G15" t="str">
            <v>Y</v>
          </cell>
        </row>
        <row r="16">
          <cell r="B16" t="str">
            <v>Y</v>
          </cell>
          <cell r="C16" t="str">
            <v>Y</v>
          </cell>
          <cell r="D16" t="str">
            <v>Y</v>
          </cell>
          <cell r="E16" t="str">
            <v>Y</v>
          </cell>
          <cell r="F16" t="str">
            <v>N</v>
          </cell>
          <cell r="G16" t="str">
            <v>Y</v>
          </cell>
        </row>
        <row r="17">
          <cell r="B17" t="str">
            <v>N</v>
          </cell>
          <cell r="C17" t="str">
            <v>N</v>
          </cell>
          <cell r="D17" t="str">
            <v>N</v>
          </cell>
          <cell r="E17" t="str">
            <v>N</v>
          </cell>
          <cell r="F17" t="str">
            <v>N</v>
          </cell>
          <cell r="G17" t="str">
            <v>Y</v>
          </cell>
        </row>
        <row r="18">
          <cell r="B18" t="str">
            <v>Y</v>
          </cell>
          <cell r="C18" t="str">
            <v>Y</v>
          </cell>
          <cell r="D18" t="str">
            <v>Y</v>
          </cell>
          <cell r="E18" t="str">
            <v>Y</v>
          </cell>
          <cell r="F18" t="str">
            <v>Y</v>
          </cell>
          <cell r="G18" t="str">
            <v>Y</v>
          </cell>
        </row>
        <row r="19">
          <cell r="B19" t="str">
            <v>Y</v>
          </cell>
          <cell r="C19" t="str">
            <v>Y</v>
          </cell>
          <cell r="D19" t="str">
            <v>Y</v>
          </cell>
          <cell r="E19" t="str">
            <v>Y</v>
          </cell>
          <cell r="F19" t="str">
            <v>Y</v>
          </cell>
          <cell r="G19" t="str">
            <v>Y</v>
          </cell>
        </row>
      </sheetData>
      <sheetData sheetId="12"/>
      <sheetData sheetId="13">
        <row r="1">
          <cell r="B1" t="str">
            <v>Admission No. (Roll No.)</v>
          </cell>
        </row>
        <row r="2">
          <cell r="B2">
            <v>2010990089</v>
          </cell>
        </row>
        <row r="3">
          <cell r="B3">
            <v>2010992002</v>
          </cell>
        </row>
        <row r="4">
          <cell r="B4">
            <v>2010992004</v>
          </cell>
        </row>
        <row r="5">
          <cell r="B5">
            <v>2010992005</v>
          </cell>
        </row>
        <row r="6">
          <cell r="B6">
            <v>2010992006</v>
          </cell>
        </row>
        <row r="7">
          <cell r="B7">
            <v>2010992008</v>
          </cell>
        </row>
        <row r="8">
          <cell r="B8">
            <v>2010992009</v>
          </cell>
        </row>
        <row r="9">
          <cell r="B9">
            <v>2010992010</v>
          </cell>
        </row>
        <row r="10">
          <cell r="B10">
            <v>2010992011</v>
          </cell>
        </row>
        <row r="11">
          <cell r="B11">
            <v>2010992012</v>
          </cell>
        </row>
        <row r="12">
          <cell r="B12">
            <v>2010992014</v>
          </cell>
        </row>
        <row r="13">
          <cell r="B13">
            <v>2010992015</v>
          </cell>
        </row>
        <row r="14">
          <cell r="B14">
            <v>2010992016</v>
          </cell>
        </row>
        <row r="15">
          <cell r="B15">
            <v>2010992017</v>
          </cell>
        </row>
        <row r="16">
          <cell r="B16">
            <v>2010992018</v>
          </cell>
        </row>
        <row r="17">
          <cell r="B17">
            <v>2010992019</v>
          </cell>
        </row>
        <row r="18">
          <cell r="B18">
            <v>2010992163</v>
          </cell>
        </row>
        <row r="19">
          <cell r="B19">
            <v>2010992202</v>
          </cell>
        </row>
      </sheetData>
      <sheetData sheetId="14"/>
      <sheetData sheetId="15"/>
      <sheetData sheetId="16"/>
      <sheetData sheetId="17">
        <row r="1">
          <cell r="A1" t="str">
            <v>CO1</v>
          </cell>
          <cell r="B1" t="str">
            <v>CO2</v>
          </cell>
          <cell r="C1" t="str">
            <v>CO3</v>
          </cell>
          <cell r="D1" t="str">
            <v>CO4</v>
          </cell>
          <cell r="E1" t="str">
            <v>CO5</v>
          </cell>
          <cell r="F1" t="str">
            <v>CO6</v>
          </cell>
        </row>
        <row r="2">
          <cell r="A2" t="str">
            <v>Not Found</v>
          </cell>
          <cell r="B2" t="str">
            <v>Not Found</v>
          </cell>
          <cell r="C2" t="str">
            <v>Not Found</v>
          </cell>
          <cell r="D2" t="str">
            <v>Not Found</v>
          </cell>
          <cell r="E2" t="str">
            <v>Not Found</v>
          </cell>
          <cell r="F2" t="str">
            <v>Not Found</v>
          </cell>
        </row>
      </sheetData>
      <sheetData sheetId="18">
        <row r="1">
          <cell r="B1" t="str">
            <v>CO1</v>
          </cell>
          <cell r="C1" t="str">
            <v>CO2</v>
          </cell>
          <cell r="D1" t="str">
            <v>CO3</v>
          </cell>
          <cell r="E1" t="str">
            <v>CO4</v>
          </cell>
          <cell r="F1" t="str">
            <v>CO5</v>
          </cell>
          <cell r="G1" t="str">
            <v>CO6</v>
          </cell>
        </row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</row>
        <row r="5"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</row>
        <row r="6"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</row>
        <row r="7"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</row>
        <row r="8"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</row>
        <row r="9"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</row>
        <row r="10"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</row>
        <row r="11"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</row>
        <row r="12"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</row>
        <row r="13"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</row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</row>
        <row r="15"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</row>
        <row r="16"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</row>
        <row r="17"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</row>
        <row r="18"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</row>
        <row r="19"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</row>
      </sheetData>
      <sheetData sheetId="19">
        <row r="1">
          <cell r="B1" t="str">
            <v>CO1</v>
          </cell>
          <cell r="C1" t="str">
            <v>CO2</v>
          </cell>
          <cell r="D1" t="str">
            <v>CO3</v>
          </cell>
          <cell r="E1" t="str">
            <v>CO4</v>
          </cell>
          <cell r="F1" t="str">
            <v>CO5</v>
          </cell>
          <cell r="G1" t="str">
            <v>CO6</v>
          </cell>
        </row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</row>
        <row r="5"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</row>
        <row r="6"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</row>
        <row r="7"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</row>
        <row r="8"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</row>
        <row r="9"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</row>
        <row r="10"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</row>
        <row r="11"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</row>
        <row r="12"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</row>
        <row r="13"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</row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</row>
        <row r="15"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</row>
        <row r="16"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</row>
        <row r="17"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</row>
        <row r="18"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</row>
        <row r="19"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</row>
      </sheetData>
      <sheetData sheetId="20">
        <row r="1">
          <cell r="B1" t="str">
            <v>CO1</v>
          </cell>
          <cell r="C1" t="str">
            <v>CO2</v>
          </cell>
          <cell r="D1" t="str">
            <v>CO3</v>
          </cell>
          <cell r="E1" t="str">
            <v>CO4</v>
          </cell>
          <cell r="F1" t="str">
            <v>CO5</v>
          </cell>
          <cell r="G1" t="str">
            <v>CO6</v>
          </cell>
        </row>
        <row r="2">
          <cell r="B2" t="str">
            <v>NA</v>
          </cell>
          <cell r="C2" t="str">
            <v>NA</v>
          </cell>
          <cell r="D2" t="str">
            <v>NA</v>
          </cell>
          <cell r="E2" t="str">
            <v>NA</v>
          </cell>
          <cell r="F2" t="str">
            <v>NA</v>
          </cell>
          <cell r="G2" t="str">
            <v>NA</v>
          </cell>
        </row>
        <row r="3">
          <cell r="B3" t="str">
            <v>NA</v>
          </cell>
          <cell r="C3" t="str">
            <v>NA</v>
          </cell>
          <cell r="D3" t="str">
            <v>NA</v>
          </cell>
          <cell r="E3" t="str">
            <v>NA</v>
          </cell>
          <cell r="F3" t="str">
            <v>NA</v>
          </cell>
          <cell r="G3" t="str">
            <v>NA</v>
          </cell>
        </row>
        <row r="4">
          <cell r="B4" t="str">
            <v>NA</v>
          </cell>
          <cell r="C4" t="str">
            <v>NA</v>
          </cell>
          <cell r="D4" t="str">
            <v>NA</v>
          </cell>
          <cell r="E4" t="str">
            <v>NA</v>
          </cell>
          <cell r="F4" t="str">
            <v>NA</v>
          </cell>
          <cell r="G4" t="str">
            <v>NA</v>
          </cell>
        </row>
        <row r="5">
          <cell r="B5" t="str">
            <v>NA</v>
          </cell>
          <cell r="C5" t="str">
            <v>NA</v>
          </cell>
          <cell r="D5" t="str">
            <v>NA</v>
          </cell>
          <cell r="E5" t="str">
            <v>NA</v>
          </cell>
          <cell r="F5" t="str">
            <v>NA</v>
          </cell>
          <cell r="G5" t="str">
            <v>NA</v>
          </cell>
        </row>
        <row r="6">
          <cell r="B6" t="str">
            <v>NA</v>
          </cell>
          <cell r="C6" t="str">
            <v>NA</v>
          </cell>
          <cell r="D6" t="str">
            <v>NA</v>
          </cell>
          <cell r="E6" t="str">
            <v>NA</v>
          </cell>
          <cell r="F6" t="str">
            <v>NA</v>
          </cell>
          <cell r="G6" t="str">
            <v>NA</v>
          </cell>
        </row>
        <row r="7">
          <cell r="B7" t="str">
            <v>NA</v>
          </cell>
          <cell r="C7" t="str">
            <v>NA</v>
          </cell>
          <cell r="D7" t="str">
            <v>NA</v>
          </cell>
          <cell r="E7" t="str">
            <v>NA</v>
          </cell>
          <cell r="F7" t="str">
            <v>NA</v>
          </cell>
          <cell r="G7" t="str">
            <v>NA</v>
          </cell>
        </row>
        <row r="8">
          <cell r="B8" t="str">
            <v>NA</v>
          </cell>
          <cell r="C8" t="str">
            <v>NA</v>
          </cell>
          <cell r="D8" t="str">
            <v>NA</v>
          </cell>
          <cell r="E8" t="str">
            <v>NA</v>
          </cell>
          <cell r="F8" t="str">
            <v>NA</v>
          </cell>
          <cell r="G8" t="str">
            <v>NA</v>
          </cell>
        </row>
        <row r="9">
          <cell r="B9" t="str">
            <v>NA</v>
          </cell>
          <cell r="C9" t="str">
            <v>NA</v>
          </cell>
          <cell r="D9" t="str">
            <v>NA</v>
          </cell>
          <cell r="E9" t="str">
            <v>NA</v>
          </cell>
          <cell r="F9" t="str">
            <v>NA</v>
          </cell>
          <cell r="G9" t="str">
            <v>NA</v>
          </cell>
        </row>
        <row r="10">
          <cell r="B10" t="str">
            <v>NA</v>
          </cell>
          <cell r="C10" t="str">
            <v>NA</v>
          </cell>
          <cell r="D10" t="str">
            <v>NA</v>
          </cell>
          <cell r="E10" t="str">
            <v>NA</v>
          </cell>
          <cell r="F10" t="str">
            <v>NA</v>
          </cell>
          <cell r="G10" t="str">
            <v>NA</v>
          </cell>
        </row>
        <row r="11">
          <cell r="B11" t="str">
            <v>NA</v>
          </cell>
          <cell r="C11" t="str">
            <v>NA</v>
          </cell>
          <cell r="D11" t="str">
            <v>NA</v>
          </cell>
          <cell r="E11" t="str">
            <v>NA</v>
          </cell>
          <cell r="F11" t="str">
            <v>NA</v>
          </cell>
          <cell r="G11" t="str">
            <v>NA</v>
          </cell>
        </row>
        <row r="12">
          <cell r="B12" t="str">
            <v>NA</v>
          </cell>
          <cell r="C12" t="str">
            <v>NA</v>
          </cell>
          <cell r="D12" t="str">
            <v>NA</v>
          </cell>
          <cell r="E12" t="str">
            <v>NA</v>
          </cell>
          <cell r="F12" t="str">
            <v>NA</v>
          </cell>
          <cell r="G12" t="str">
            <v>NA</v>
          </cell>
        </row>
        <row r="13">
          <cell r="B13" t="str">
            <v>NA</v>
          </cell>
          <cell r="C13" t="str">
            <v>NA</v>
          </cell>
          <cell r="D13" t="str">
            <v>NA</v>
          </cell>
          <cell r="E13" t="str">
            <v>NA</v>
          </cell>
          <cell r="F13" t="str">
            <v>NA</v>
          </cell>
          <cell r="G13" t="str">
            <v>NA</v>
          </cell>
        </row>
        <row r="14">
          <cell r="B14" t="str">
            <v>NA</v>
          </cell>
          <cell r="C14" t="str">
            <v>NA</v>
          </cell>
          <cell r="D14" t="str">
            <v>NA</v>
          </cell>
          <cell r="E14" t="str">
            <v>NA</v>
          </cell>
          <cell r="F14" t="str">
            <v>NA</v>
          </cell>
          <cell r="G14" t="str">
            <v>NA</v>
          </cell>
        </row>
        <row r="15">
          <cell r="B15" t="str">
            <v>NA</v>
          </cell>
          <cell r="C15" t="str">
            <v>NA</v>
          </cell>
          <cell r="D15" t="str">
            <v>NA</v>
          </cell>
          <cell r="E15" t="str">
            <v>NA</v>
          </cell>
          <cell r="F15" t="str">
            <v>NA</v>
          </cell>
          <cell r="G15" t="str">
            <v>NA</v>
          </cell>
        </row>
        <row r="16">
          <cell r="B16" t="str">
            <v>NA</v>
          </cell>
          <cell r="C16" t="str">
            <v>NA</v>
          </cell>
          <cell r="D16" t="str">
            <v>NA</v>
          </cell>
          <cell r="E16" t="str">
            <v>NA</v>
          </cell>
          <cell r="F16" t="str">
            <v>NA</v>
          </cell>
          <cell r="G16" t="str">
            <v>NA</v>
          </cell>
        </row>
        <row r="17">
          <cell r="B17" t="str">
            <v>NA</v>
          </cell>
          <cell r="C17" t="str">
            <v>NA</v>
          </cell>
          <cell r="D17" t="str">
            <v>NA</v>
          </cell>
          <cell r="E17" t="str">
            <v>NA</v>
          </cell>
          <cell r="F17" t="str">
            <v>NA</v>
          </cell>
          <cell r="G17" t="str">
            <v>NA</v>
          </cell>
        </row>
        <row r="18">
          <cell r="B18" t="str">
            <v>NA</v>
          </cell>
          <cell r="C18" t="str">
            <v>NA</v>
          </cell>
          <cell r="D18" t="str">
            <v>NA</v>
          </cell>
          <cell r="E18" t="str">
            <v>NA</v>
          </cell>
          <cell r="F18" t="str">
            <v>NA</v>
          </cell>
          <cell r="G18" t="str">
            <v>NA</v>
          </cell>
        </row>
        <row r="19">
          <cell r="B19" t="str">
            <v>NA</v>
          </cell>
          <cell r="C19" t="str">
            <v>NA</v>
          </cell>
          <cell r="D19" t="str">
            <v>NA</v>
          </cell>
          <cell r="E19" t="str">
            <v>NA</v>
          </cell>
          <cell r="F19" t="str">
            <v>NA</v>
          </cell>
          <cell r="G19" t="str">
            <v>NA</v>
          </cell>
        </row>
      </sheetData>
      <sheetData sheetId="21">
        <row r="1">
          <cell r="B1" t="str">
            <v>CO1</v>
          </cell>
          <cell r="C1" t="str">
            <v>CO2</v>
          </cell>
          <cell r="D1" t="str">
            <v>CO3</v>
          </cell>
          <cell r="E1" t="str">
            <v>CO4</v>
          </cell>
          <cell r="F1" t="str">
            <v>CO5</v>
          </cell>
          <cell r="G1" t="str">
            <v>CO6</v>
          </cell>
        </row>
        <row r="2">
          <cell r="B2" t="str">
            <v>NA</v>
          </cell>
          <cell r="C2" t="str">
            <v>NA</v>
          </cell>
          <cell r="D2" t="str">
            <v>NA</v>
          </cell>
          <cell r="E2" t="str">
            <v>NA</v>
          </cell>
          <cell r="F2" t="str">
            <v>NA</v>
          </cell>
          <cell r="G2" t="str">
            <v>NA</v>
          </cell>
        </row>
        <row r="3">
          <cell r="B3" t="str">
            <v>NA</v>
          </cell>
          <cell r="C3" t="str">
            <v>NA</v>
          </cell>
          <cell r="D3" t="str">
            <v>NA</v>
          </cell>
          <cell r="E3" t="str">
            <v>NA</v>
          </cell>
          <cell r="F3" t="str">
            <v>NA</v>
          </cell>
          <cell r="G3" t="str">
            <v>NA</v>
          </cell>
        </row>
        <row r="4">
          <cell r="B4" t="str">
            <v>NA</v>
          </cell>
          <cell r="C4" t="str">
            <v>NA</v>
          </cell>
          <cell r="D4" t="str">
            <v>NA</v>
          </cell>
          <cell r="E4" t="str">
            <v>NA</v>
          </cell>
          <cell r="F4" t="str">
            <v>NA</v>
          </cell>
          <cell r="G4" t="str">
            <v>NA</v>
          </cell>
        </row>
        <row r="5">
          <cell r="B5" t="str">
            <v>NA</v>
          </cell>
          <cell r="C5" t="str">
            <v>NA</v>
          </cell>
          <cell r="D5" t="str">
            <v>NA</v>
          </cell>
          <cell r="E5" t="str">
            <v>NA</v>
          </cell>
          <cell r="F5" t="str">
            <v>NA</v>
          </cell>
          <cell r="G5" t="str">
            <v>NA</v>
          </cell>
        </row>
        <row r="6">
          <cell r="B6" t="str">
            <v>NA</v>
          </cell>
          <cell r="C6" t="str">
            <v>NA</v>
          </cell>
          <cell r="D6" t="str">
            <v>NA</v>
          </cell>
          <cell r="E6" t="str">
            <v>NA</v>
          </cell>
          <cell r="F6" t="str">
            <v>NA</v>
          </cell>
          <cell r="G6" t="str">
            <v>NA</v>
          </cell>
        </row>
        <row r="7">
          <cell r="B7" t="str">
            <v>NA</v>
          </cell>
          <cell r="C7" t="str">
            <v>NA</v>
          </cell>
          <cell r="D7" t="str">
            <v>NA</v>
          </cell>
          <cell r="E7" t="str">
            <v>NA</v>
          </cell>
          <cell r="F7" t="str">
            <v>NA</v>
          </cell>
          <cell r="G7" t="str">
            <v>NA</v>
          </cell>
        </row>
        <row r="8">
          <cell r="B8" t="str">
            <v>NA</v>
          </cell>
          <cell r="C8" t="str">
            <v>NA</v>
          </cell>
          <cell r="D8" t="str">
            <v>NA</v>
          </cell>
          <cell r="E8" t="str">
            <v>NA</v>
          </cell>
          <cell r="F8" t="str">
            <v>NA</v>
          </cell>
          <cell r="G8" t="str">
            <v>NA</v>
          </cell>
        </row>
        <row r="9">
          <cell r="B9" t="str">
            <v>NA</v>
          </cell>
          <cell r="C9" t="str">
            <v>NA</v>
          </cell>
          <cell r="D9" t="str">
            <v>NA</v>
          </cell>
          <cell r="E9" t="str">
            <v>NA</v>
          </cell>
          <cell r="F9" t="str">
            <v>NA</v>
          </cell>
          <cell r="G9" t="str">
            <v>NA</v>
          </cell>
        </row>
        <row r="10">
          <cell r="B10" t="str">
            <v>NA</v>
          </cell>
          <cell r="C10" t="str">
            <v>NA</v>
          </cell>
          <cell r="D10" t="str">
            <v>NA</v>
          </cell>
          <cell r="E10" t="str">
            <v>NA</v>
          </cell>
          <cell r="F10" t="str">
            <v>NA</v>
          </cell>
          <cell r="G10" t="str">
            <v>NA</v>
          </cell>
        </row>
        <row r="11">
          <cell r="B11" t="str">
            <v>NA</v>
          </cell>
          <cell r="C11" t="str">
            <v>NA</v>
          </cell>
          <cell r="D11" t="str">
            <v>NA</v>
          </cell>
          <cell r="E11" t="str">
            <v>NA</v>
          </cell>
          <cell r="F11" t="str">
            <v>NA</v>
          </cell>
          <cell r="G11" t="str">
            <v>NA</v>
          </cell>
        </row>
        <row r="12">
          <cell r="B12" t="str">
            <v>NA</v>
          </cell>
          <cell r="C12" t="str">
            <v>NA</v>
          </cell>
          <cell r="D12" t="str">
            <v>NA</v>
          </cell>
          <cell r="E12" t="str">
            <v>NA</v>
          </cell>
          <cell r="F12" t="str">
            <v>NA</v>
          </cell>
          <cell r="G12" t="str">
            <v>NA</v>
          </cell>
        </row>
        <row r="13">
          <cell r="B13" t="str">
            <v>NA</v>
          </cell>
          <cell r="C13" t="str">
            <v>NA</v>
          </cell>
          <cell r="D13" t="str">
            <v>NA</v>
          </cell>
          <cell r="E13" t="str">
            <v>NA</v>
          </cell>
          <cell r="F13" t="str">
            <v>NA</v>
          </cell>
          <cell r="G13" t="str">
            <v>NA</v>
          </cell>
        </row>
        <row r="14">
          <cell r="B14" t="str">
            <v>NA</v>
          </cell>
          <cell r="C14" t="str">
            <v>NA</v>
          </cell>
          <cell r="D14" t="str">
            <v>NA</v>
          </cell>
          <cell r="E14" t="str">
            <v>NA</v>
          </cell>
          <cell r="F14" t="str">
            <v>NA</v>
          </cell>
          <cell r="G14" t="str">
            <v>NA</v>
          </cell>
        </row>
        <row r="15">
          <cell r="B15" t="str">
            <v>NA</v>
          </cell>
          <cell r="C15" t="str">
            <v>NA</v>
          </cell>
          <cell r="D15" t="str">
            <v>NA</v>
          </cell>
          <cell r="E15" t="str">
            <v>NA</v>
          </cell>
          <cell r="F15" t="str">
            <v>NA</v>
          </cell>
          <cell r="G15" t="str">
            <v>NA</v>
          </cell>
        </row>
        <row r="16">
          <cell r="B16" t="str">
            <v>NA</v>
          </cell>
          <cell r="C16" t="str">
            <v>NA</v>
          </cell>
          <cell r="D16" t="str">
            <v>NA</v>
          </cell>
          <cell r="E16" t="str">
            <v>NA</v>
          </cell>
          <cell r="F16" t="str">
            <v>NA</v>
          </cell>
          <cell r="G16" t="str">
            <v>NA</v>
          </cell>
        </row>
        <row r="17">
          <cell r="B17" t="str">
            <v>NA</v>
          </cell>
          <cell r="C17" t="str">
            <v>NA</v>
          </cell>
          <cell r="D17" t="str">
            <v>NA</v>
          </cell>
          <cell r="E17" t="str">
            <v>NA</v>
          </cell>
          <cell r="F17" t="str">
            <v>NA</v>
          </cell>
          <cell r="G17" t="str">
            <v>NA</v>
          </cell>
        </row>
        <row r="18">
          <cell r="B18" t="str">
            <v>NA</v>
          </cell>
          <cell r="C18" t="str">
            <v>NA</v>
          </cell>
          <cell r="D18" t="str">
            <v>NA</v>
          </cell>
          <cell r="E18" t="str">
            <v>NA</v>
          </cell>
          <cell r="F18" t="str">
            <v>NA</v>
          </cell>
          <cell r="G18" t="str">
            <v>NA</v>
          </cell>
        </row>
        <row r="19">
          <cell r="B19" t="str">
            <v>NA</v>
          </cell>
          <cell r="C19" t="str">
            <v>NA</v>
          </cell>
          <cell r="D19" t="str">
            <v>NA</v>
          </cell>
          <cell r="E19" t="str">
            <v>NA</v>
          </cell>
          <cell r="F19" t="str">
            <v>NA</v>
          </cell>
          <cell r="G19" t="str">
            <v>NA</v>
          </cell>
        </row>
      </sheetData>
      <sheetData sheetId="22">
        <row r="1">
          <cell r="B1" t="str">
            <v>CO1</v>
          </cell>
          <cell r="C1" t="str">
            <v>CO2</v>
          </cell>
          <cell r="D1" t="str">
            <v>CO3</v>
          </cell>
          <cell r="E1" t="str">
            <v>CO4</v>
          </cell>
          <cell r="F1" t="str">
            <v>CO5</v>
          </cell>
          <cell r="G1" t="str">
            <v>CO6</v>
          </cell>
        </row>
        <row r="2">
          <cell r="B2" t="str">
            <v>Y</v>
          </cell>
          <cell r="C2" t="str">
            <v>NA</v>
          </cell>
          <cell r="D2" t="str">
            <v>NA</v>
          </cell>
          <cell r="E2" t="str">
            <v>NA</v>
          </cell>
          <cell r="F2" t="str">
            <v>NA</v>
          </cell>
          <cell r="G2" t="str">
            <v>NA</v>
          </cell>
        </row>
        <row r="3">
          <cell r="B3" t="str">
            <v>Y</v>
          </cell>
          <cell r="C3" t="str">
            <v>NA</v>
          </cell>
          <cell r="D3" t="str">
            <v>NA</v>
          </cell>
          <cell r="E3" t="str">
            <v>NA</v>
          </cell>
          <cell r="F3" t="str">
            <v>NA</v>
          </cell>
          <cell r="G3" t="str">
            <v>NA</v>
          </cell>
        </row>
        <row r="4">
          <cell r="B4" t="str">
            <v>Y</v>
          </cell>
          <cell r="C4" t="str">
            <v>NA</v>
          </cell>
          <cell r="D4" t="str">
            <v>NA</v>
          </cell>
          <cell r="E4" t="str">
            <v>NA</v>
          </cell>
          <cell r="F4" t="str">
            <v>NA</v>
          </cell>
          <cell r="G4" t="str">
            <v>NA</v>
          </cell>
        </row>
        <row r="5">
          <cell r="B5" t="str">
            <v>Y</v>
          </cell>
          <cell r="C5" t="str">
            <v>NA</v>
          </cell>
          <cell r="D5" t="str">
            <v>NA</v>
          </cell>
          <cell r="E5" t="str">
            <v>NA</v>
          </cell>
          <cell r="F5" t="str">
            <v>NA</v>
          </cell>
          <cell r="G5" t="str">
            <v>NA</v>
          </cell>
        </row>
        <row r="6">
          <cell r="B6" t="str">
            <v>Y</v>
          </cell>
          <cell r="C6" t="str">
            <v>NA</v>
          </cell>
          <cell r="D6" t="str">
            <v>NA</v>
          </cell>
          <cell r="E6" t="str">
            <v>NA</v>
          </cell>
          <cell r="F6" t="str">
            <v>NA</v>
          </cell>
          <cell r="G6" t="str">
            <v>NA</v>
          </cell>
        </row>
        <row r="7">
          <cell r="B7" t="str">
            <v>Y</v>
          </cell>
          <cell r="C7" t="str">
            <v>NA</v>
          </cell>
          <cell r="D7" t="str">
            <v>NA</v>
          </cell>
          <cell r="E7" t="str">
            <v>NA</v>
          </cell>
          <cell r="F7" t="str">
            <v>NA</v>
          </cell>
          <cell r="G7" t="str">
            <v>NA</v>
          </cell>
        </row>
        <row r="8">
          <cell r="B8" t="str">
            <v>Y</v>
          </cell>
          <cell r="C8" t="str">
            <v>NA</v>
          </cell>
          <cell r="D8" t="str">
            <v>NA</v>
          </cell>
          <cell r="E8" t="str">
            <v>NA</v>
          </cell>
          <cell r="F8" t="str">
            <v>NA</v>
          </cell>
          <cell r="G8" t="str">
            <v>NA</v>
          </cell>
        </row>
        <row r="9">
          <cell r="B9" t="str">
            <v>Y</v>
          </cell>
          <cell r="C9" t="str">
            <v>NA</v>
          </cell>
          <cell r="D9" t="str">
            <v>NA</v>
          </cell>
          <cell r="E9" t="str">
            <v>NA</v>
          </cell>
          <cell r="F9" t="str">
            <v>NA</v>
          </cell>
          <cell r="G9" t="str">
            <v>NA</v>
          </cell>
        </row>
        <row r="10">
          <cell r="B10" t="str">
            <v>Y</v>
          </cell>
          <cell r="C10" t="str">
            <v>NA</v>
          </cell>
          <cell r="D10" t="str">
            <v>NA</v>
          </cell>
          <cell r="E10" t="str">
            <v>NA</v>
          </cell>
          <cell r="F10" t="str">
            <v>NA</v>
          </cell>
          <cell r="G10" t="str">
            <v>NA</v>
          </cell>
        </row>
        <row r="11">
          <cell r="B11" t="str">
            <v>Y</v>
          </cell>
          <cell r="C11" t="str">
            <v>NA</v>
          </cell>
          <cell r="D11" t="str">
            <v>NA</v>
          </cell>
          <cell r="E11" t="str">
            <v>NA</v>
          </cell>
          <cell r="F11" t="str">
            <v>NA</v>
          </cell>
          <cell r="G11" t="str">
            <v>NA</v>
          </cell>
        </row>
        <row r="12">
          <cell r="B12" t="str">
            <v>Y</v>
          </cell>
          <cell r="C12" t="str">
            <v>NA</v>
          </cell>
          <cell r="D12" t="str">
            <v>NA</v>
          </cell>
          <cell r="E12" t="str">
            <v>NA</v>
          </cell>
          <cell r="F12" t="str">
            <v>NA</v>
          </cell>
          <cell r="G12" t="str">
            <v>NA</v>
          </cell>
        </row>
        <row r="13">
          <cell r="B13" t="str">
            <v>Y</v>
          </cell>
          <cell r="C13" t="str">
            <v>NA</v>
          </cell>
          <cell r="D13" t="str">
            <v>NA</v>
          </cell>
          <cell r="E13" t="str">
            <v>NA</v>
          </cell>
          <cell r="F13" t="str">
            <v>NA</v>
          </cell>
          <cell r="G13" t="str">
            <v>NA</v>
          </cell>
        </row>
        <row r="14">
          <cell r="B14" t="str">
            <v>Y</v>
          </cell>
          <cell r="C14" t="str">
            <v>NA</v>
          </cell>
          <cell r="D14" t="str">
            <v>NA</v>
          </cell>
          <cell r="E14" t="str">
            <v>NA</v>
          </cell>
          <cell r="F14" t="str">
            <v>NA</v>
          </cell>
          <cell r="G14" t="str">
            <v>NA</v>
          </cell>
        </row>
        <row r="15">
          <cell r="B15" t="str">
            <v>Y</v>
          </cell>
          <cell r="C15" t="str">
            <v>NA</v>
          </cell>
          <cell r="D15" t="str">
            <v>NA</v>
          </cell>
          <cell r="E15" t="str">
            <v>NA</v>
          </cell>
          <cell r="F15" t="str">
            <v>NA</v>
          </cell>
          <cell r="G15" t="str">
            <v>NA</v>
          </cell>
        </row>
        <row r="16">
          <cell r="B16" t="str">
            <v>Y</v>
          </cell>
          <cell r="C16" t="str">
            <v>NA</v>
          </cell>
          <cell r="D16" t="str">
            <v>NA</v>
          </cell>
          <cell r="E16" t="str">
            <v>NA</v>
          </cell>
          <cell r="F16" t="str">
            <v>NA</v>
          </cell>
          <cell r="G16" t="str">
            <v>NA</v>
          </cell>
        </row>
        <row r="17">
          <cell r="B17" t="str">
            <v>Y</v>
          </cell>
          <cell r="C17" t="str">
            <v>NA</v>
          </cell>
          <cell r="D17" t="str">
            <v>NA</v>
          </cell>
          <cell r="E17" t="str">
            <v>NA</v>
          </cell>
          <cell r="F17" t="str">
            <v>NA</v>
          </cell>
          <cell r="G17" t="str">
            <v>NA</v>
          </cell>
        </row>
        <row r="18">
          <cell r="B18" t="str">
            <v>Y</v>
          </cell>
          <cell r="C18" t="str">
            <v>NA</v>
          </cell>
          <cell r="D18" t="str">
            <v>NA</v>
          </cell>
          <cell r="E18" t="str">
            <v>NA</v>
          </cell>
          <cell r="F18" t="str">
            <v>NA</v>
          </cell>
          <cell r="G18" t="str">
            <v>NA</v>
          </cell>
        </row>
        <row r="19">
          <cell r="B19" t="str">
            <v>Y</v>
          </cell>
          <cell r="C19" t="str">
            <v>NA</v>
          </cell>
          <cell r="D19" t="str">
            <v>NA</v>
          </cell>
          <cell r="E19" t="str">
            <v>NA</v>
          </cell>
          <cell r="F19" t="str">
            <v>NA</v>
          </cell>
          <cell r="G19" t="str">
            <v>NA</v>
          </cell>
        </row>
      </sheetData>
      <sheetData sheetId="23"/>
      <sheetData sheetId="24">
        <row r="1">
          <cell r="B1" t="str">
            <v>Admission No. (Roll No.)</v>
          </cell>
        </row>
        <row r="2">
          <cell r="B2">
            <v>2010990089</v>
          </cell>
        </row>
        <row r="3">
          <cell r="B3">
            <v>2010992002</v>
          </cell>
        </row>
        <row r="4">
          <cell r="B4">
            <v>2010992004</v>
          </cell>
        </row>
        <row r="5">
          <cell r="B5">
            <v>2010992005</v>
          </cell>
        </row>
        <row r="6">
          <cell r="B6">
            <v>2010992006</v>
          </cell>
        </row>
        <row r="7">
          <cell r="B7">
            <v>2010992008</v>
          </cell>
        </row>
        <row r="8">
          <cell r="B8">
            <v>2010992009</v>
          </cell>
        </row>
        <row r="9">
          <cell r="B9">
            <v>2010992010</v>
          </cell>
        </row>
        <row r="10">
          <cell r="B10">
            <v>2010992011</v>
          </cell>
        </row>
        <row r="11">
          <cell r="B11">
            <v>2010992012</v>
          </cell>
        </row>
        <row r="12">
          <cell r="B12">
            <v>2010992014</v>
          </cell>
        </row>
        <row r="13">
          <cell r="B13">
            <v>2010992015</v>
          </cell>
        </row>
        <row r="14">
          <cell r="B14">
            <v>2010992016</v>
          </cell>
        </row>
        <row r="15">
          <cell r="B15">
            <v>2010992017</v>
          </cell>
        </row>
        <row r="16">
          <cell r="B16">
            <v>2010992018</v>
          </cell>
        </row>
        <row r="17">
          <cell r="B17">
            <v>2010992019</v>
          </cell>
        </row>
        <row r="18">
          <cell r="B18">
            <v>2010992163</v>
          </cell>
        </row>
        <row r="19">
          <cell r="B19">
            <v>2010992202</v>
          </cell>
        </row>
      </sheetData>
      <sheetData sheetId="25"/>
      <sheetData sheetId="26"/>
      <sheetData sheetId="27"/>
      <sheetData sheetId="28">
        <row r="1">
          <cell r="A1" t="str">
            <v>CO1</v>
          </cell>
          <cell r="B1" t="str">
            <v>CO2</v>
          </cell>
          <cell r="C1" t="str">
            <v>CO3</v>
          </cell>
          <cell r="D1" t="str">
            <v>CO4</v>
          </cell>
          <cell r="E1" t="str">
            <v>CO5</v>
          </cell>
          <cell r="F1" t="str">
            <v>CO6</v>
          </cell>
        </row>
        <row r="2">
          <cell r="A2" t="str">
            <v>Not Found</v>
          </cell>
          <cell r="B2" t="str">
            <v>Not Found</v>
          </cell>
          <cell r="C2" t="str">
            <v>Not Found</v>
          </cell>
          <cell r="D2" t="str">
            <v>Not Found</v>
          </cell>
          <cell r="E2" t="str">
            <v>Not Found</v>
          </cell>
          <cell r="F2" t="str">
            <v>Not Found</v>
          </cell>
        </row>
      </sheetData>
      <sheetData sheetId="29">
        <row r="1">
          <cell r="B1" t="str">
            <v>CO1</v>
          </cell>
          <cell r="C1" t="str">
            <v>CO2</v>
          </cell>
          <cell r="D1" t="str">
            <v>CO3</v>
          </cell>
          <cell r="E1" t="str">
            <v>CO4</v>
          </cell>
          <cell r="F1" t="str">
            <v>CO5</v>
          </cell>
          <cell r="G1" t="str">
            <v>CO6</v>
          </cell>
        </row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</row>
        <row r="5"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</row>
        <row r="6"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</row>
        <row r="7"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</row>
        <row r="8"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</row>
        <row r="9"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</row>
        <row r="10"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</row>
        <row r="11"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</row>
        <row r="12"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</row>
        <row r="13"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</row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</row>
        <row r="15"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</row>
        <row r="16"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</row>
        <row r="17"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</row>
        <row r="18"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</row>
        <row r="19"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</row>
      </sheetData>
      <sheetData sheetId="30">
        <row r="1">
          <cell r="B1" t="str">
            <v>CO1</v>
          </cell>
          <cell r="C1" t="str">
            <v>CO2</v>
          </cell>
          <cell r="D1" t="str">
            <v>CO3</v>
          </cell>
          <cell r="E1" t="str">
            <v>CO4</v>
          </cell>
          <cell r="F1" t="str">
            <v>CO5</v>
          </cell>
          <cell r="G1" t="str">
            <v>CO6</v>
          </cell>
        </row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</row>
        <row r="5"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</row>
        <row r="6"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</row>
        <row r="7"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</row>
        <row r="8"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</row>
        <row r="9"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</row>
        <row r="10"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</row>
        <row r="11"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</row>
        <row r="12"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</row>
        <row r="13"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</row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</row>
        <row r="15"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</row>
        <row r="16"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</row>
        <row r="17"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</row>
        <row r="18"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</row>
        <row r="19"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</row>
      </sheetData>
      <sheetData sheetId="31">
        <row r="1">
          <cell r="B1" t="str">
            <v>CO1</v>
          </cell>
          <cell r="C1" t="str">
            <v>CO2</v>
          </cell>
          <cell r="D1" t="str">
            <v>CO3</v>
          </cell>
          <cell r="E1" t="str">
            <v>CO4</v>
          </cell>
          <cell r="F1" t="str">
            <v>CO5</v>
          </cell>
          <cell r="G1" t="str">
            <v>CO6</v>
          </cell>
        </row>
        <row r="2">
          <cell r="B2" t="str">
            <v>NA</v>
          </cell>
          <cell r="C2" t="str">
            <v>NA</v>
          </cell>
          <cell r="D2" t="str">
            <v>NA</v>
          </cell>
          <cell r="E2" t="str">
            <v>NA</v>
          </cell>
          <cell r="F2" t="str">
            <v>NA</v>
          </cell>
          <cell r="G2" t="str">
            <v>NA</v>
          </cell>
        </row>
        <row r="3">
          <cell r="B3" t="str">
            <v>NA</v>
          </cell>
          <cell r="C3" t="str">
            <v>NA</v>
          </cell>
          <cell r="D3" t="str">
            <v>NA</v>
          </cell>
          <cell r="E3" t="str">
            <v>NA</v>
          </cell>
          <cell r="F3" t="str">
            <v>NA</v>
          </cell>
          <cell r="G3" t="str">
            <v>NA</v>
          </cell>
        </row>
        <row r="4">
          <cell r="B4" t="str">
            <v>NA</v>
          </cell>
          <cell r="C4" t="str">
            <v>NA</v>
          </cell>
          <cell r="D4" t="str">
            <v>NA</v>
          </cell>
          <cell r="E4" t="str">
            <v>NA</v>
          </cell>
          <cell r="F4" t="str">
            <v>NA</v>
          </cell>
          <cell r="G4" t="str">
            <v>NA</v>
          </cell>
        </row>
        <row r="5">
          <cell r="B5" t="str">
            <v>NA</v>
          </cell>
          <cell r="C5" t="str">
            <v>NA</v>
          </cell>
          <cell r="D5" t="str">
            <v>NA</v>
          </cell>
          <cell r="E5" t="str">
            <v>NA</v>
          </cell>
          <cell r="F5" t="str">
            <v>NA</v>
          </cell>
          <cell r="G5" t="str">
            <v>NA</v>
          </cell>
        </row>
        <row r="6">
          <cell r="B6" t="str">
            <v>NA</v>
          </cell>
          <cell r="C6" t="str">
            <v>NA</v>
          </cell>
          <cell r="D6" t="str">
            <v>NA</v>
          </cell>
          <cell r="E6" t="str">
            <v>NA</v>
          </cell>
          <cell r="F6" t="str">
            <v>NA</v>
          </cell>
          <cell r="G6" t="str">
            <v>NA</v>
          </cell>
        </row>
        <row r="7">
          <cell r="B7" t="str">
            <v>NA</v>
          </cell>
          <cell r="C7" t="str">
            <v>NA</v>
          </cell>
          <cell r="D7" t="str">
            <v>NA</v>
          </cell>
          <cell r="E7" t="str">
            <v>NA</v>
          </cell>
          <cell r="F7" t="str">
            <v>NA</v>
          </cell>
          <cell r="G7" t="str">
            <v>NA</v>
          </cell>
        </row>
        <row r="8">
          <cell r="B8" t="str">
            <v>NA</v>
          </cell>
          <cell r="C8" t="str">
            <v>NA</v>
          </cell>
          <cell r="D8" t="str">
            <v>NA</v>
          </cell>
          <cell r="E8" t="str">
            <v>NA</v>
          </cell>
          <cell r="F8" t="str">
            <v>NA</v>
          </cell>
          <cell r="G8" t="str">
            <v>NA</v>
          </cell>
        </row>
        <row r="9">
          <cell r="B9" t="str">
            <v>NA</v>
          </cell>
          <cell r="C9" t="str">
            <v>NA</v>
          </cell>
          <cell r="D9" t="str">
            <v>NA</v>
          </cell>
          <cell r="E9" t="str">
            <v>NA</v>
          </cell>
          <cell r="F9" t="str">
            <v>NA</v>
          </cell>
          <cell r="G9" t="str">
            <v>NA</v>
          </cell>
        </row>
        <row r="10">
          <cell r="B10" t="str">
            <v>NA</v>
          </cell>
          <cell r="C10" t="str">
            <v>NA</v>
          </cell>
          <cell r="D10" t="str">
            <v>NA</v>
          </cell>
          <cell r="E10" t="str">
            <v>NA</v>
          </cell>
          <cell r="F10" t="str">
            <v>NA</v>
          </cell>
          <cell r="G10" t="str">
            <v>NA</v>
          </cell>
        </row>
        <row r="11">
          <cell r="B11" t="str">
            <v>NA</v>
          </cell>
          <cell r="C11" t="str">
            <v>NA</v>
          </cell>
          <cell r="D11" t="str">
            <v>NA</v>
          </cell>
          <cell r="E11" t="str">
            <v>NA</v>
          </cell>
          <cell r="F11" t="str">
            <v>NA</v>
          </cell>
          <cell r="G11" t="str">
            <v>NA</v>
          </cell>
        </row>
        <row r="12">
          <cell r="B12" t="str">
            <v>NA</v>
          </cell>
          <cell r="C12" t="str">
            <v>NA</v>
          </cell>
          <cell r="D12" t="str">
            <v>NA</v>
          </cell>
          <cell r="E12" t="str">
            <v>NA</v>
          </cell>
          <cell r="F12" t="str">
            <v>NA</v>
          </cell>
          <cell r="G12" t="str">
            <v>NA</v>
          </cell>
        </row>
        <row r="13">
          <cell r="B13" t="str">
            <v>NA</v>
          </cell>
          <cell r="C13" t="str">
            <v>NA</v>
          </cell>
          <cell r="D13" t="str">
            <v>NA</v>
          </cell>
          <cell r="E13" t="str">
            <v>NA</v>
          </cell>
          <cell r="F13" t="str">
            <v>NA</v>
          </cell>
          <cell r="G13" t="str">
            <v>NA</v>
          </cell>
        </row>
        <row r="14">
          <cell r="B14" t="str">
            <v>NA</v>
          </cell>
          <cell r="C14" t="str">
            <v>NA</v>
          </cell>
          <cell r="D14" t="str">
            <v>NA</v>
          </cell>
          <cell r="E14" t="str">
            <v>NA</v>
          </cell>
          <cell r="F14" t="str">
            <v>NA</v>
          </cell>
          <cell r="G14" t="str">
            <v>NA</v>
          </cell>
        </row>
        <row r="15">
          <cell r="B15" t="str">
            <v>NA</v>
          </cell>
          <cell r="C15" t="str">
            <v>NA</v>
          </cell>
          <cell r="D15" t="str">
            <v>NA</v>
          </cell>
          <cell r="E15" t="str">
            <v>NA</v>
          </cell>
          <cell r="F15" t="str">
            <v>NA</v>
          </cell>
          <cell r="G15" t="str">
            <v>NA</v>
          </cell>
        </row>
        <row r="16">
          <cell r="B16" t="str">
            <v>NA</v>
          </cell>
          <cell r="C16" t="str">
            <v>NA</v>
          </cell>
          <cell r="D16" t="str">
            <v>NA</v>
          </cell>
          <cell r="E16" t="str">
            <v>NA</v>
          </cell>
          <cell r="F16" t="str">
            <v>NA</v>
          </cell>
          <cell r="G16" t="str">
            <v>NA</v>
          </cell>
        </row>
        <row r="17">
          <cell r="B17" t="str">
            <v>NA</v>
          </cell>
          <cell r="C17" t="str">
            <v>NA</v>
          </cell>
          <cell r="D17" t="str">
            <v>NA</v>
          </cell>
          <cell r="E17" t="str">
            <v>NA</v>
          </cell>
          <cell r="F17" t="str">
            <v>NA</v>
          </cell>
          <cell r="G17" t="str">
            <v>NA</v>
          </cell>
        </row>
        <row r="18">
          <cell r="B18" t="str">
            <v>NA</v>
          </cell>
          <cell r="C18" t="str">
            <v>NA</v>
          </cell>
          <cell r="D18" t="str">
            <v>NA</v>
          </cell>
          <cell r="E18" t="str">
            <v>NA</v>
          </cell>
          <cell r="F18" t="str">
            <v>NA</v>
          </cell>
          <cell r="G18" t="str">
            <v>NA</v>
          </cell>
        </row>
        <row r="19">
          <cell r="B19" t="str">
            <v>NA</v>
          </cell>
          <cell r="C19" t="str">
            <v>NA</v>
          </cell>
          <cell r="D19" t="str">
            <v>NA</v>
          </cell>
          <cell r="E19" t="str">
            <v>NA</v>
          </cell>
          <cell r="F19" t="str">
            <v>NA</v>
          </cell>
          <cell r="G19" t="str">
            <v>NA</v>
          </cell>
        </row>
      </sheetData>
      <sheetData sheetId="32">
        <row r="1">
          <cell r="B1" t="str">
            <v>CO1</v>
          </cell>
          <cell r="C1" t="str">
            <v>CO2</v>
          </cell>
          <cell r="D1" t="str">
            <v>CO3</v>
          </cell>
          <cell r="E1" t="str">
            <v>CO4</v>
          </cell>
          <cell r="F1" t="str">
            <v>CO5</v>
          </cell>
          <cell r="G1" t="str">
            <v>CO6</v>
          </cell>
        </row>
        <row r="2">
          <cell r="B2" t="str">
            <v>NA</v>
          </cell>
          <cell r="C2" t="str">
            <v>NA</v>
          </cell>
          <cell r="D2" t="str">
            <v>NA</v>
          </cell>
          <cell r="E2" t="str">
            <v>NA</v>
          </cell>
          <cell r="F2" t="str">
            <v>NA</v>
          </cell>
          <cell r="G2" t="str">
            <v>NA</v>
          </cell>
        </row>
        <row r="3">
          <cell r="B3" t="str">
            <v>NA</v>
          </cell>
          <cell r="C3" t="str">
            <v>NA</v>
          </cell>
          <cell r="D3" t="str">
            <v>NA</v>
          </cell>
          <cell r="E3" t="str">
            <v>NA</v>
          </cell>
          <cell r="F3" t="str">
            <v>NA</v>
          </cell>
          <cell r="G3" t="str">
            <v>NA</v>
          </cell>
        </row>
        <row r="4">
          <cell r="B4" t="str">
            <v>NA</v>
          </cell>
          <cell r="C4" t="str">
            <v>NA</v>
          </cell>
          <cell r="D4" t="str">
            <v>NA</v>
          </cell>
          <cell r="E4" t="str">
            <v>NA</v>
          </cell>
          <cell r="F4" t="str">
            <v>NA</v>
          </cell>
          <cell r="G4" t="str">
            <v>NA</v>
          </cell>
        </row>
        <row r="5">
          <cell r="B5" t="str">
            <v>NA</v>
          </cell>
          <cell r="C5" t="str">
            <v>NA</v>
          </cell>
          <cell r="D5" t="str">
            <v>NA</v>
          </cell>
          <cell r="E5" t="str">
            <v>NA</v>
          </cell>
          <cell r="F5" t="str">
            <v>NA</v>
          </cell>
          <cell r="G5" t="str">
            <v>NA</v>
          </cell>
        </row>
        <row r="6">
          <cell r="B6" t="str">
            <v>NA</v>
          </cell>
          <cell r="C6" t="str">
            <v>NA</v>
          </cell>
          <cell r="D6" t="str">
            <v>NA</v>
          </cell>
          <cell r="E6" t="str">
            <v>NA</v>
          </cell>
          <cell r="F6" t="str">
            <v>NA</v>
          </cell>
          <cell r="G6" t="str">
            <v>NA</v>
          </cell>
        </row>
        <row r="7">
          <cell r="B7" t="str">
            <v>NA</v>
          </cell>
          <cell r="C7" t="str">
            <v>NA</v>
          </cell>
          <cell r="D7" t="str">
            <v>NA</v>
          </cell>
          <cell r="E7" t="str">
            <v>NA</v>
          </cell>
          <cell r="F7" t="str">
            <v>NA</v>
          </cell>
          <cell r="G7" t="str">
            <v>NA</v>
          </cell>
        </row>
        <row r="8">
          <cell r="B8" t="str">
            <v>NA</v>
          </cell>
          <cell r="C8" t="str">
            <v>NA</v>
          </cell>
          <cell r="D8" t="str">
            <v>NA</v>
          </cell>
          <cell r="E8" t="str">
            <v>NA</v>
          </cell>
          <cell r="F8" t="str">
            <v>NA</v>
          </cell>
          <cell r="G8" t="str">
            <v>NA</v>
          </cell>
        </row>
        <row r="9">
          <cell r="B9" t="str">
            <v>NA</v>
          </cell>
          <cell r="C9" t="str">
            <v>NA</v>
          </cell>
          <cell r="D9" t="str">
            <v>NA</v>
          </cell>
          <cell r="E9" t="str">
            <v>NA</v>
          </cell>
          <cell r="F9" t="str">
            <v>NA</v>
          </cell>
          <cell r="G9" t="str">
            <v>NA</v>
          </cell>
        </row>
        <row r="10">
          <cell r="B10" t="str">
            <v>NA</v>
          </cell>
          <cell r="C10" t="str">
            <v>NA</v>
          </cell>
          <cell r="D10" t="str">
            <v>NA</v>
          </cell>
          <cell r="E10" t="str">
            <v>NA</v>
          </cell>
          <cell r="F10" t="str">
            <v>NA</v>
          </cell>
          <cell r="G10" t="str">
            <v>NA</v>
          </cell>
        </row>
        <row r="11">
          <cell r="B11" t="str">
            <v>NA</v>
          </cell>
          <cell r="C11" t="str">
            <v>NA</v>
          </cell>
          <cell r="D11" t="str">
            <v>NA</v>
          </cell>
          <cell r="E11" t="str">
            <v>NA</v>
          </cell>
          <cell r="F11" t="str">
            <v>NA</v>
          </cell>
          <cell r="G11" t="str">
            <v>NA</v>
          </cell>
        </row>
        <row r="12">
          <cell r="B12" t="str">
            <v>NA</v>
          </cell>
          <cell r="C12" t="str">
            <v>NA</v>
          </cell>
          <cell r="D12" t="str">
            <v>NA</v>
          </cell>
          <cell r="E12" t="str">
            <v>NA</v>
          </cell>
          <cell r="F12" t="str">
            <v>NA</v>
          </cell>
          <cell r="G12" t="str">
            <v>NA</v>
          </cell>
        </row>
        <row r="13">
          <cell r="B13" t="str">
            <v>NA</v>
          </cell>
          <cell r="C13" t="str">
            <v>NA</v>
          </cell>
          <cell r="D13" t="str">
            <v>NA</v>
          </cell>
          <cell r="E13" t="str">
            <v>NA</v>
          </cell>
          <cell r="F13" t="str">
            <v>NA</v>
          </cell>
          <cell r="G13" t="str">
            <v>NA</v>
          </cell>
        </row>
        <row r="14">
          <cell r="B14" t="str">
            <v>NA</v>
          </cell>
          <cell r="C14" t="str">
            <v>NA</v>
          </cell>
          <cell r="D14" t="str">
            <v>NA</v>
          </cell>
          <cell r="E14" t="str">
            <v>NA</v>
          </cell>
          <cell r="F14" t="str">
            <v>NA</v>
          </cell>
          <cell r="G14" t="str">
            <v>NA</v>
          </cell>
        </row>
        <row r="15">
          <cell r="B15" t="str">
            <v>NA</v>
          </cell>
          <cell r="C15" t="str">
            <v>NA</v>
          </cell>
          <cell r="D15" t="str">
            <v>NA</v>
          </cell>
          <cell r="E15" t="str">
            <v>NA</v>
          </cell>
          <cell r="F15" t="str">
            <v>NA</v>
          </cell>
          <cell r="G15" t="str">
            <v>NA</v>
          </cell>
        </row>
        <row r="16">
          <cell r="B16" t="str">
            <v>NA</v>
          </cell>
          <cell r="C16" t="str">
            <v>NA</v>
          </cell>
          <cell r="D16" t="str">
            <v>NA</v>
          </cell>
          <cell r="E16" t="str">
            <v>NA</v>
          </cell>
          <cell r="F16" t="str">
            <v>NA</v>
          </cell>
          <cell r="G16" t="str">
            <v>NA</v>
          </cell>
        </row>
        <row r="17">
          <cell r="B17" t="str">
            <v>NA</v>
          </cell>
          <cell r="C17" t="str">
            <v>NA</v>
          </cell>
          <cell r="D17" t="str">
            <v>NA</v>
          </cell>
          <cell r="E17" t="str">
            <v>NA</v>
          </cell>
          <cell r="F17" t="str">
            <v>NA</v>
          </cell>
          <cell r="G17" t="str">
            <v>NA</v>
          </cell>
        </row>
        <row r="18">
          <cell r="B18" t="str">
            <v>NA</v>
          </cell>
          <cell r="C18" t="str">
            <v>NA</v>
          </cell>
          <cell r="D18" t="str">
            <v>NA</v>
          </cell>
          <cell r="E18" t="str">
            <v>NA</v>
          </cell>
          <cell r="F18" t="str">
            <v>NA</v>
          </cell>
          <cell r="G18" t="str">
            <v>NA</v>
          </cell>
        </row>
        <row r="19">
          <cell r="B19" t="str">
            <v>NA</v>
          </cell>
          <cell r="C19" t="str">
            <v>NA</v>
          </cell>
          <cell r="D19" t="str">
            <v>NA</v>
          </cell>
          <cell r="E19" t="str">
            <v>NA</v>
          </cell>
          <cell r="F19" t="str">
            <v>NA</v>
          </cell>
          <cell r="G19" t="str">
            <v>NA</v>
          </cell>
        </row>
      </sheetData>
      <sheetData sheetId="33">
        <row r="1">
          <cell r="B1" t="str">
            <v>CO1</v>
          </cell>
          <cell r="C1" t="str">
            <v>CO2</v>
          </cell>
          <cell r="D1" t="str">
            <v>CO3</v>
          </cell>
          <cell r="E1" t="str">
            <v>CO4</v>
          </cell>
          <cell r="F1" t="str">
            <v>CO5</v>
          </cell>
          <cell r="G1" t="str">
            <v>CO6</v>
          </cell>
        </row>
        <row r="2">
          <cell r="B2" t="str">
            <v>NA</v>
          </cell>
          <cell r="C2" t="str">
            <v>NA</v>
          </cell>
          <cell r="D2" t="str">
            <v>NA</v>
          </cell>
          <cell r="E2" t="str">
            <v>NA</v>
          </cell>
          <cell r="F2" t="str">
            <v>NA</v>
          </cell>
          <cell r="G2" t="str">
            <v>NA</v>
          </cell>
        </row>
        <row r="3">
          <cell r="B3" t="str">
            <v>NA</v>
          </cell>
          <cell r="C3" t="str">
            <v>NA</v>
          </cell>
          <cell r="D3" t="str">
            <v>NA</v>
          </cell>
          <cell r="E3" t="str">
            <v>NA</v>
          </cell>
          <cell r="F3" t="str">
            <v>NA</v>
          </cell>
          <cell r="G3" t="str">
            <v>NA</v>
          </cell>
        </row>
        <row r="4">
          <cell r="B4" t="str">
            <v>NA</v>
          </cell>
          <cell r="C4" t="str">
            <v>NA</v>
          </cell>
          <cell r="D4" t="str">
            <v>NA</v>
          </cell>
          <cell r="E4" t="str">
            <v>NA</v>
          </cell>
          <cell r="F4" t="str">
            <v>NA</v>
          </cell>
          <cell r="G4" t="str">
            <v>NA</v>
          </cell>
        </row>
        <row r="5">
          <cell r="B5" t="str">
            <v>NA</v>
          </cell>
          <cell r="C5" t="str">
            <v>NA</v>
          </cell>
          <cell r="D5" t="str">
            <v>NA</v>
          </cell>
          <cell r="E5" t="str">
            <v>NA</v>
          </cell>
          <cell r="F5" t="str">
            <v>NA</v>
          </cell>
          <cell r="G5" t="str">
            <v>NA</v>
          </cell>
        </row>
        <row r="6">
          <cell r="B6" t="str">
            <v>NA</v>
          </cell>
          <cell r="C6" t="str">
            <v>NA</v>
          </cell>
          <cell r="D6" t="str">
            <v>NA</v>
          </cell>
          <cell r="E6" t="str">
            <v>NA</v>
          </cell>
          <cell r="F6" t="str">
            <v>NA</v>
          </cell>
          <cell r="G6" t="str">
            <v>NA</v>
          </cell>
        </row>
        <row r="7">
          <cell r="B7" t="str">
            <v>NA</v>
          </cell>
          <cell r="C7" t="str">
            <v>NA</v>
          </cell>
          <cell r="D7" t="str">
            <v>NA</v>
          </cell>
          <cell r="E7" t="str">
            <v>NA</v>
          </cell>
          <cell r="F7" t="str">
            <v>NA</v>
          </cell>
          <cell r="G7" t="str">
            <v>NA</v>
          </cell>
        </row>
        <row r="8">
          <cell r="B8" t="str">
            <v>NA</v>
          </cell>
          <cell r="C8" t="str">
            <v>NA</v>
          </cell>
          <cell r="D8" t="str">
            <v>NA</v>
          </cell>
          <cell r="E8" t="str">
            <v>NA</v>
          </cell>
          <cell r="F8" t="str">
            <v>NA</v>
          </cell>
          <cell r="G8" t="str">
            <v>NA</v>
          </cell>
        </row>
        <row r="9">
          <cell r="B9" t="str">
            <v>NA</v>
          </cell>
          <cell r="C9" t="str">
            <v>NA</v>
          </cell>
          <cell r="D9" t="str">
            <v>NA</v>
          </cell>
          <cell r="E9" t="str">
            <v>NA</v>
          </cell>
          <cell r="F9" t="str">
            <v>NA</v>
          </cell>
          <cell r="G9" t="str">
            <v>NA</v>
          </cell>
        </row>
        <row r="10">
          <cell r="B10" t="str">
            <v>NA</v>
          </cell>
          <cell r="C10" t="str">
            <v>NA</v>
          </cell>
          <cell r="D10" t="str">
            <v>NA</v>
          </cell>
          <cell r="E10" t="str">
            <v>NA</v>
          </cell>
          <cell r="F10" t="str">
            <v>NA</v>
          </cell>
          <cell r="G10" t="str">
            <v>NA</v>
          </cell>
        </row>
        <row r="11">
          <cell r="B11" t="str">
            <v>NA</v>
          </cell>
          <cell r="C11" t="str">
            <v>NA</v>
          </cell>
          <cell r="D11" t="str">
            <v>NA</v>
          </cell>
          <cell r="E11" t="str">
            <v>NA</v>
          </cell>
          <cell r="F11" t="str">
            <v>NA</v>
          </cell>
          <cell r="G11" t="str">
            <v>NA</v>
          </cell>
        </row>
        <row r="12">
          <cell r="B12" t="str">
            <v>NA</v>
          </cell>
          <cell r="C12" t="str">
            <v>NA</v>
          </cell>
          <cell r="D12" t="str">
            <v>NA</v>
          </cell>
          <cell r="E12" t="str">
            <v>NA</v>
          </cell>
          <cell r="F12" t="str">
            <v>NA</v>
          </cell>
          <cell r="G12" t="str">
            <v>NA</v>
          </cell>
        </row>
        <row r="13">
          <cell r="B13" t="str">
            <v>NA</v>
          </cell>
          <cell r="C13" t="str">
            <v>NA</v>
          </cell>
          <cell r="D13" t="str">
            <v>NA</v>
          </cell>
          <cell r="E13" t="str">
            <v>NA</v>
          </cell>
          <cell r="F13" t="str">
            <v>NA</v>
          </cell>
          <cell r="G13" t="str">
            <v>NA</v>
          </cell>
        </row>
        <row r="14">
          <cell r="B14" t="str">
            <v>NA</v>
          </cell>
          <cell r="C14" t="str">
            <v>NA</v>
          </cell>
          <cell r="D14" t="str">
            <v>NA</v>
          </cell>
          <cell r="E14" t="str">
            <v>NA</v>
          </cell>
          <cell r="F14" t="str">
            <v>NA</v>
          </cell>
          <cell r="G14" t="str">
            <v>NA</v>
          </cell>
        </row>
        <row r="15">
          <cell r="B15" t="str">
            <v>NA</v>
          </cell>
          <cell r="C15" t="str">
            <v>NA</v>
          </cell>
          <cell r="D15" t="str">
            <v>NA</v>
          </cell>
          <cell r="E15" t="str">
            <v>NA</v>
          </cell>
          <cell r="F15" t="str">
            <v>NA</v>
          </cell>
          <cell r="G15" t="str">
            <v>NA</v>
          </cell>
        </row>
        <row r="16">
          <cell r="B16" t="str">
            <v>NA</v>
          </cell>
          <cell r="C16" t="str">
            <v>NA</v>
          </cell>
          <cell r="D16" t="str">
            <v>NA</v>
          </cell>
          <cell r="E16" t="str">
            <v>NA</v>
          </cell>
          <cell r="F16" t="str">
            <v>NA</v>
          </cell>
          <cell r="G16" t="str">
            <v>NA</v>
          </cell>
        </row>
        <row r="17">
          <cell r="B17" t="str">
            <v>NA</v>
          </cell>
          <cell r="C17" t="str">
            <v>NA</v>
          </cell>
          <cell r="D17" t="str">
            <v>NA</v>
          </cell>
          <cell r="E17" t="str">
            <v>NA</v>
          </cell>
          <cell r="F17" t="str">
            <v>NA</v>
          </cell>
          <cell r="G17" t="str">
            <v>NA</v>
          </cell>
        </row>
        <row r="18">
          <cell r="B18" t="str">
            <v>NA</v>
          </cell>
          <cell r="C18" t="str">
            <v>NA</v>
          </cell>
          <cell r="D18" t="str">
            <v>NA</v>
          </cell>
          <cell r="E18" t="str">
            <v>NA</v>
          </cell>
          <cell r="F18" t="str">
            <v>NA</v>
          </cell>
          <cell r="G18" t="str">
            <v>NA</v>
          </cell>
        </row>
        <row r="19">
          <cell r="B19" t="str">
            <v>NA</v>
          </cell>
          <cell r="C19" t="str">
            <v>NA</v>
          </cell>
          <cell r="D19" t="str">
            <v>NA</v>
          </cell>
          <cell r="E19" t="str">
            <v>NA</v>
          </cell>
          <cell r="F19" t="str">
            <v>NA</v>
          </cell>
          <cell r="G19" t="str">
            <v>NA</v>
          </cell>
        </row>
      </sheetData>
      <sheetData sheetId="34"/>
      <sheetData sheetId="35">
        <row r="1">
          <cell r="B1" t="str">
            <v>Admission No. (Roll No.)</v>
          </cell>
        </row>
        <row r="2">
          <cell r="B2">
            <v>2010990089</v>
          </cell>
        </row>
        <row r="3">
          <cell r="B3">
            <v>2010992002</v>
          </cell>
        </row>
        <row r="4">
          <cell r="B4">
            <v>2010992004</v>
          </cell>
        </row>
        <row r="5">
          <cell r="B5">
            <v>2010992005</v>
          </cell>
        </row>
        <row r="6">
          <cell r="B6">
            <v>2010992006</v>
          </cell>
        </row>
        <row r="7">
          <cell r="B7">
            <v>2010992008</v>
          </cell>
        </row>
        <row r="8">
          <cell r="B8">
            <v>2010992009</v>
          </cell>
        </row>
        <row r="9">
          <cell r="B9">
            <v>2010992010</v>
          </cell>
        </row>
        <row r="10">
          <cell r="B10">
            <v>2010992011</v>
          </cell>
        </row>
        <row r="11">
          <cell r="B11">
            <v>2010992012</v>
          </cell>
        </row>
        <row r="12">
          <cell r="B12">
            <v>2010992014</v>
          </cell>
        </row>
        <row r="13">
          <cell r="B13">
            <v>2010992015</v>
          </cell>
        </row>
        <row r="14">
          <cell r="B14">
            <v>2010992016</v>
          </cell>
        </row>
        <row r="15">
          <cell r="B15">
            <v>2010992017</v>
          </cell>
        </row>
        <row r="16">
          <cell r="B16">
            <v>2010992018</v>
          </cell>
        </row>
        <row r="17">
          <cell r="B17">
            <v>2010992019</v>
          </cell>
        </row>
        <row r="18">
          <cell r="B18">
            <v>2010992163</v>
          </cell>
        </row>
        <row r="19">
          <cell r="B19">
            <v>2010992202</v>
          </cell>
        </row>
      </sheetData>
      <sheetData sheetId="36"/>
      <sheetData sheetId="37"/>
      <sheetData sheetId="38"/>
      <sheetData sheetId="39">
        <row r="1">
          <cell r="A1" t="str">
            <v>CO1</v>
          </cell>
          <cell r="B1" t="str">
            <v>CO2</v>
          </cell>
          <cell r="C1" t="str">
            <v>CO3</v>
          </cell>
          <cell r="D1" t="str">
            <v>CO4</v>
          </cell>
          <cell r="E1" t="str">
            <v>CO5</v>
          </cell>
          <cell r="F1" t="str">
            <v>CO6</v>
          </cell>
        </row>
        <row r="2">
          <cell r="A2">
            <v>2010990089</v>
          </cell>
          <cell r="B2">
            <v>2010990089</v>
          </cell>
          <cell r="C2">
            <v>2010990089</v>
          </cell>
          <cell r="D2" t="str">
            <v>Not Found</v>
          </cell>
          <cell r="E2" t="str">
            <v>Not Found</v>
          </cell>
          <cell r="F2" t="str">
            <v>Not Found</v>
          </cell>
        </row>
        <row r="3">
          <cell r="A3">
            <v>2010992002</v>
          </cell>
          <cell r="B3">
            <v>2010992002</v>
          </cell>
          <cell r="C3">
            <v>2010992002</v>
          </cell>
        </row>
        <row r="4">
          <cell r="A4">
            <v>2010992004</v>
          </cell>
          <cell r="B4">
            <v>2010992004</v>
          </cell>
          <cell r="C4">
            <v>2010992004</v>
          </cell>
        </row>
        <row r="5">
          <cell r="A5">
            <v>2010992005</v>
          </cell>
          <cell r="B5">
            <v>2010992005</v>
          </cell>
          <cell r="C5">
            <v>2010992005</v>
          </cell>
        </row>
        <row r="6">
          <cell r="A6">
            <v>2010992006</v>
          </cell>
          <cell r="B6">
            <v>2010992006</v>
          </cell>
          <cell r="C6">
            <v>2010992006</v>
          </cell>
        </row>
        <row r="7">
          <cell r="A7">
            <v>2010992008</v>
          </cell>
          <cell r="B7">
            <v>2010992008</v>
          </cell>
          <cell r="C7">
            <v>2010992008</v>
          </cell>
        </row>
        <row r="8">
          <cell r="A8">
            <v>2010992009</v>
          </cell>
          <cell r="B8">
            <v>2010992009</v>
          </cell>
          <cell r="C8">
            <v>2010992009</v>
          </cell>
        </row>
        <row r="9">
          <cell r="A9">
            <v>2010992010</v>
          </cell>
          <cell r="B9">
            <v>2010992010</v>
          </cell>
          <cell r="C9">
            <v>2010992010</v>
          </cell>
        </row>
        <row r="10">
          <cell r="A10">
            <v>2010992011</v>
          </cell>
          <cell r="B10">
            <v>2010992011</v>
          </cell>
          <cell r="C10">
            <v>2010992011</v>
          </cell>
        </row>
        <row r="11">
          <cell r="A11">
            <v>2010992012</v>
          </cell>
          <cell r="B11">
            <v>2010992012</v>
          </cell>
          <cell r="C11">
            <v>2010992012</v>
          </cell>
        </row>
        <row r="12">
          <cell r="A12">
            <v>2010992014</v>
          </cell>
          <cell r="B12">
            <v>2010992014</v>
          </cell>
          <cell r="C12">
            <v>2010992014</v>
          </cell>
        </row>
        <row r="13">
          <cell r="A13">
            <v>2010992015</v>
          </cell>
          <cell r="B13">
            <v>2010992015</v>
          </cell>
          <cell r="C13">
            <v>2010992015</v>
          </cell>
        </row>
        <row r="14">
          <cell r="A14">
            <v>2010992016</v>
          </cell>
          <cell r="B14">
            <v>2010992016</v>
          </cell>
          <cell r="C14">
            <v>2010992016</v>
          </cell>
        </row>
        <row r="15">
          <cell r="A15">
            <v>2010992017</v>
          </cell>
          <cell r="B15">
            <v>2010992017</v>
          </cell>
          <cell r="C15">
            <v>2010992017</v>
          </cell>
        </row>
        <row r="16">
          <cell r="A16">
            <v>2010992018</v>
          </cell>
          <cell r="B16">
            <v>2010992018</v>
          </cell>
          <cell r="C16">
            <v>2010992018</v>
          </cell>
        </row>
        <row r="17">
          <cell r="A17">
            <v>2010992019</v>
          </cell>
          <cell r="B17">
            <v>2010992019</v>
          </cell>
          <cell r="C17">
            <v>2010992019</v>
          </cell>
        </row>
        <row r="18">
          <cell r="A18">
            <v>2010992163</v>
          </cell>
          <cell r="B18">
            <v>2010992163</v>
          </cell>
          <cell r="C18">
            <v>2010992163</v>
          </cell>
        </row>
        <row r="19">
          <cell r="A19">
            <v>2010992202</v>
          </cell>
          <cell r="B19">
            <v>2010992202</v>
          </cell>
          <cell r="C19">
            <v>2010992202</v>
          </cell>
        </row>
      </sheetData>
      <sheetData sheetId="40">
        <row r="1">
          <cell r="B1" t="str">
            <v>CO1</v>
          </cell>
          <cell r="C1" t="str">
            <v>CO2</v>
          </cell>
          <cell r="D1" t="str">
            <v>CO3</v>
          </cell>
          <cell r="E1" t="str">
            <v>CO4</v>
          </cell>
          <cell r="F1" t="str">
            <v>CO5</v>
          </cell>
          <cell r="G1" t="str">
            <v>CO6</v>
          </cell>
        </row>
        <row r="2">
          <cell r="B2">
            <v>60</v>
          </cell>
          <cell r="C2">
            <v>60</v>
          </cell>
          <cell r="D2">
            <v>60</v>
          </cell>
          <cell r="E2">
            <v>0</v>
          </cell>
          <cell r="F2">
            <v>0</v>
          </cell>
          <cell r="G2">
            <v>0</v>
          </cell>
        </row>
        <row r="3">
          <cell r="B3">
            <v>60</v>
          </cell>
          <cell r="C3">
            <v>60</v>
          </cell>
          <cell r="D3">
            <v>60</v>
          </cell>
          <cell r="E3">
            <v>0</v>
          </cell>
          <cell r="F3">
            <v>0</v>
          </cell>
          <cell r="G3">
            <v>0</v>
          </cell>
        </row>
        <row r="4">
          <cell r="B4">
            <v>60</v>
          </cell>
          <cell r="C4">
            <v>60</v>
          </cell>
          <cell r="D4">
            <v>60</v>
          </cell>
          <cell r="E4">
            <v>0</v>
          </cell>
          <cell r="F4">
            <v>0</v>
          </cell>
          <cell r="G4">
            <v>0</v>
          </cell>
        </row>
        <row r="5">
          <cell r="B5">
            <v>60</v>
          </cell>
          <cell r="C5">
            <v>60</v>
          </cell>
          <cell r="D5">
            <v>60</v>
          </cell>
          <cell r="E5">
            <v>0</v>
          </cell>
          <cell r="F5">
            <v>0</v>
          </cell>
          <cell r="G5">
            <v>0</v>
          </cell>
        </row>
        <row r="6">
          <cell r="B6">
            <v>60</v>
          </cell>
          <cell r="C6">
            <v>60</v>
          </cell>
          <cell r="D6">
            <v>60</v>
          </cell>
          <cell r="E6">
            <v>0</v>
          </cell>
          <cell r="F6">
            <v>0</v>
          </cell>
          <cell r="G6">
            <v>0</v>
          </cell>
        </row>
        <row r="7">
          <cell r="B7">
            <v>60</v>
          </cell>
          <cell r="C7">
            <v>60</v>
          </cell>
          <cell r="D7">
            <v>60</v>
          </cell>
          <cell r="E7">
            <v>0</v>
          </cell>
          <cell r="F7">
            <v>0</v>
          </cell>
          <cell r="G7">
            <v>0</v>
          </cell>
        </row>
        <row r="8">
          <cell r="B8">
            <v>60</v>
          </cell>
          <cell r="C8">
            <v>60</v>
          </cell>
          <cell r="D8">
            <v>60</v>
          </cell>
          <cell r="E8">
            <v>0</v>
          </cell>
          <cell r="F8">
            <v>0</v>
          </cell>
          <cell r="G8">
            <v>0</v>
          </cell>
        </row>
        <row r="9">
          <cell r="B9">
            <v>60</v>
          </cell>
          <cell r="C9">
            <v>60</v>
          </cell>
          <cell r="D9">
            <v>60</v>
          </cell>
          <cell r="E9">
            <v>0</v>
          </cell>
          <cell r="F9">
            <v>0</v>
          </cell>
          <cell r="G9">
            <v>0</v>
          </cell>
        </row>
        <row r="10">
          <cell r="B10">
            <v>60</v>
          </cell>
          <cell r="C10">
            <v>60</v>
          </cell>
          <cell r="D10">
            <v>60</v>
          </cell>
          <cell r="E10">
            <v>0</v>
          </cell>
          <cell r="F10">
            <v>0</v>
          </cell>
          <cell r="G10">
            <v>0</v>
          </cell>
        </row>
        <row r="11">
          <cell r="B11">
            <v>60</v>
          </cell>
          <cell r="C11">
            <v>60</v>
          </cell>
          <cell r="D11">
            <v>60</v>
          </cell>
          <cell r="E11">
            <v>0</v>
          </cell>
          <cell r="F11">
            <v>0</v>
          </cell>
          <cell r="G11">
            <v>0</v>
          </cell>
        </row>
        <row r="12">
          <cell r="B12">
            <v>60</v>
          </cell>
          <cell r="C12">
            <v>60</v>
          </cell>
          <cell r="D12">
            <v>60</v>
          </cell>
          <cell r="E12">
            <v>0</v>
          </cell>
          <cell r="F12">
            <v>0</v>
          </cell>
          <cell r="G12">
            <v>0</v>
          </cell>
        </row>
        <row r="13">
          <cell r="B13">
            <v>60</v>
          </cell>
          <cell r="C13">
            <v>60</v>
          </cell>
          <cell r="D13">
            <v>60</v>
          </cell>
          <cell r="E13">
            <v>0</v>
          </cell>
          <cell r="F13">
            <v>0</v>
          </cell>
          <cell r="G13">
            <v>0</v>
          </cell>
        </row>
        <row r="14">
          <cell r="B14">
            <v>60</v>
          </cell>
          <cell r="C14">
            <v>60</v>
          </cell>
          <cell r="D14">
            <v>60</v>
          </cell>
          <cell r="E14">
            <v>0</v>
          </cell>
          <cell r="F14">
            <v>0</v>
          </cell>
          <cell r="G14">
            <v>0</v>
          </cell>
        </row>
        <row r="15">
          <cell r="B15">
            <v>60</v>
          </cell>
          <cell r="C15">
            <v>60</v>
          </cell>
          <cell r="D15">
            <v>60</v>
          </cell>
          <cell r="E15">
            <v>0</v>
          </cell>
          <cell r="F15">
            <v>0</v>
          </cell>
          <cell r="G15">
            <v>0</v>
          </cell>
        </row>
        <row r="16">
          <cell r="B16">
            <v>60</v>
          </cell>
          <cell r="C16">
            <v>60</v>
          </cell>
          <cell r="D16">
            <v>60</v>
          </cell>
          <cell r="E16">
            <v>0</v>
          </cell>
          <cell r="F16">
            <v>0</v>
          </cell>
          <cell r="G16">
            <v>0</v>
          </cell>
        </row>
        <row r="17">
          <cell r="B17">
            <v>60</v>
          </cell>
          <cell r="C17">
            <v>60</v>
          </cell>
          <cell r="D17">
            <v>60</v>
          </cell>
          <cell r="E17">
            <v>0</v>
          </cell>
          <cell r="F17">
            <v>0</v>
          </cell>
          <cell r="G17">
            <v>0</v>
          </cell>
        </row>
        <row r="18">
          <cell r="B18">
            <v>60</v>
          </cell>
          <cell r="C18">
            <v>60</v>
          </cell>
          <cell r="D18">
            <v>60</v>
          </cell>
          <cell r="E18">
            <v>0</v>
          </cell>
          <cell r="F18">
            <v>0</v>
          </cell>
          <cell r="G18">
            <v>0</v>
          </cell>
        </row>
        <row r="19">
          <cell r="B19">
            <v>60</v>
          </cell>
          <cell r="C19">
            <v>60</v>
          </cell>
          <cell r="D19">
            <v>60</v>
          </cell>
          <cell r="E19">
            <v>0</v>
          </cell>
          <cell r="F19">
            <v>0</v>
          </cell>
          <cell r="G19">
            <v>0</v>
          </cell>
        </row>
      </sheetData>
      <sheetData sheetId="41">
        <row r="1">
          <cell r="B1" t="str">
            <v>CO1</v>
          </cell>
          <cell r="C1" t="str">
            <v>CO2</v>
          </cell>
          <cell r="D1" t="str">
            <v>CO3</v>
          </cell>
          <cell r="E1" t="str">
            <v>CO4</v>
          </cell>
          <cell r="F1" t="str">
            <v>CO5</v>
          </cell>
          <cell r="G1" t="str">
            <v>CO6</v>
          </cell>
        </row>
        <row r="2">
          <cell r="B2">
            <v>45</v>
          </cell>
          <cell r="C2">
            <v>45</v>
          </cell>
          <cell r="D2">
            <v>45</v>
          </cell>
          <cell r="E2">
            <v>0</v>
          </cell>
          <cell r="F2">
            <v>0</v>
          </cell>
          <cell r="G2">
            <v>0</v>
          </cell>
        </row>
        <row r="3">
          <cell r="B3">
            <v>47</v>
          </cell>
          <cell r="C3">
            <v>47</v>
          </cell>
          <cell r="D3">
            <v>47</v>
          </cell>
          <cell r="E3">
            <v>0</v>
          </cell>
          <cell r="F3">
            <v>0</v>
          </cell>
          <cell r="G3">
            <v>0</v>
          </cell>
        </row>
        <row r="4">
          <cell r="B4">
            <v>46</v>
          </cell>
          <cell r="C4">
            <v>46</v>
          </cell>
          <cell r="D4">
            <v>46</v>
          </cell>
          <cell r="E4">
            <v>0</v>
          </cell>
          <cell r="F4">
            <v>0</v>
          </cell>
          <cell r="G4">
            <v>0</v>
          </cell>
        </row>
        <row r="5">
          <cell r="B5">
            <v>43</v>
          </cell>
          <cell r="C5">
            <v>43</v>
          </cell>
          <cell r="D5">
            <v>43</v>
          </cell>
          <cell r="E5">
            <v>0</v>
          </cell>
          <cell r="F5">
            <v>0</v>
          </cell>
          <cell r="G5">
            <v>0</v>
          </cell>
        </row>
        <row r="6">
          <cell r="B6">
            <v>48</v>
          </cell>
          <cell r="C6">
            <v>48</v>
          </cell>
          <cell r="D6">
            <v>48</v>
          </cell>
          <cell r="E6">
            <v>0</v>
          </cell>
          <cell r="F6">
            <v>0</v>
          </cell>
          <cell r="G6">
            <v>0</v>
          </cell>
        </row>
        <row r="7">
          <cell r="B7">
            <v>48</v>
          </cell>
          <cell r="C7">
            <v>48</v>
          </cell>
          <cell r="D7">
            <v>48</v>
          </cell>
          <cell r="E7">
            <v>0</v>
          </cell>
          <cell r="F7">
            <v>0</v>
          </cell>
          <cell r="G7">
            <v>0</v>
          </cell>
        </row>
        <row r="8">
          <cell r="B8">
            <v>50</v>
          </cell>
          <cell r="C8">
            <v>50</v>
          </cell>
          <cell r="D8">
            <v>50</v>
          </cell>
          <cell r="E8">
            <v>0</v>
          </cell>
          <cell r="F8">
            <v>0</v>
          </cell>
          <cell r="G8">
            <v>0</v>
          </cell>
        </row>
        <row r="9">
          <cell r="B9">
            <v>48</v>
          </cell>
          <cell r="C9">
            <v>48</v>
          </cell>
          <cell r="D9">
            <v>48</v>
          </cell>
          <cell r="E9">
            <v>0</v>
          </cell>
          <cell r="F9">
            <v>0</v>
          </cell>
          <cell r="G9">
            <v>0</v>
          </cell>
        </row>
        <row r="10">
          <cell r="B10">
            <v>46</v>
          </cell>
          <cell r="C10">
            <v>46</v>
          </cell>
          <cell r="D10">
            <v>46</v>
          </cell>
          <cell r="E10">
            <v>0</v>
          </cell>
          <cell r="F10">
            <v>0</v>
          </cell>
          <cell r="G10">
            <v>0</v>
          </cell>
        </row>
        <row r="11">
          <cell r="B11">
            <v>41</v>
          </cell>
          <cell r="C11">
            <v>41</v>
          </cell>
          <cell r="D11">
            <v>41</v>
          </cell>
          <cell r="E11">
            <v>0</v>
          </cell>
          <cell r="F11">
            <v>0</v>
          </cell>
          <cell r="G11">
            <v>0</v>
          </cell>
        </row>
        <row r="12">
          <cell r="B12">
            <v>48</v>
          </cell>
          <cell r="C12">
            <v>48</v>
          </cell>
          <cell r="D12">
            <v>48</v>
          </cell>
          <cell r="E12">
            <v>0</v>
          </cell>
          <cell r="F12">
            <v>0</v>
          </cell>
          <cell r="G12">
            <v>0</v>
          </cell>
        </row>
        <row r="13">
          <cell r="B13">
            <v>38</v>
          </cell>
          <cell r="C13">
            <v>38</v>
          </cell>
          <cell r="D13">
            <v>38</v>
          </cell>
          <cell r="E13">
            <v>0</v>
          </cell>
          <cell r="F13">
            <v>0</v>
          </cell>
          <cell r="G13">
            <v>0</v>
          </cell>
        </row>
        <row r="14">
          <cell r="B14">
            <v>50</v>
          </cell>
          <cell r="C14">
            <v>50</v>
          </cell>
          <cell r="D14">
            <v>50</v>
          </cell>
          <cell r="E14">
            <v>0</v>
          </cell>
          <cell r="F14">
            <v>0</v>
          </cell>
          <cell r="G14">
            <v>0</v>
          </cell>
        </row>
        <row r="15">
          <cell r="B15">
            <v>50</v>
          </cell>
          <cell r="C15">
            <v>50</v>
          </cell>
          <cell r="D15">
            <v>50</v>
          </cell>
          <cell r="E15">
            <v>0</v>
          </cell>
          <cell r="F15">
            <v>0</v>
          </cell>
          <cell r="G15">
            <v>0</v>
          </cell>
        </row>
        <row r="16">
          <cell r="B16">
            <v>51</v>
          </cell>
          <cell r="C16">
            <v>51</v>
          </cell>
          <cell r="D16">
            <v>51</v>
          </cell>
          <cell r="E16">
            <v>0</v>
          </cell>
          <cell r="F16">
            <v>0</v>
          </cell>
          <cell r="G16">
            <v>0</v>
          </cell>
        </row>
        <row r="17">
          <cell r="B17">
            <v>50</v>
          </cell>
          <cell r="C17">
            <v>50</v>
          </cell>
          <cell r="D17">
            <v>50</v>
          </cell>
          <cell r="E17">
            <v>0</v>
          </cell>
          <cell r="F17">
            <v>0</v>
          </cell>
          <cell r="G17">
            <v>0</v>
          </cell>
        </row>
        <row r="18">
          <cell r="B18">
            <v>41</v>
          </cell>
          <cell r="C18">
            <v>41</v>
          </cell>
          <cell r="D18">
            <v>41</v>
          </cell>
          <cell r="E18">
            <v>0</v>
          </cell>
          <cell r="F18">
            <v>0</v>
          </cell>
          <cell r="G18">
            <v>0</v>
          </cell>
        </row>
        <row r="19">
          <cell r="B19">
            <v>47</v>
          </cell>
          <cell r="C19">
            <v>47</v>
          </cell>
          <cell r="D19">
            <v>47</v>
          </cell>
          <cell r="E19">
            <v>0</v>
          </cell>
          <cell r="F19">
            <v>0</v>
          </cell>
          <cell r="G19">
            <v>0</v>
          </cell>
        </row>
      </sheetData>
      <sheetData sheetId="42">
        <row r="1">
          <cell r="B1" t="str">
            <v>CO1</v>
          </cell>
          <cell r="C1" t="str">
            <v>CO2</v>
          </cell>
          <cell r="D1" t="str">
            <v>CO3</v>
          </cell>
          <cell r="E1" t="str">
            <v>CO4</v>
          </cell>
          <cell r="F1" t="str">
            <v>CO5</v>
          </cell>
          <cell r="G1" t="str">
            <v>CO6</v>
          </cell>
        </row>
        <row r="2">
          <cell r="B2">
            <v>75</v>
          </cell>
          <cell r="C2">
            <v>75</v>
          </cell>
          <cell r="D2">
            <v>75</v>
          </cell>
          <cell r="E2" t="str">
            <v>CO questions Not Attempted</v>
          </cell>
          <cell r="F2" t="str">
            <v>CO questions Not Attempted</v>
          </cell>
          <cell r="G2" t="str">
            <v>CO questions Not Attempted</v>
          </cell>
        </row>
        <row r="3">
          <cell r="B3">
            <v>78.333333333333329</v>
          </cell>
          <cell r="C3">
            <v>78.333333333333329</v>
          </cell>
          <cell r="D3">
            <v>78.333333333333329</v>
          </cell>
          <cell r="E3" t="str">
            <v>CO questions Not Attempted</v>
          </cell>
          <cell r="F3" t="str">
            <v>CO questions Not Attempted</v>
          </cell>
          <cell r="G3" t="str">
            <v>CO questions Not Attempted</v>
          </cell>
        </row>
        <row r="4">
          <cell r="B4">
            <v>76.666666666666671</v>
          </cell>
          <cell r="C4">
            <v>76.666666666666671</v>
          </cell>
          <cell r="D4">
            <v>76.666666666666671</v>
          </cell>
          <cell r="E4" t="str">
            <v>CO questions Not Attempted</v>
          </cell>
          <cell r="F4" t="str">
            <v>CO questions Not Attempted</v>
          </cell>
          <cell r="G4" t="str">
            <v>CO questions Not Attempted</v>
          </cell>
        </row>
        <row r="5">
          <cell r="B5">
            <v>71.666666666666671</v>
          </cell>
          <cell r="C5">
            <v>71.666666666666671</v>
          </cell>
          <cell r="D5">
            <v>71.666666666666671</v>
          </cell>
          <cell r="E5" t="str">
            <v>CO questions Not Attempted</v>
          </cell>
          <cell r="F5" t="str">
            <v>CO questions Not Attempted</v>
          </cell>
          <cell r="G5" t="str">
            <v>CO questions Not Attempted</v>
          </cell>
        </row>
        <row r="6">
          <cell r="B6">
            <v>80</v>
          </cell>
          <cell r="C6">
            <v>80</v>
          </cell>
          <cell r="D6">
            <v>80</v>
          </cell>
          <cell r="E6" t="str">
            <v>CO questions Not Attempted</v>
          </cell>
          <cell r="F6" t="str">
            <v>CO questions Not Attempted</v>
          </cell>
          <cell r="G6" t="str">
            <v>CO questions Not Attempted</v>
          </cell>
        </row>
        <row r="7">
          <cell r="B7">
            <v>80</v>
          </cell>
          <cell r="C7">
            <v>80</v>
          </cell>
          <cell r="D7">
            <v>80</v>
          </cell>
          <cell r="E7" t="str">
            <v>CO questions Not Attempted</v>
          </cell>
          <cell r="F7" t="str">
            <v>CO questions Not Attempted</v>
          </cell>
          <cell r="G7" t="str">
            <v>CO questions Not Attempted</v>
          </cell>
        </row>
        <row r="8">
          <cell r="B8">
            <v>83.333333333333343</v>
          </cell>
          <cell r="C8">
            <v>83.333333333333343</v>
          </cell>
          <cell r="D8">
            <v>83.333333333333343</v>
          </cell>
          <cell r="E8" t="str">
            <v>CO questions Not Attempted</v>
          </cell>
          <cell r="F8" t="str">
            <v>CO questions Not Attempted</v>
          </cell>
          <cell r="G8" t="str">
            <v>CO questions Not Attempted</v>
          </cell>
        </row>
        <row r="9">
          <cell r="B9">
            <v>80</v>
          </cell>
          <cell r="C9">
            <v>80</v>
          </cell>
          <cell r="D9">
            <v>80</v>
          </cell>
          <cell r="E9" t="str">
            <v>CO questions Not Attempted</v>
          </cell>
          <cell r="F9" t="str">
            <v>CO questions Not Attempted</v>
          </cell>
          <cell r="G9" t="str">
            <v>CO questions Not Attempted</v>
          </cell>
        </row>
        <row r="10">
          <cell r="B10">
            <v>76.666666666666671</v>
          </cell>
          <cell r="C10">
            <v>76.666666666666671</v>
          </cell>
          <cell r="D10">
            <v>76.666666666666671</v>
          </cell>
          <cell r="E10" t="str">
            <v>CO questions Not Attempted</v>
          </cell>
          <cell r="F10" t="str">
            <v>CO questions Not Attempted</v>
          </cell>
          <cell r="G10" t="str">
            <v>CO questions Not Attempted</v>
          </cell>
        </row>
        <row r="11">
          <cell r="B11">
            <v>68.333333333333329</v>
          </cell>
          <cell r="C11">
            <v>68.333333333333329</v>
          </cell>
          <cell r="D11">
            <v>68.333333333333329</v>
          </cell>
          <cell r="E11" t="str">
            <v>CO questions Not Attempted</v>
          </cell>
          <cell r="F11" t="str">
            <v>CO questions Not Attempted</v>
          </cell>
          <cell r="G11" t="str">
            <v>CO questions Not Attempted</v>
          </cell>
        </row>
        <row r="12">
          <cell r="B12">
            <v>80</v>
          </cell>
          <cell r="C12">
            <v>80</v>
          </cell>
          <cell r="D12">
            <v>80</v>
          </cell>
          <cell r="E12" t="str">
            <v>CO questions Not Attempted</v>
          </cell>
          <cell r="F12" t="str">
            <v>CO questions Not Attempted</v>
          </cell>
          <cell r="G12" t="str">
            <v>CO questions Not Attempted</v>
          </cell>
        </row>
        <row r="13">
          <cell r="B13">
            <v>63.333333333333329</v>
          </cell>
          <cell r="C13">
            <v>63.333333333333329</v>
          </cell>
          <cell r="D13">
            <v>63.333333333333329</v>
          </cell>
          <cell r="E13" t="str">
            <v>CO questions Not Attempted</v>
          </cell>
          <cell r="F13" t="str">
            <v>CO questions Not Attempted</v>
          </cell>
          <cell r="G13" t="str">
            <v>CO questions Not Attempted</v>
          </cell>
        </row>
        <row r="14">
          <cell r="B14">
            <v>83.333333333333343</v>
          </cell>
          <cell r="C14">
            <v>83.333333333333343</v>
          </cell>
          <cell r="D14">
            <v>83.333333333333343</v>
          </cell>
          <cell r="E14" t="str">
            <v>CO questions Not Attempted</v>
          </cell>
          <cell r="F14" t="str">
            <v>CO questions Not Attempted</v>
          </cell>
          <cell r="G14" t="str">
            <v>CO questions Not Attempted</v>
          </cell>
        </row>
        <row r="15">
          <cell r="B15">
            <v>83.333333333333343</v>
          </cell>
          <cell r="C15">
            <v>83.333333333333343</v>
          </cell>
          <cell r="D15">
            <v>83.333333333333343</v>
          </cell>
          <cell r="E15" t="str">
            <v>CO questions Not Attempted</v>
          </cell>
          <cell r="F15" t="str">
            <v>CO questions Not Attempted</v>
          </cell>
          <cell r="G15" t="str">
            <v>CO questions Not Attempted</v>
          </cell>
        </row>
        <row r="16">
          <cell r="B16">
            <v>85</v>
          </cell>
          <cell r="C16">
            <v>85</v>
          </cell>
          <cell r="D16">
            <v>85</v>
          </cell>
          <cell r="E16" t="str">
            <v>CO questions Not Attempted</v>
          </cell>
          <cell r="F16" t="str">
            <v>CO questions Not Attempted</v>
          </cell>
          <cell r="G16" t="str">
            <v>CO questions Not Attempted</v>
          </cell>
        </row>
        <row r="17">
          <cell r="B17">
            <v>83.333333333333343</v>
          </cell>
          <cell r="C17">
            <v>83.333333333333343</v>
          </cell>
          <cell r="D17">
            <v>83.333333333333343</v>
          </cell>
          <cell r="E17" t="str">
            <v>CO questions Not Attempted</v>
          </cell>
          <cell r="F17" t="str">
            <v>CO questions Not Attempted</v>
          </cell>
          <cell r="G17" t="str">
            <v>CO questions Not Attempted</v>
          </cell>
        </row>
        <row r="18">
          <cell r="B18">
            <v>68.333333333333329</v>
          </cell>
          <cell r="C18">
            <v>68.333333333333329</v>
          </cell>
          <cell r="D18">
            <v>68.333333333333329</v>
          </cell>
          <cell r="E18" t="str">
            <v>CO questions Not Attempted</v>
          </cell>
          <cell r="F18" t="str">
            <v>CO questions Not Attempted</v>
          </cell>
          <cell r="G18" t="str">
            <v>CO questions Not Attempted</v>
          </cell>
        </row>
        <row r="19">
          <cell r="B19">
            <v>78.333333333333329</v>
          </cell>
          <cell r="C19">
            <v>78.333333333333329</v>
          </cell>
          <cell r="D19">
            <v>78.333333333333329</v>
          </cell>
          <cell r="E19" t="str">
            <v>CO questions Not Attempted</v>
          </cell>
          <cell r="F19" t="str">
            <v>CO questions Not Attempted</v>
          </cell>
          <cell r="G19" t="str">
            <v>CO questions Not Attempted</v>
          </cell>
        </row>
      </sheetData>
      <sheetData sheetId="43">
        <row r="1">
          <cell r="B1" t="str">
            <v>CO1</v>
          </cell>
          <cell r="C1" t="str">
            <v>CO2</v>
          </cell>
          <cell r="D1" t="str">
            <v>CO3</v>
          </cell>
          <cell r="E1" t="str">
            <v>CO4</v>
          </cell>
          <cell r="F1" t="str">
            <v>CO5</v>
          </cell>
          <cell r="G1" t="str">
            <v>CO6</v>
          </cell>
        </row>
        <row r="2">
          <cell r="B2">
            <v>3</v>
          </cell>
          <cell r="C2">
            <v>3</v>
          </cell>
          <cell r="D2">
            <v>3</v>
          </cell>
          <cell r="E2">
            <v>3</v>
          </cell>
          <cell r="F2">
            <v>3</v>
          </cell>
          <cell r="G2">
            <v>3</v>
          </cell>
        </row>
        <row r="3">
          <cell r="B3">
            <v>3</v>
          </cell>
          <cell r="C3">
            <v>3</v>
          </cell>
          <cell r="D3">
            <v>3</v>
          </cell>
          <cell r="E3">
            <v>3</v>
          </cell>
          <cell r="F3">
            <v>3</v>
          </cell>
          <cell r="G3">
            <v>3</v>
          </cell>
        </row>
        <row r="4">
          <cell r="B4">
            <v>3</v>
          </cell>
          <cell r="C4">
            <v>3</v>
          </cell>
          <cell r="D4">
            <v>3</v>
          </cell>
          <cell r="E4">
            <v>3</v>
          </cell>
          <cell r="F4">
            <v>3</v>
          </cell>
          <cell r="G4">
            <v>3</v>
          </cell>
        </row>
        <row r="5">
          <cell r="B5">
            <v>3</v>
          </cell>
          <cell r="C5">
            <v>3</v>
          </cell>
          <cell r="D5">
            <v>3</v>
          </cell>
          <cell r="E5">
            <v>3</v>
          </cell>
          <cell r="F5">
            <v>3</v>
          </cell>
          <cell r="G5">
            <v>3</v>
          </cell>
        </row>
        <row r="6">
          <cell r="B6">
            <v>3</v>
          </cell>
          <cell r="C6">
            <v>3</v>
          </cell>
          <cell r="D6">
            <v>3</v>
          </cell>
          <cell r="E6">
            <v>3</v>
          </cell>
          <cell r="F6">
            <v>3</v>
          </cell>
          <cell r="G6">
            <v>3</v>
          </cell>
        </row>
        <row r="7">
          <cell r="B7">
            <v>3</v>
          </cell>
          <cell r="C7">
            <v>3</v>
          </cell>
          <cell r="D7">
            <v>3</v>
          </cell>
          <cell r="E7">
            <v>3</v>
          </cell>
          <cell r="F7">
            <v>3</v>
          </cell>
          <cell r="G7">
            <v>3</v>
          </cell>
        </row>
        <row r="8">
          <cell r="B8">
            <v>3</v>
          </cell>
          <cell r="C8">
            <v>3</v>
          </cell>
          <cell r="D8">
            <v>3</v>
          </cell>
          <cell r="E8">
            <v>3</v>
          </cell>
          <cell r="F8">
            <v>3</v>
          </cell>
          <cell r="G8">
            <v>3</v>
          </cell>
        </row>
        <row r="9">
          <cell r="B9">
            <v>3</v>
          </cell>
          <cell r="C9">
            <v>3</v>
          </cell>
          <cell r="D9">
            <v>3</v>
          </cell>
          <cell r="E9">
            <v>3</v>
          </cell>
          <cell r="F9">
            <v>3</v>
          </cell>
          <cell r="G9">
            <v>3</v>
          </cell>
        </row>
        <row r="10">
          <cell r="B10">
            <v>3</v>
          </cell>
          <cell r="C10">
            <v>3</v>
          </cell>
          <cell r="D10">
            <v>3</v>
          </cell>
          <cell r="E10">
            <v>3</v>
          </cell>
          <cell r="F10">
            <v>3</v>
          </cell>
          <cell r="G10">
            <v>3</v>
          </cell>
        </row>
        <row r="11">
          <cell r="B11">
            <v>3</v>
          </cell>
          <cell r="C11">
            <v>3</v>
          </cell>
          <cell r="D11">
            <v>3</v>
          </cell>
          <cell r="E11">
            <v>3</v>
          </cell>
          <cell r="F11">
            <v>3</v>
          </cell>
          <cell r="G11">
            <v>3</v>
          </cell>
        </row>
        <row r="12">
          <cell r="B12">
            <v>3</v>
          </cell>
          <cell r="C12">
            <v>3</v>
          </cell>
          <cell r="D12">
            <v>3</v>
          </cell>
          <cell r="E12">
            <v>3</v>
          </cell>
          <cell r="F12">
            <v>3</v>
          </cell>
          <cell r="G12">
            <v>3</v>
          </cell>
        </row>
        <row r="13">
          <cell r="B13">
            <v>3</v>
          </cell>
          <cell r="C13">
            <v>3</v>
          </cell>
          <cell r="D13">
            <v>3</v>
          </cell>
          <cell r="E13">
            <v>3</v>
          </cell>
          <cell r="F13">
            <v>3</v>
          </cell>
          <cell r="G13">
            <v>3</v>
          </cell>
        </row>
        <row r="14">
          <cell r="B14">
            <v>3</v>
          </cell>
          <cell r="C14">
            <v>3</v>
          </cell>
          <cell r="D14">
            <v>3</v>
          </cell>
          <cell r="E14">
            <v>3</v>
          </cell>
          <cell r="F14">
            <v>3</v>
          </cell>
          <cell r="G14">
            <v>3</v>
          </cell>
        </row>
        <row r="15">
          <cell r="B15">
            <v>3</v>
          </cell>
          <cell r="C15">
            <v>3</v>
          </cell>
          <cell r="D15">
            <v>3</v>
          </cell>
          <cell r="E15">
            <v>3</v>
          </cell>
          <cell r="F15">
            <v>3</v>
          </cell>
          <cell r="G15">
            <v>3</v>
          </cell>
        </row>
        <row r="16">
          <cell r="B16">
            <v>3</v>
          </cell>
          <cell r="C16">
            <v>3</v>
          </cell>
          <cell r="D16">
            <v>3</v>
          </cell>
          <cell r="E16">
            <v>3</v>
          </cell>
          <cell r="F16">
            <v>3</v>
          </cell>
          <cell r="G16">
            <v>3</v>
          </cell>
        </row>
        <row r="17">
          <cell r="B17">
            <v>3</v>
          </cell>
          <cell r="C17">
            <v>3</v>
          </cell>
          <cell r="D17">
            <v>3</v>
          </cell>
          <cell r="E17">
            <v>3</v>
          </cell>
          <cell r="F17">
            <v>3</v>
          </cell>
          <cell r="G17">
            <v>3</v>
          </cell>
        </row>
        <row r="18">
          <cell r="B18">
            <v>3</v>
          </cell>
          <cell r="C18">
            <v>3</v>
          </cell>
          <cell r="D18">
            <v>3</v>
          </cell>
          <cell r="E18">
            <v>3</v>
          </cell>
          <cell r="F18">
            <v>3</v>
          </cell>
          <cell r="G18">
            <v>3</v>
          </cell>
        </row>
        <row r="19">
          <cell r="B19">
            <v>3</v>
          </cell>
          <cell r="C19">
            <v>3</v>
          </cell>
          <cell r="D19">
            <v>3</v>
          </cell>
          <cell r="E19">
            <v>3</v>
          </cell>
          <cell r="F19">
            <v>3</v>
          </cell>
          <cell r="G19">
            <v>3</v>
          </cell>
        </row>
      </sheetData>
      <sheetData sheetId="44">
        <row r="1">
          <cell r="B1" t="str">
            <v>CO1</v>
          </cell>
          <cell r="C1" t="str">
            <v>CO2</v>
          </cell>
          <cell r="D1" t="str">
            <v>CO3</v>
          </cell>
          <cell r="E1" t="str">
            <v>CO4</v>
          </cell>
          <cell r="F1" t="str">
            <v>CO5</v>
          </cell>
          <cell r="G1" t="str">
            <v>CO6</v>
          </cell>
        </row>
        <row r="2">
          <cell r="B2" t="str">
            <v>Y</v>
          </cell>
          <cell r="C2" t="str">
            <v>Y</v>
          </cell>
          <cell r="D2" t="str">
            <v>Y</v>
          </cell>
          <cell r="E2" t="str">
            <v>Y</v>
          </cell>
          <cell r="F2" t="str">
            <v>Y</v>
          </cell>
          <cell r="G2" t="str">
            <v>Y</v>
          </cell>
        </row>
        <row r="3">
          <cell r="B3" t="str">
            <v>Y</v>
          </cell>
          <cell r="C3" t="str">
            <v>Y</v>
          </cell>
          <cell r="D3" t="str">
            <v>Y</v>
          </cell>
          <cell r="E3" t="str">
            <v>Y</v>
          </cell>
          <cell r="F3" t="str">
            <v>Y</v>
          </cell>
          <cell r="G3" t="str">
            <v>Y</v>
          </cell>
        </row>
        <row r="4">
          <cell r="B4" t="str">
            <v>Y</v>
          </cell>
          <cell r="C4" t="str">
            <v>Y</v>
          </cell>
          <cell r="D4" t="str">
            <v>Y</v>
          </cell>
          <cell r="E4" t="str">
            <v>Y</v>
          </cell>
          <cell r="F4" t="str">
            <v>Y</v>
          </cell>
          <cell r="G4" t="str">
            <v>Y</v>
          </cell>
        </row>
        <row r="5">
          <cell r="B5" t="str">
            <v>Y</v>
          </cell>
          <cell r="C5" t="str">
            <v>Y</v>
          </cell>
          <cell r="D5" t="str">
            <v>Y</v>
          </cell>
          <cell r="E5" t="str">
            <v>Y</v>
          </cell>
          <cell r="F5" t="str">
            <v>Y</v>
          </cell>
          <cell r="G5" t="str">
            <v>Y</v>
          </cell>
        </row>
        <row r="6">
          <cell r="B6" t="str">
            <v>Y</v>
          </cell>
          <cell r="C6" t="str">
            <v>Y</v>
          </cell>
          <cell r="D6" t="str">
            <v>Y</v>
          </cell>
          <cell r="E6" t="str">
            <v>Y</v>
          </cell>
          <cell r="F6" t="str">
            <v>Y</v>
          </cell>
          <cell r="G6" t="str">
            <v>Y</v>
          </cell>
        </row>
        <row r="7">
          <cell r="B7" t="str">
            <v>Y</v>
          </cell>
          <cell r="C7" t="str">
            <v>Y</v>
          </cell>
          <cell r="D7" t="str">
            <v>Y</v>
          </cell>
          <cell r="E7" t="str">
            <v>Y</v>
          </cell>
          <cell r="F7" t="str">
            <v>Y</v>
          </cell>
          <cell r="G7" t="str">
            <v>Y</v>
          </cell>
        </row>
        <row r="8">
          <cell r="B8" t="str">
            <v>Y</v>
          </cell>
          <cell r="C8" t="str">
            <v>Y</v>
          </cell>
          <cell r="D8" t="str">
            <v>Y</v>
          </cell>
          <cell r="E8" t="str">
            <v>Y</v>
          </cell>
          <cell r="F8" t="str">
            <v>Y</v>
          </cell>
          <cell r="G8" t="str">
            <v>Y</v>
          </cell>
        </row>
        <row r="9">
          <cell r="B9" t="str">
            <v>Y</v>
          </cell>
          <cell r="C9" t="str">
            <v>Y</v>
          </cell>
          <cell r="D9" t="str">
            <v>Y</v>
          </cell>
          <cell r="E9" t="str">
            <v>Y</v>
          </cell>
          <cell r="F9" t="str">
            <v>Y</v>
          </cell>
          <cell r="G9" t="str">
            <v>Y</v>
          </cell>
        </row>
        <row r="10">
          <cell r="B10" t="str">
            <v>Y</v>
          </cell>
          <cell r="C10" t="str">
            <v>Y</v>
          </cell>
          <cell r="D10" t="str">
            <v>Y</v>
          </cell>
          <cell r="E10" t="str">
            <v>Y</v>
          </cell>
          <cell r="F10" t="str">
            <v>Y</v>
          </cell>
          <cell r="G10" t="str">
            <v>Y</v>
          </cell>
        </row>
        <row r="11">
          <cell r="B11" t="str">
            <v>Y</v>
          </cell>
          <cell r="C11" t="str">
            <v>Y</v>
          </cell>
          <cell r="D11" t="str">
            <v>Y</v>
          </cell>
          <cell r="E11" t="str">
            <v>Y</v>
          </cell>
          <cell r="F11" t="str">
            <v>Y</v>
          </cell>
          <cell r="G11" t="str">
            <v>Y</v>
          </cell>
        </row>
        <row r="12">
          <cell r="B12" t="str">
            <v>Y</v>
          </cell>
          <cell r="C12" t="str">
            <v>Y</v>
          </cell>
          <cell r="D12" t="str">
            <v>Y</v>
          </cell>
          <cell r="E12" t="str">
            <v>Y</v>
          </cell>
          <cell r="F12" t="str">
            <v>Y</v>
          </cell>
          <cell r="G12" t="str">
            <v>Y</v>
          </cell>
        </row>
        <row r="13">
          <cell r="B13" t="str">
            <v>Y</v>
          </cell>
          <cell r="C13" t="str">
            <v>Y</v>
          </cell>
          <cell r="D13" t="str">
            <v>Y</v>
          </cell>
          <cell r="E13" t="str">
            <v>Y</v>
          </cell>
          <cell r="F13" t="str">
            <v>Y</v>
          </cell>
          <cell r="G13" t="str">
            <v>Y</v>
          </cell>
        </row>
        <row r="14">
          <cell r="B14" t="str">
            <v>Y</v>
          </cell>
          <cell r="C14" t="str">
            <v>Y</v>
          </cell>
          <cell r="D14" t="str">
            <v>Y</v>
          </cell>
          <cell r="E14" t="str">
            <v>Y</v>
          </cell>
          <cell r="F14" t="str">
            <v>Y</v>
          </cell>
          <cell r="G14" t="str">
            <v>Y</v>
          </cell>
        </row>
        <row r="15">
          <cell r="B15" t="str">
            <v>Y</v>
          </cell>
          <cell r="C15" t="str">
            <v>Y</v>
          </cell>
          <cell r="D15" t="str">
            <v>Y</v>
          </cell>
          <cell r="E15" t="str">
            <v>Y</v>
          </cell>
          <cell r="F15" t="str">
            <v>Y</v>
          </cell>
          <cell r="G15" t="str">
            <v>Y</v>
          </cell>
        </row>
        <row r="16">
          <cell r="B16" t="str">
            <v>Y</v>
          </cell>
          <cell r="C16" t="str">
            <v>Y</v>
          </cell>
          <cell r="D16" t="str">
            <v>Y</v>
          </cell>
          <cell r="E16" t="str">
            <v>Y</v>
          </cell>
          <cell r="F16" t="str">
            <v>Y</v>
          </cell>
          <cell r="G16" t="str">
            <v>Y</v>
          </cell>
        </row>
        <row r="17">
          <cell r="B17" t="str">
            <v>Y</v>
          </cell>
          <cell r="C17" t="str">
            <v>Y</v>
          </cell>
          <cell r="D17" t="str">
            <v>Y</v>
          </cell>
          <cell r="E17" t="str">
            <v>Y</v>
          </cell>
          <cell r="F17" t="str">
            <v>Y</v>
          </cell>
          <cell r="G17" t="str">
            <v>Y</v>
          </cell>
        </row>
        <row r="18">
          <cell r="B18" t="str">
            <v>Y</v>
          </cell>
          <cell r="C18" t="str">
            <v>Y</v>
          </cell>
          <cell r="D18" t="str">
            <v>Y</v>
          </cell>
          <cell r="E18" t="str">
            <v>Y</v>
          </cell>
          <cell r="F18" t="str">
            <v>Y</v>
          </cell>
          <cell r="G18" t="str">
            <v>Y</v>
          </cell>
        </row>
        <row r="19">
          <cell r="B19" t="str">
            <v>Y</v>
          </cell>
          <cell r="C19" t="str">
            <v>Y</v>
          </cell>
          <cell r="D19" t="str">
            <v>Y</v>
          </cell>
          <cell r="E19" t="str">
            <v>Y</v>
          </cell>
          <cell r="F19" t="str">
            <v>Y</v>
          </cell>
          <cell r="G19" t="str">
            <v>Y</v>
          </cell>
        </row>
      </sheetData>
      <sheetData sheetId="45"/>
      <sheetData sheetId="46">
        <row r="1">
          <cell r="B1" t="str">
            <v>Admission No. (Roll No.)</v>
          </cell>
        </row>
        <row r="2">
          <cell r="B2">
            <v>2010990089</v>
          </cell>
        </row>
        <row r="3">
          <cell r="B3">
            <v>2010992002</v>
          </cell>
        </row>
        <row r="4">
          <cell r="B4">
            <v>2010992004</v>
          </cell>
        </row>
        <row r="5">
          <cell r="B5">
            <v>2010992005</v>
          </cell>
        </row>
        <row r="6">
          <cell r="B6">
            <v>2010992006</v>
          </cell>
        </row>
        <row r="7">
          <cell r="B7">
            <v>2010992008</v>
          </cell>
        </row>
        <row r="8">
          <cell r="B8">
            <v>2010992009</v>
          </cell>
        </row>
        <row r="9">
          <cell r="B9">
            <v>2010992010</v>
          </cell>
        </row>
        <row r="10">
          <cell r="B10">
            <v>2010992011</v>
          </cell>
        </row>
        <row r="11">
          <cell r="B11">
            <v>2010992012</v>
          </cell>
        </row>
        <row r="12">
          <cell r="B12">
            <v>2010992014</v>
          </cell>
        </row>
        <row r="13">
          <cell r="B13">
            <v>2010992015</v>
          </cell>
        </row>
        <row r="14">
          <cell r="B14">
            <v>2010992016</v>
          </cell>
        </row>
        <row r="15">
          <cell r="B15">
            <v>2010992017</v>
          </cell>
        </row>
        <row r="16">
          <cell r="B16">
            <v>2010992018</v>
          </cell>
        </row>
        <row r="17">
          <cell r="B17">
            <v>2010992019</v>
          </cell>
        </row>
        <row r="18">
          <cell r="B18">
            <v>2010992163</v>
          </cell>
        </row>
        <row r="19">
          <cell r="B19">
            <v>2010992202</v>
          </cell>
        </row>
      </sheetData>
      <sheetData sheetId="47"/>
      <sheetData sheetId="48"/>
      <sheetData sheetId="49"/>
      <sheetData sheetId="50">
        <row r="1">
          <cell r="A1" t="str">
            <v>CO1</v>
          </cell>
          <cell r="B1" t="str">
            <v>CO2</v>
          </cell>
          <cell r="C1" t="str">
            <v>CO3</v>
          </cell>
          <cell r="D1" t="str">
            <v>CO4</v>
          </cell>
          <cell r="E1" t="str">
            <v>CO5</v>
          </cell>
          <cell r="F1" t="str">
            <v>CO6</v>
          </cell>
        </row>
        <row r="2">
          <cell r="A2">
            <v>2010990089</v>
          </cell>
          <cell r="B2">
            <v>2010990089</v>
          </cell>
          <cell r="C2">
            <v>2010990089</v>
          </cell>
          <cell r="D2" t="str">
            <v>Not Found</v>
          </cell>
          <cell r="E2" t="str">
            <v>Not Found</v>
          </cell>
          <cell r="F2" t="str">
            <v>Not Found</v>
          </cell>
        </row>
        <row r="3">
          <cell r="A3">
            <v>2010992002</v>
          </cell>
          <cell r="B3">
            <v>2010992002</v>
          </cell>
          <cell r="C3">
            <v>2010992002</v>
          </cell>
        </row>
        <row r="4">
          <cell r="A4">
            <v>2010992004</v>
          </cell>
          <cell r="B4">
            <v>2010992004</v>
          </cell>
          <cell r="C4">
            <v>2010992004</v>
          </cell>
        </row>
        <row r="5">
          <cell r="A5">
            <v>2010992005</v>
          </cell>
          <cell r="B5">
            <v>2010992005</v>
          </cell>
          <cell r="C5">
            <v>2010992005</v>
          </cell>
        </row>
        <row r="6">
          <cell r="A6">
            <v>2010992006</v>
          </cell>
          <cell r="B6">
            <v>2010992006</v>
          </cell>
          <cell r="C6">
            <v>2010992006</v>
          </cell>
        </row>
        <row r="7">
          <cell r="A7">
            <v>2010992008</v>
          </cell>
          <cell r="B7">
            <v>2010992008</v>
          </cell>
          <cell r="C7">
            <v>2010992008</v>
          </cell>
        </row>
        <row r="8">
          <cell r="A8">
            <v>2010992009</v>
          </cell>
          <cell r="B8">
            <v>2010992009</v>
          </cell>
          <cell r="C8">
            <v>2010992009</v>
          </cell>
        </row>
        <row r="9">
          <cell r="A9">
            <v>2010992010</v>
          </cell>
          <cell r="B9">
            <v>2010992010</v>
          </cell>
          <cell r="C9">
            <v>2010992010</v>
          </cell>
        </row>
        <row r="10">
          <cell r="A10">
            <v>2010992011</v>
          </cell>
          <cell r="B10">
            <v>2010992011</v>
          </cell>
          <cell r="C10">
            <v>2010992011</v>
          </cell>
        </row>
        <row r="11">
          <cell r="A11">
            <v>2010992012</v>
          </cell>
          <cell r="B11">
            <v>2010992012</v>
          </cell>
          <cell r="C11">
            <v>2010992012</v>
          </cell>
        </row>
        <row r="12">
          <cell r="A12">
            <v>2010992014</v>
          </cell>
          <cell r="B12">
            <v>2010992014</v>
          </cell>
          <cell r="C12">
            <v>2010992014</v>
          </cell>
        </row>
        <row r="13">
          <cell r="A13">
            <v>2010992015</v>
          </cell>
          <cell r="B13">
            <v>2010992015</v>
          </cell>
          <cell r="C13">
            <v>2010992015</v>
          </cell>
        </row>
        <row r="14">
          <cell r="A14">
            <v>2010992016</v>
          </cell>
          <cell r="B14">
            <v>2010992016</v>
          </cell>
          <cell r="C14">
            <v>2010992016</v>
          </cell>
        </row>
        <row r="15">
          <cell r="A15">
            <v>2010992017</v>
          </cell>
          <cell r="B15">
            <v>2010992017</v>
          </cell>
          <cell r="C15">
            <v>2010992017</v>
          </cell>
        </row>
        <row r="16">
          <cell r="A16">
            <v>2010992018</v>
          </cell>
          <cell r="B16">
            <v>2010992018</v>
          </cell>
          <cell r="C16">
            <v>2010992018</v>
          </cell>
        </row>
        <row r="17">
          <cell r="A17">
            <v>2010992019</v>
          </cell>
          <cell r="B17">
            <v>2010992019</v>
          </cell>
          <cell r="C17">
            <v>2010992019</v>
          </cell>
        </row>
        <row r="18">
          <cell r="A18">
            <v>2010992163</v>
          </cell>
          <cell r="B18">
            <v>2010992163</v>
          </cell>
          <cell r="C18">
            <v>2010992163</v>
          </cell>
        </row>
        <row r="19">
          <cell r="A19">
            <v>2010992202</v>
          </cell>
          <cell r="B19">
            <v>2010992202</v>
          </cell>
          <cell r="C19">
            <v>2010992202</v>
          </cell>
        </row>
      </sheetData>
      <sheetData sheetId="51">
        <row r="1">
          <cell r="B1" t="str">
            <v>CO1</v>
          </cell>
          <cell r="C1" t="str">
            <v>CO2</v>
          </cell>
          <cell r="D1" t="str">
            <v>CO3</v>
          </cell>
          <cell r="E1" t="str">
            <v>CO4</v>
          </cell>
          <cell r="F1" t="str">
            <v>CO5</v>
          </cell>
          <cell r="G1" t="str">
            <v>CO6</v>
          </cell>
        </row>
        <row r="2">
          <cell r="B2">
            <v>60</v>
          </cell>
          <cell r="C2">
            <v>60</v>
          </cell>
          <cell r="D2">
            <v>50</v>
          </cell>
          <cell r="E2">
            <v>0</v>
          </cell>
          <cell r="F2">
            <v>0</v>
          </cell>
          <cell r="G2">
            <v>0</v>
          </cell>
        </row>
        <row r="3">
          <cell r="B3">
            <v>60</v>
          </cell>
          <cell r="C3">
            <v>60</v>
          </cell>
          <cell r="D3">
            <v>50</v>
          </cell>
          <cell r="E3">
            <v>0</v>
          </cell>
          <cell r="F3">
            <v>0</v>
          </cell>
          <cell r="G3">
            <v>0</v>
          </cell>
        </row>
        <row r="4">
          <cell r="B4">
            <v>60</v>
          </cell>
          <cell r="C4">
            <v>60</v>
          </cell>
          <cell r="D4">
            <v>50</v>
          </cell>
          <cell r="E4">
            <v>0</v>
          </cell>
          <cell r="F4">
            <v>0</v>
          </cell>
          <cell r="G4">
            <v>0</v>
          </cell>
        </row>
        <row r="5">
          <cell r="B5">
            <v>60</v>
          </cell>
          <cell r="C5">
            <v>60</v>
          </cell>
          <cell r="D5">
            <v>50</v>
          </cell>
          <cell r="E5">
            <v>0</v>
          </cell>
          <cell r="F5">
            <v>0</v>
          </cell>
          <cell r="G5">
            <v>0</v>
          </cell>
        </row>
        <row r="6">
          <cell r="B6">
            <v>60</v>
          </cell>
          <cell r="C6">
            <v>60</v>
          </cell>
          <cell r="D6">
            <v>50</v>
          </cell>
          <cell r="E6">
            <v>0</v>
          </cell>
          <cell r="F6">
            <v>0</v>
          </cell>
          <cell r="G6">
            <v>0</v>
          </cell>
        </row>
        <row r="7">
          <cell r="B7">
            <v>60</v>
          </cell>
          <cell r="C7">
            <v>60</v>
          </cell>
          <cell r="D7">
            <v>50</v>
          </cell>
          <cell r="E7">
            <v>0</v>
          </cell>
          <cell r="F7">
            <v>0</v>
          </cell>
          <cell r="G7">
            <v>0</v>
          </cell>
        </row>
        <row r="8">
          <cell r="B8">
            <v>60</v>
          </cell>
          <cell r="C8">
            <v>60</v>
          </cell>
          <cell r="D8">
            <v>50</v>
          </cell>
          <cell r="E8">
            <v>0</v>
          </cell>
          <cell r="F8">
            <v>0</v>
          </cell>
          <cell r="G8">
            <v>0</v>
          </cell>
        </row>
        <row r="9">
          <cell r="B9">
            <v>60</v>
          </cell>
          <cell r="C9">
            <v>60</v>
          </cell>
          <cell r="D9">
            <v>50</v>
          </cell>
          <cell r="E9">
            <v>0</v>
          </cell>
          <cell r="F9">
            <v>0</v>
          </cell>
          <cell r="G9">
            <v>0</v>
          </cell>
        </row>
        <row r="10">
          <cell r="B10">
            <v>60</v>
          </cell>
          <cell r="C10">
            <v>60</v>
          </cell>
          <cell r="D10">
            <v>50</v>
          </cell>
          <cell r="E10">
            <v>0</v>
          </cell>
          <cell r="F10">
            <v>0</v>
          </cell>
          <cell r="G10">
            <v>0</v>
          </cell>
        </row>
        <row r="11">
          <cell r="B11">
            <v>60</v>
          </cell>
          <cell r="C11">
            <v>60</v>
          </cell>
          <cell r="D11">
            <v>50</v>
          </cell>
          <cell r="E11">
            <v>0</v>
          </cell>
          <cell r="F11">
            <v>0</v>
          </cell>
          <cell r="G11">
            <v>0</v>
          </cell>
        </row>
        <row r="12">
          <cell r="B12">
            <v>60</v>
          </cell>
          <cell r="C12">
            <v>60</v>
          </cell>
          <cell r="D12">
            <v>50</v>
          </cell>
          <cell r="E12">
            <v>0</v>
          </cell>
          <cell r="F12">
            <v>0</v>
          </cell>
          <cell r="G12">
            <v>0</v>
          </cell>
        </row>
        <row r="13">
          <cell r="B13">
            <v>60</v>
          </cell>
          <cell r="C13">
            <v>60</v>
          </cell>
          <cell r="D13">
            <v>50</v>
          </cell>
          <cell r="E13">
            <v>0</v>
          </cell>
          <cell r="F13">
            <v>0</v>
          </cell>
          <cell r="G13">
            <v>0</v>
          </cell>
        </row>
        <row r="14">
          <cell r="B14">
            <v>60</v>
          </cell>
          <cell r="C14">
            <v>60</v>
          </cell>
          <cell r="D14">
            <v>50</v>
          </cell>
          <cell r="E14">
            <v>0</v>
          </cell>
          <cell r="F14">
            <v>0</v>
          </cell>
          <cell r="G14">
            <v>0</v>
          </cell>
        </row>
        <row r="15">
          <cell r="B15">
            <v>60</v>
          </cell>
          <cell r="C15">
            <v>60</v>
          </cell>
          <cell r="D15">
            <v>50</v>
          </cell>
          <cell r="E15">
            <v>0</v>
          </cell>
          <cell r="F15">
            <v>0</v>
          </cell>
          <cell r="G15">
            <v>0</v>
          </cell>
        </row>
        <row r="16">
          <cell r="B16">
            <v>60</v>
          </cell>
          <cell r="C16">
            <v>60</v>
          </cell>
          <cell r="D16">
            <v>50</v>
          </cell>
          <cell r="E16">
            <v>0</v>
          </cell>
          <cell r="F16">
            <v>0</v>
          </cell>
          <cell r="G16">
            <v>0</v>
          </cell>
        </row>
        <row r="17">
          <cell r="B17">
            <v>60</v>
          </cell>
          <cell r="C17">
            <v>60</v>
          </cell>
          <cell r="D17">
            <v>50</v>
          </cell>
          <cell r="E17">
            <v>0</v>
          </cell>
          <cell r="F17">
            <v>0</v>
          </cell>
          <cell r="G17">
            <v>0</v>
          </cell>
        </row>
        <row r="18">
          <cell r="B18">
            <v>60</v>
          </cell>
          <cell r="C18">
            <v>60</v>
          </cell>
          <cell r="D18">
            <v>50</v>
          </cell>
          <cell r="E18">
            <v>0</v>
          </cell>
          <cell r="F18">
            <v>0</v>
          </cell>
          <cell r="G18">
            <v>0</v>
          </cell>
        </row>
        <row r="19">
          <cell r="B19">
            <v>60</v>
          </cell>
          <cell r="C19">
            <v>60</v>
          </cell>
          <cell r="D19">
            <v>50</v>
          </cell>
          <cell r="E19">
            <v>0</v>
          </cell>
          <cell r="F19">
            <v>0</v>
          </cell>
          <cell r="G19">
            <v>0</v>
          </cell>
        </row>
      </sheetData>
      <sheetData sheetId="52">
        <row r="1">
          <cell r="B1" t="str">
            <v>CO1</v>
          </cell>
          <cell r="C1" t="str">
            <v>CO2</v>
          </cell>
          <cell r="D1" t="str">
            <v>CO3</v>
          </cell>
          <cell r="E1" t="str">
            <v>CO4</v>
          </cell>
          <cell r="F1" t="str">
            <v>CO5</v>
          </cell>
          <cell r="G1" t="str">
            <v>CO6</v>
          </cell>
        </row>
        <row r="2">
          <cell r="B2">
            <v>40</v>
          </cell>
          <cell r="C2">
            <v>40</v>
          </cell>
          <cell r="D2">
            <v>40</v>
          </cell>
          <cell r="E2">
            <v>0</v>
          </cell>
          <cell r="F2">
            <v>0</v>
          </cell>
          <cell r="G2">
            <v>0</v>
          </cell>
        </row>
        <row r="3">
          <cell r="B3">
            <v>44</v>
          </cell>
          <cell r="C3">
            <v>44</v>
          </cell>
          <cell r="D3">
            <v>44</v>
          </cell>
          <cell r="E3">
            <v>0</v>
          </cell>
          <cell r="F3">
            <v>0</v>
          </cell>
          <cell r="G3">
            <v>0</v>
          </cell>
        </row>
        <row r="4">
          <cell r="B4">
            <v>40</v>
          </cell>
          <cell r="C4">
            <v>40</v>
          </cell>
          <cell r="D4">
            <v>40</v>
          </cell>
          <cell r="E4">
            <v>0</v>
          </cell>
          <cell r="F4">
            <v>0</v>
          </cell>
          <cell r="G4">
            <v>0</v>
          </cell>
        </row>
        <row r="5">
          <cell r="B5">
            <v>45</v>
          </cell>
          <cell r="C5">
            <v>45</v>
          </cell>
          <cell r="D5">
            <v>45</v>
          </cell>
          <cell r="E5">
            <v>0</v>
          </cell>
          <cell r="F5">
            <v>0</v>
          </cell>
          <cell r="G5">
            <v>0</v>
          </cell>
        </row>
        <row r="6">
          <cell r="B6">
            <v>37</v>
          </cell>
          <cell r="C6">
            <v>37</v>
          </cell>
          <cell r="D6">
            <v>37</v>
          </cell>
          <cell r="E6">
            <v>0</v>
          </cell>
          <cell r="F6">
            <v>0</v>
          </cell>
          <cell r="G6">
            <v>0</v>
          </cell>
        </row>
        <row r="7">
          <cell r="B7">
            <v>43</v>
          </cell>
          <cell r="C7">
            <v>43</v>
          </cell>
          <cell r="D7">
            <v>43</v>
          </cell>
          <cell r="E7">
            <v>0</v>
          </cell>
          <cell r="F7">
            <v>0</v>
          </cell>
          <cell r="G7">
            <v>0</v>
          </cell>
        </row>
        <row r="8">
          <cell r="B8">
            <v>43</v>
          </cell>
          <cell r="C8">
            <v>43</v>
          </cell>
          <cell r="D8">
            <v>43</v>
          </cell>
          <cell r="E8">
            <v>0</v>
          </cell>
          <cell r="F8">
            <v>0</v>
          </cell>
          <cell r="G8">
            <v>0</v>
          </cell>
        </row>
        <row r="9">
          <cell r="B9">
            <v>44</v>
          </cell>
          <cell r="C9">
            <v>44</v>
          </cell>
          <cell r="D9">
            <v>44</v>
          </cell>
          <cell r="E9">
            <v>0</v>
          </cell>
          <cell r="F9">
            <v>0</v>
          </cell>
          <cell r="G9">
            <v>0</v>
          </cell>
        </row>
        <row r="10">
          <cell r="B10">
            <v>29</v>
          </cell>
          <cell r="C10">
            <v>29</v>
          </cell>
          <cell r="D10">
            <v>29</v>
          </cell>
          <cell r="E10">
            <v>0</v>
          </cell>
          <cell r="F10">
            <v>0</v>
          </cell>
          <cell r="G10">
            <v>0</v>
          </cell>
        </row>
        <row r="11">
          <cell r="B11">
            <v>44</v>
          </cell>
          <cell r="C11">
            <v>44</v>
          </cell>
          <cell r="D11">
            <v>44</v>
          </cell>
          <cell r="E11">
            <v>0</v>
          </cell>
          <cell r="F11">
            <v>0</v>
          </cell>
          <cell r="G11">
            <v>0</v>
          </cell>
        </row>
        <row r="12">
          <cell r="B12">
            <v>43</v>
          </cell>
          <cell r="C12">
            <v>43</v>
          </cell>
          <cell r="D12">
            <v>43</v>
          </cell>
          <cell r="E12">
            <v>0</v>
          </cell>
          <cell r="F12">
            <v>0</v>
          </cell>
          <cell r="G12">
            <v>0</v>
          </cell>
        </row>
        <row r="13">
          <cell r="B13">
            <v>35</v>
          </cell>
          <cell r="C13">
            <v>35</v>
          </cell>
          <cell r="D13">
            <v>35</v>
          </cell>
          <cell r="E13">
            <v>0</v>
          </cell>
          <cell r="F13">
            <v>0</v>
          </cell>
          <cell r="G13">
            <v>0</v>
          </cell>
        </row>
        <row r="14">
          <cell r="B14">
            <v>31</v>
          </cell>
          <cell r="C14">
            <v>31</v>
          </cell>
          <cell r="D14">
            <v>31</v>
          </cell>
          <cell r="E14">
            <v>0</v>
          </cell>
          <cell r="F14">
            <v>0</v>
          </cell>
          <cell r="G14">
            <v>0</v>
          </cell>
        </row>
        <row r="15">
          <cell r="B15">
            <v>40</v>
          </cell>
          <cell r="C15">
            <v>40</v>
          </cell>
          <cell r="D15">
            <v>40</v>
          </cell>
          <cell r="E15">
            <v>0</v>
          </cell>
          <cell r="F15">
            <v>0</v>
          </cell>
          <cell r="G15">
            <v>0</v>
          </cell>
        </row>
        <row r="16">
          <cell r="B16">
            <v>43</v>
          </cell>
          <cell r="C16">
            <v>43</v>
          </cell>
          <cell r="D16">
            <v>43</v>
          </cell>
          <cell r="E16">
            <v>0</v>
          </cell>
          <cell r="F16">
            <v>0</v>
          </cell>
          <cell r="G16">
            <v>0</v>
          </cell>
        </row>
        <row r="17">
          <cell r="B17">
            <v>42</v>
          </cell>
          <cell r="C17">
            <v>42</v>
          </cell>
          <cell r="D17">
            <v>42</v>
          </cell>
          <cell r="E17">
            <v>0</v>
          </cell>
          <cell r="F17">
            <v>0</v>
          </cell>
          <cell r="G17">
            <v>0</v>
          </cell>
        </row>
        <row r="18">
          <cell r="B18">
            <v>40</v>
          </cell>
          <cell r="C18">
            <v>40</v>
          </cell>
          <cell r="D18">
            <v>40</v>
          </cell>
          <cell r="E18">
            <v>0</v>
          </cell>
          <cell r="F18">
            <v>0</v>
          </cell>
          <cell r="G18">
            <v>0</v>
          </cell>
        </row>
        <row r="19">
          <cell r="B19">
            <v>40</v>
          </cell>
          <cell r="C19">
            <v>40</v>
          </cell>
          <cell r="D19">
            <v>40</v>
          </cell>
          <cell r="E19">
            <v>0</v>
          </cell>
          <cell r="F19">
            <v>0</v>
          </cell>
          <cell r="G19">
            <v>0</v>
          </cell>
        </row>
      </sheetData>
      <sheetData sheetId="53">
        <row r="1">
          <cell r="B1" t="str">
            <v>CO1</v>
          </cell>
          <cell r="C1" t="str">
            <v>CO2</v>
          </cell>
          <cell r="D1" t="str">
            <v>CO3</v>
          </cell>
          <cell r="E1" t="str">
            <v>CO4</v>
          </cell>
          <cell r="F1" t="str">
            <v>CO5</v>
          </cell>
          <cell r="G1" t="str">
            <v>CO6</v>
          </cell>
        </row>
        <row r="2">
          <cell r="B2">
            <v>66.666666666666657</v>
          </cell>
          <cell r="C2">
            <v>66.666666666666657</v>
          </cell>
          <cell r="D2">
            <v>80</v>
          </cell>
          <cell r="E2" t="str">
            <v>CO questions Not Attempted</v>
          </cell>
          <cell r="F2" t="str">
            <v>CO questions Not Attempted</v>
          </cell>
          <cell r="G2" t="str">
            <v>CO questions Not Attempted</v>
          </cell>
        </row>
        <row r="3">
          <cell r="B3">
            <v>73.333333333333329</v>
          </cell>
          <cell r="C3">
            <v>73.333333333333329</v>
          </cell>
          <cell r="D3">
            <v>88</v>
          </cell>
          <cell r="E3" t="str">
            <v>CO questions Not Attempted</v>
          </cell>
          <cell r="F3" t="str">
            <v>CO questions Not Attempted</v>
          </cell>
          <cell r="G3" t="str">
            <v>CO questions Not Attempted</v>
          </cell>
        </row>
        <row r="4">
          <cell r="B4">
            <v>66.666666666666657</v>
          </cell>
          <cell r="C4">
            <v>66.666666666666657</v>
          </cell>
          <cell r="D4">
            <v>80</v>
          </cell>
          <cell r="E4" t="str">
            <v>CO questions Not Attempted</v>
          </cell>
          <cell r="F4" t="str">
            <v>CO questions Not Attempted</v>
          </cell>
          <cell r="G4" t="str">
            <v>CO questions Not Attempted</v>
          </cell>
        </row>
        <row r="5">
          <cell r="B5">
            <v>75</v>
          </cell>
          <cell r="C5">
            <v>75</v>
          </cell>
          <cell r="D5">
            <v>90</v>
          </cell>
          <cell r="E5" t="str">
            <v>CO questions Not Attempted</v>
          </cell>
          <cell r="F5" t="str">
            <v>CO questions Not Attempted</v>
          </cell>
          <cell r="G5" t="str">
            <v>CO questions Not Attempted</v>
          </cell>
        </row>
        <row r="6">
          <cell r="B6">
            <v>61.666666666666671</v>
          </cell>
          <cell r="C6">
            <v>61.666666666666671</v>
          </cell>
          <cell r="D6">
            <v>74</v>
          </cell>
          <cell r="E6" t="str">
            <v>CO questions Not Attempted</v>
          </cell>
          <cell r="F6" t="str">
            <v>CO questions Not Attempted</v>
          </cell>
          <cell r="G6" t="str">
            <v>CO questions Not Attempted</v>
          </cell>
        </row>
        <row r="7">
          <cell r="B7">
            <v>71.666666666666671</v>
          </cell>
          <cell r="C7">
            <v>71.666666666666671</v>
          </cell>
          <cell r="D7">
            <v>86</v>
          </cell>
          <cell r="E7" t="str">
            <v>CO questions Not Attempted</v>
          </cell>
          <cell r="F7" t="str">
            <v>CO questions Not Attempted</v>
          </cell>
          <cell r="G7" t="str">
            <v>CO questions Not Attempted</v>
          </cell>
        </row>
        <row r="8">
          <cell r="B8">
            <v>71.666666666666671</v>
          </cell>
          <cell r="C8">
            <v>71.666666666666671</v>
          </cell>
          <cell r="D8">
            <v>86</v>
          </cell>
          <cell r="E8" t="str">
            <v>CO questions Not Attempted</v>
          </cell>
          <cell r="F8" t="str">
            <v>CO questions Not Attempted</v>
          </cell>
          <cell r="G8" t="str">
            <v>CO questions Not Attempted</v>
          </cell>
        </row>
        <row r="9">
          <cell r="B9">
            <v>73.333333333333329</v>
          </cell>
          <cell r="C9">
            <v>73.333333333333329</v>
          </cell>
          <cell r="D9">
            <v>88</v>
          </cell>
          <cell r="E9" t="str">
            <v>CO questions Not Attempted</v>
          </cell>
          <cell r="F9" t="str">
            <v>CO questions Not Attempted</v>
          </cell>
          <cell r="G9" t="str">
            <v>CO questions Not Attempted</v>
          </cell>
        </row>
        <row r="10">
          <cell r="B10">
            <v>48.333333333333336</v>
          </cell>
          <cell r="C10">
            <v>48.333333333333336</v>
          </cell>
          <cell r="D10">
            <v>57.999999999999993</v>
          </cell>
          <cell r="E10" t="str">
            <v>CO questions Not Attempted</v>
          </cell>
          <cell r="F10" t="str">
            <v>CO questions Not Attempted</v>
          </cell>
          <cell r="G10" t="str">
            <v>CO questions Not Attempted</v>
          </cell>
        </row>
        <row r="11">
          <cell r="B11">
            <v>73.333333333333329</v>
          </cell>
          <cell r="C11">
            <v>73.333333333333329</v>
          </cell>
          <cell r="D11">
            <v>88</v>
          </cell>
          <cell r="E11" t="str">
            <v>CO questions Not Attempted</v>
          </cell>
          <cell r="F11" t="str">
            <v>CO questions Not Attempted</v>
          </cell>
          <cell r="G11" t="str">
            <v>CO questions Not Attempted</v>
          </cell>
        </row>
        <row r="12">
          <cell r="B12">
            <v>71.666666666666671</v>
          </cell>
          <cell r="C12">
            <v>71.666666666666671</v>
          </cell>
          <cell r="D12">
            <v>86</v>
          </cell>
          <cell r="E12" t="str">
            <v>CO questions Not Attempted</v>
          </cell>
          <cell r="F12" t="str">
            <v>CO questions Not Attempted</v>
          </cell>
          <cell r="G12" t="str">
            <v>CO questions Not Attempted</v>
          </cell>
        </row>
        <row r="13">
          <cell r="B13">
            <v>58.333333333333336</v>
          </cell>
          <cell r="C13">
            <v>58.333333333333336</v>
          </cell>
          <cell r="D13">
            <v>70</v>
          </cell>
          <cell r="E13" t="str">
            <v>CO questions Not Attempted</v>
          </cell>
          <cell r="F13" t="str">
            <v>CO questions Not Attempted</v>
          </cell>
          <cell r="G13" t="str">
            <v>CO questions Not Attempted</v>
          </cell>
        </row>
        <row r="14">
          <cell r="B14">
            <v>51.666666666666671</v>
          </cell>
          <cell r="C14">
            <v>51.666666666666671</v>
          </cell>
          <cell r="D14">
            <v>62</v>
          </cell>
          <cell r="E14" t="str">
            <v>CO questions Not Attempted</v>
          </cell>
          <cell r="F14" t="str">
            <v>CO questions Not Attempted</v>
          </cell>
          <cell r="G14" t="str">
            <v>CO questions Not Attempted</v>
          </cell>
        </row>
        <row r="15">
          <cell r="B15">
            <v>66.666666666666657</v>
          </cell>
          <cell r="C15">
            <v>66.666666666666657</v>
          </cell>
          <cell r="D15">
            <v>80</v>
          </cell>
          <cell r="E15" t="str">
            <v>CO questions Not Attempted</v>
          </cell>
          <cell r="F15" t="str">
            <v>CO questions Not Attempted</v>
          </cell>
          <cell r="G15" t="str">
            <v>CO questions Not Attempted</v>
          </cell>
        </row>
        <row r="16">
          <cell r="B16">
            <v>71.666666666666671</v>
          </cell>
          <cell r="C16">
            <v>71.666666666666671</v>
          </cell>
          <cell r="D16">
            <v>86</v>
          </cell>
          <cell r="E16" t="str">
            <v>CO questions Not Attempted</v>
          </cell>
          <cell r="F16" t="str">
            <v>CO questions Not Attempted</v>
          </cell>
          <cell r="G16" t="str">
            <v>CO questions Not Attempted</v>
          </cell>
        </row>
        <row r="17">
          <cell r="B17">
            <v>70</v>
          </cell>
          <cell r="C17">
            <v>70</v>
          </cell>
          <cell r="D17">
            <v>84</v>
          </cell>
          <cell r="E17" t="str">
            <v>CO questions Not Attempted</v>
          </cell>
          <cell r="F17" t="str">
            <v>CO questions Not Attempted</v>
          </cell>
          <cell r="G17" t="str">
            <v>CO questions Not Attempted</v>
          </cell>
        </row>
        <row r="18">
          <cell r="B18">
            <v>66.666666666666657</v>
          </cell>
          <cell r="C18">
            <v>66.666666666666657</v>
          </cell>
          <cell r="D18">
            <v>80</v>
          </cell>
          <cell r="E18" t="str">
            <v>CO questions Not Attempted</v>
          </cell>
          <cell r="F18" t="str">
            <v>CO questions Not Attempted</v>
          </cell>
          <cell r="G18" t="str">
            <v>CO questions Not Attempted</v>
          </cell>
        </row>
        <row r="19">
          <cell r="B19">
            <v>66.666666666666657</v>
          </cell>
          <cell r="C19">
            <v>66.666666666666657</v>
          </cell>
          <cell r="D19">
            <v>80</v>
          </cell>
          <cell r="E19" t="str">
            <v>CO questions Not Attempted</v>
          </cell>
          <cell r="F19" t="str">
            <v>CO questions Not Attempted</v>
          </cell>
          <cell r="G19" t="str">
            <v>CO questions Not Attempted</v>
          </cell>
        </row>
      </sheetData>
      <sheetData sheetId="54">
        <row r="1">
          <cell r="B1" t="str">
            <v>CO1</v>
          </cell>
          <cell r="C1" t="str">
            <v>CO2</v>
          </cell>
          <cell r="D1" t="str">
            <v>CO3</v>
          </cell>
          <cell r="E1" t="str">
            <v>CO4</v>
          </cell>
          <cell r="F1" t="str">
            <v>CO5</v>
          </cell>
          <cell r="G1" t="str">
            <v>CO6</v>
          </cell>
        </row>
        <row r="2">
          <cell r="B2">
            <v>3</v>
          </cell>
          <cell r="C2">
            <v>3</v>
          </cell>
          <cell r="D2">
            <v>3</v>
          </cell>
          <cell r="E2">
            <v>3</v>
          </cell>
          <cell r="F2">
            <v>3</v>
          </cell>
          <cell r="G2">
            <v>3</v>
          </cell>
        </row>
        <row r="3">
          <cell r="B3">
            <v>3</v>
          </cell>
          <cell r="C3">
            <v>3</v>
          </cell>
          <cell r="D3">
            <v>3</v>
          </cell>
          <cell r="E3">
            <v>3</v>
          </cell>
          <cell r="F3">
            <v>3</v>
          </cell>
          <cell r="G3">
            <v>3</v>
          </cell>
        </row>
        <row r="4">
          <cell r="B4">
            <v>3</v>
          </cell>
          <cell r="C4">
            <v>3</v>
          </cell>
          <cell r="D4">
            <v>3</v>
          </cell>
          <cell r="E4">
            <v>3</v>
          </cell>
          <cell r="F4">
            <v>3</v>
          </cell>
          <cell r="G4">
            <v>3</v>
          </cell>
        </row>
        <row r="5">
          <cell r="B5">
            <v>3</v>
          </cell>
          <cell r="C5">
            <v>3</v>
          </cell>
          <cell r="D5">
            <v>3</v>
          </cell>
          <cell r="E5">
            <v>3</v>
          </cell>
          <cell r="F5">
            <v>3</v>
          </cell>
          <cell r="G5">
            <v>3</v>
          </cell>
        </row>
        <row r="6">
          <cell r="B6">
            <v>3</v>
          </cell>
          <cell r="C6">
            <v>3</v>
          </cell>
          <cell r="D6">
            <v>3</v>
          </cell>
          <cell r="E6">
            <v>3</v>
          </cell>
          <cell r="F6">
            <v>3</v>
          </cell>
          <cell r="G6">
            <v>3</v>
          </cell>
        </row>
        <row r="7">
          <cell r="B7">
            <v>3</v>
          </cell>
          <cell r="C7">
            <v>3</v>
          </cell>
          <cell r="D7">
            <v>3</v>
          </cell>
          <cell r="E7">
            <v>3</v>
          </cell>
          <cell r="F7">
            <v>3</v>
          </cell>
          <cell r="G7">
            <v>3</v>
          </cell>
        </row>
        <row r="8">
          <cell r="B8">
            <v>3</v>
          </cell>
          <cell r="C8">
            <v>3</v>
          </cell>
          <cell r="D8">
            <v>3</v>
          </cell>
          <cell r="E8">
            <v>3</v>
          </cell>
          <cell r="F8">
            <v>3</v>
          </cell>
          <cell r="G8">
            <v>3</v>
          </cell>
        </row>
        <row r="9">
          <cell r="B9">
            <v>3</v>
          </cell>
          <cell r="C9">
            <v>3</v>
          </cell>
          <cell r="D9">
            <v>3</v>
          </cell>
          <cell r="E9">
            <v>3</v>
          </cell>
          <cell r="F9">
            <v>3</v>
          </cell>
          <cell r="G9">
            <v>3</v>
          </cell>
        </row>
        <row r="10">
          <cell r="B10">
            <v>0</v>
          </cell>
          <cell r="C10">
            <v>0</v>
          </cell>
          <cell r="D10">
            <v>0</v>
          </cell>
          <cell r="E10">
            <v>3</v>
          </cell>
          <cell r="F10">
            <v>3</v>
          </cell>
          <cell r="G10">
            <v>3</v>
          </cell>
        </row>
        <row r="11">
          <cell r="B11">
            <v>3</v>
          </cell>
          <cell r="C11">
            <v>3</v>
          </cell>
          <cell r="D11">
            <v>3</v>
          </cell>
          <cell r="E11">
            <v>3</v>
          </cell>
          <cell r="F11">
            <v>3</v>
          </cell>
          <cell r="G11">
            <v>3</v>
          </cell>
        </row>
        <row r="12">
          <cell r="B12">
            <v>3</v>
          </cell>
          <cell r="C12">
            <v>3</v>
          </cell>
          <cell r="D12">
            <v>3</v>
          </cell>
          <cell r="E12">
            <v>3</v>
          </cell>
          <cell r="F12">
            <v>3</v>
          </cell>
          <cell r="G12">
            <v>3</v>
          </cell>
        </row>
        <row r="13">
          <cell r="B13">
            <v>0</v>
          </cell>
          <cell r="C13">
            <v>0</v>
          </cell>
          <cell r="D13">
            <v>3</v>
          </cell>
          <cell r="E13">
            <v>3</v>
          </cell>
          <cell r="F13">
            <v>3</v>
          </cell>
          <cell r="G13">
            <v>3</v>
          </cell>
        </row>
        <row r="14">
          <cell r="B14">
            <v>0</v>
          </cell>
          <cell r="C14">
            <v>0</v>
          </cell>
          <cell r="D14">
            <v>3</v>
          </cell>
          <cell r="E14">
            <v>3</v>
          </cell>
          <cell r="F14">
            <v>3</v>
          </cell>
          <cell r="G14">
            <v>3</v>
          </cell>
        </row>
        <row r="15">
          <cell r="B15">
            <v>3</v>
          </cell>
          <cell r="C15">
            <v>3</v>
          </cell>
          <cell r="D15">
            <v>3</v>
          </cell>
          <cell r="E15">
            <v>3</v>
          </cell>
          <cell r="F15">
            <v>3</v>
          </cell>
          <cell r="G15">
            <v>3</v>
          </cell>
        </row>
        <row r="16">
          <cell r="B16">
            <v>3</v>
          </cell>
          <cell r="C16">
            <v>3</v>
          </cell>
          <cell r="D16">
            <v>3</v>
          </cell>
          <cell r="E16">
            <v>3</v>
          </cell>
          <cell r="F16">
            <v>3</v>
          </cell>
          <cell r="G16">
            <v>3</v>
          </cell>
        </row>
        <row r="17">
          <cell r="B17">
            <v>3</v>
          </cell>
          <cell r="C17">
            <v>3</v>
          </cell>
          <cell r="D17">
            <v>3</v>
          </cell>
          <cell r="E17">
            <v>3</v>
          </cell>
          <cell r="F17">
            <v>3</v>
          </cell>
          <cell r="G17">
            <v>3</v>
          </cell>
        </row>
        <row r="18">
          <cell r="B18">
            <v>3</v>
          </cell>
          <cell r="C18">
            <v>3</v>
          </cell>
          <cell r="D18">
            <v>3</v>
          </cell>
          <cell r="E18">
            <v>3</v>
          </cell>
          <cell r="F18">
            <v>3</v>
          </cell>
          <cell r="G18">
            <v>3</v>
          </cell>
        </row>
        <row r="19">
          <cell r="B19">
            <v>3</v>
          </cell>
          <cell r="C19">
            <v>3</v>
          </cell>
          <cell r="D19">
            <v>3</v>
          </cell>
          <cell r="E19">
            <v>3</v>
          </cell>
          <cell r="F19">
            <v>3</v>
          </cell>
          <cell r="G19">
            <v>3</v>
          </cell>
        </row>
      </sheetData>
      <sheetData sheetId="55">
        <row r="1">
          <cell r="B1" t="e">
            <v>#REF!</v>
          </cell>
        </row>
        <row r="2">
          <cell r="B2" t="str">
            <v>Y</v>
          </cell>
          <cell r="C2" t="str">
            <v>Y</v>
          </cell>
          <cell r="D2" t="str">
            <v>Y</v>
          </cell>
          <cell r="E2" t="str">
            <v>Y</v>
          </cell>
          <cell r="F2" t="str">
            <v>Y</v>
          </cell>
          <cell r="G2" t="str">
            <v>Y</v>
          </cell>
        </row>
        <row r="3">
          <cell r="B3" t="str">
            <v>Y</v>
          </cell>
          <cell r="C3" t="str">
            <v>Y</v>
          </cell>
          <cell r="D3" t="str">
            <v>Y</v>
          </cell>
          <cell r="E3" t="str">
            <v>Y</v>
          </cell>
          <cell r="F3" t="str">
            <v>Y</v>
          </cell>
          <cell r="G3" t="str">
            <v>Y</v>
          </cell>
        </row>
        <row r="4">
          <cell r="B4" t="str">
            <v>Y</v>
          </cell>
          <cell r="C4" t="str">
            <v>Y</v>
          </cell>
          <cell r="D4" t="str">
            <v>Y</v>
          </cell>
          <cell r="E4" t="str">
            <v>Y</v>
          </cell>
          <cell r="F4" t="str">
            <v>Y</v>
          </cell>
          <cell r="G4" t="str">
            <v>Y</v>
          </cell>
        </row>
        <row r="5">
          <cell r="B5" t="str">
            <v>Y</v>
          </cell>
          <cell r="C5" t="str">
            <v>Y</v>
          </cell>
          <cell r="D5" t="str">
            <v>Y</v>
          </cell>
          <cell r="E5" t="str">
            <v>Y</v>
          </cell>
          <cell r="F5" t="str">
            <v>Y</v>
          </cell>
          <cell r="G5" t="str">
            <v>Y</v>
          </cell>
        </row>
        <row r="6">
          <cell r="B6" t="str">
            <v>Y</v>
          </cell>
          <cell r="C6" t="str">
            <v>Y</v>
          </cell>
          <cell r="D6" t="str">
            <v>Y</v>
          </cell>
          <cell r="E6" t="str">
            <v>Y</v>
          </cell>
          <cell r="F6" t="str">
            <v>Y</v>
          </cell>
          <cell r="G6" t="str">
            <v>Y</v>
          </cell>
        </row>
        <row r="7">
          <cell r="B7" t="str">
            <v>Y</v>
          </cell>
          <cell r="C7" t="str">
            <v>Y</v>
          </cell>
          <cell r="D7" t="str">
            <v>Y</v>
          </cell>
          <cell r="E7" t="str">
            <v>Y</v>
          </cell>
          <cell r="F7" t="str">
            <v>Y</v>
          </cell>
          <cell r="G7" t="str">
            <v>Y</v>
          </cell>
        </row>
        <row r="8">
          <cell r="B8" t="str">
            <v>Y</v>
          </cell>
          <cell r="C8" t="str">
            <v>Y</v>
          </cell>
          <cell r="D8" t="str">
            <v>Y</v>
          </cell>
          <cell r="E8" t="str">
            <v>Y</v>
          </cell>
          <cell r="F8" t="str">
            <v>Y</v>
          </cell>
          <cell r="G8" t="str">
            <v>Y</v>
          </cell>
        </row>
        <row r="9">
          <cell r="B9" t="str">
            <v>Y</v>
          </cell>
          <cell r="C9" t="str">
            <v>Y</v>
          </cell>
          <cell r="D9" t="str">
            <v>Y</v>
          </cell>
          <cell r="E9" t="str">
            <v>Y</v>
          </cell>
          <cell r="F9" t="str">
            <v>Y</v>
          </cell>
          <cell r="G9" t="str">
            <v>Y</v>
          </cell>
        </row>
        <row r="10">
          <cell r="B10" t="str">
            <v>N</v>
          </cell>
          <cell r="C10" t="str">
            <v>N</v>
          </cell>
          <cell r="D10" t="str">
            <v>N</v>
          </cell>
          <cell r="E10" t="str">
            <v>Y</v>
          </cell>
          <cell r="F10" t="str">
            <v>Y</v>
          </cell>
          <cell r="G10" t="str">
            <v>Y</v>
          </cell>
        </row>
        <row r="11">
          <cell r="B11" t="str">
            <v>Y</v>
          </cell>
          <cell r="C11" t="str">
            <v>Y</v>
          </cell>
          <cell r="D11" t="str">
            <v>Y</v>
          </cell>
          <cell r="E11" t="str">
            <v>Y</v>
          </cell>
          <cell r="F11" t="str">
            <v>Y</v>
          </cell>
          <cell r="G11" t="str">
            <v>Y</v>
          </cell>
        </row>
        <row r="12">
          <cell r="B12" t="str">
            <v>Y</v>
          </cell>
          <cell r="C12" t="str">
            <v>Y</v>
          </cell>
          <cell r="D12" t="str">
            <v>Y</v>
          </cell>
          <cell r="E12" t="str">
            <v>Y</v>
          </cell>
          <cell r="F12" t="str">
            <v>Y</v>
          </cell>
          <cell r="G12" t="str">
            <v>Y</v>
          </cell>
        </row>
        <row r="13">
          <cell r="B13" t="str">
            <v>N</v>
          </cell>
          <cell r="C13" t="str">
            <v>N</v>
          </cell>
          <cell r="D13" t="str">
            <v>Y</v>
          </cell>
          <cell r="E13" t="str">
            <v>Y</v>
          </cell>
          <cell r="F13" t="str">
            <v>Y</v>
          </cell>
          <cell r="G13" t="str">
            <v>Y</v>
          </cell>
        </row>
        <row r="14">
          <cell r="B14" t="str">
            <v>N</v>
          </cell>
          <cell r="C14" t="str">
            <v>N</v>
          </cell>
          <cell r="D14" t="str">
            <v>Y</v>
          </cell>
          <cell r="E14" t="str">
            <v>Y</v>
          </cell>
          <cell r="F14" t="str">
            <v>Y</v>
          </cell>
          <cell r="G14" t="str">
            <v>Y</v>
          </cell>
        </row>
        <row r="15">
          <cell r="B15" t="str">
            <v>Y</v>
          </cell>
          <cell r="C15" t="str">
            <v>Y</v>
          </cell>
          <cell r="D15" t="str">
            <v>Y</v>
          </cell>
          <cell r="E15" t="str">
            <v>Y</v>
          </cell>
          <cell r="F15" t="str">
            <v>Y</v>
          </cell>
          <cell r="G15" t="str">
            <v>Y</v>
          </cell>
        </row>
        <row r="16">
          <cell r="B16" t="str">
            <v>Y</v>
          </cell>
          <cell r="C16" t="str">
            <v>Y</v>
          </cell>
          <cell r="D16" t="str">
            <v>Y</v>
          </cell>
          <cell r="E16" t="str">
            <v>Y</v>
          </cell>
          <cell r="F16" t="str">
            <v>Y</v>
          </cell>
          <cell r="G16" t="str">
            <v>Y</v>
          </cell>
        </row>
        <row r="17">
          <cell r="B17" t="str">
            <v>Y</v>
          </cell>
          <cell r="C17" t="str">
            <v>Y</v>
          </cell>
          <cell r="D17" t="str">
            <v>Y</v>
          </cell>
          <cell r="E17" t="str">
            <v>Y</v>
          </cell>
          <cell r="F17" t="str">
            <v>Y</v>
          </cell>
          <cell r="G17" t="str">
            <v>Y</v>
          </cell>
        </row>
        <row r="18">
          <cell r="B18" t="str">
            <v>Y</v>
          </cell>
          <cell r="C18" t="str">
            <v>Y</v>
          </cell>
          <cell r="D18" t="str">
            <v>Y</v>
          </cell>
          <cell r="E18" t="str">
            <v>Y</v>
          </cell>
          <cell r="F18" t="str">
            <v>Y</v>
          </cell>
          <cell r="G18" t="str">
            <v>Y</v>
          </cell>
        </row>
        <row r="19">
          <cell r="B19" t="str">
            <v>Y</v>
          </cell>
          <cell r="C19" t="str">
            <v>Y</v>
          </cell>
          <cell r="D19" t="str">
            <v>Y</v>
          </cell>
          <cell r="E19" t="str">
            <v>Y</v>
          </cell>
          <cell r="F19" t="str">
            <v>Y</v>
          </cell>
          <cell r="G19" t="str">
            <v>Y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BE Details"/>
      <sheetName val="ST1 Question Map"/>
      <sheetName val="ST1 Result"/>
      <sheetName val="ST2 Question Map"/>
      <sheetName val="ST2 Result"/>
      <sheetName val="ST3 Question Map"/>
      <sheetName val="ST3 Result"/>
      <sheetName val="ETE Question Map"/>
      <sheetName val="ETE Result"/>
    </sheetNames>
    <sheetDataSet>
      <sheetData sheetId="0"/>
      <sheetData sheetId="1"/>
      <sheetData sheetId="2">
        <row r="2">
          <cell r="E2" t="str">
            <v>EC112</v>
          </cell>
        </row>
      </sheetData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73307-4BC7-4C68-BAA9-73C392069400}">
  <sheetPr>
    <pageSetUpPr fitToPage="1"/>
  </sheetPr>
  <dimension ref="A1:BU58"/>
  <sheetViews>
    <sheetView tabSelected="1" topLeftCell="AA3" zoomScale="85" zoomScaleNormal="85" workbookViewId="0">
      <selection activeCell="BJ11" sqref="BJ11"/>
    </sheetView>
  </sheetViews>
  <sheetFormatPr defaultRowHeight="14.4" x14ac:dyDescent="0.3"/>
  <cols>
    <col min="1" max="1" width="19.6640625" customWidth="1"/>
    <col min="2" max="2" width="10.6640625" customWidth="1"/>
    <col min="3" max="4" width="6.6640625" customWidth="1"/>
    <col min="5" max="5" width="13.44140625" customWidth="1"/>
    <col min="6" max="6" width="9.109375" customWidth="1"/>
    <col min="7" max="9" width="6.6640625" customWidth="1"/>
    <col min="10" max="10" width="11.6640625" customWidth="1"/>
    <col min="11" max="11" width="11.5546875" customWidth="1"/>
    <col min="12" max="12" width="12.6640625" customWidth="1"/>
    <col min="13" max="14" width="12.44140625" customWidth="1"/>
    <col min="15" max="73" width="6.6640625" customWidth="1"/>
  </cols>
  <sheetData>
    <row r="1" spans="1:73" ht="66.599999999999994" customHeight="1" thickTop="1" thickBot="1" x14ac:dyDescent="0.35">
      <c r="A1" s="84" t="s">
        <v>28</v>
      </c>
      <c r="B1" s="85" t="str">
        <f>'[1]ST1 Result'!$F$2</f>
        <v>Network Analysis and Synthesis</v>
      </c>
      <c r="E1" s="54" t="str" cm="1">
        <f t="array" ref="E1:F8">Averages!A11:B18</f>
        <v>Course Outcome</v>
      </c>
      <c r="F1" s="83" t="str">
        <v>Achieved CO Score</v>
      </c>
      <c r="J1" s="69" t="s">
        <v>34</v>
      </c>
      <c r="K1" s="69" t="s">
        <v>12</v>
      </c>
      <c r="L1" s="69" t="s">
        <v>13</v>
      </c>
      <c r="M1" s="69" t="s">
        <v>14</v>
      </c>
      <c r="N1" s="92" t="s">
        <v>37</v>
      </c>
      <c r="O1" s="92" t="s">
        <v>36</v>
      </c>
    </row>
    <row r="2" spans="1:73" ht="35.4" customHeight="1" x14ac:dyDescent="0.35">
      <c r="A2" s="86" t="s">
        <v>29</v>
      </c>
      <c r="B2" s="87" t="str">
        <f>'[2]ST1 Result'!$E$2</f>
        <v>EC112</v>
      </c>
      <c r="E2" s="59" t="str">
        <v>CO1</v>
      </c>
      <c r="F2" s="60">
        <v>3</v>
      </c>
      <c r="J2" s="70" t="s">
        <v>0</v>
      </c>
      <c r="K2" s="71" t="str">
        <f>COUNTIFS(
    '[1]ST1 Attempted COs'!$A$2
    :
    INDEX(
        '[1]ST1 Attempted COs'!$A:$A,
        COUNTA('[1]ST1 Attempted COs'!$A:$A)
    ),
    "&lt;&gt;",
    '[1]ST1 Attempted COs'!$A$2
    :
    INDEX(
        '[1]ST1 Attempted COs'!$A:$A,
        COUNTA('[1]ST1 Attempted COs'!$A:$A)
    ),
    "&lt;&gt;Not Found"
)
&amp; " (" &amp;
TEXT(
    COUNTIFS(
        '[1]ST1 Attempted COs'!$A$2
        :
        INDEX(
            '[1]ST1 Attempted COs'!$A:$A,
            COUNTA('[1]ST1 Attempted COs'!$A:$A)
        ),
        "&lt;&gt;",
        '[1]ST1 Attempted COs'!$A$2
        :
        INDEX(
            '[1]ST1 Attempted COs'!$A:$A,
            COUNTA('[1]ST1 Attempted COs'!$A:$A)
        ),
        "&lt;&gt;Not Found"
    )
    /
    COUNTA(
        '[1]ST1 Result'!$B$2
        :
        INDEX(
            '[1]ST1 Result'!$B:$B,
            COUNTA('[1]ST1 Result'!$B:$B)
        )
    ),
    "0.00%"
)
&amp; ")"</f>
        <v>18 (100.00%)</v>
      </c>
      <c r="L2" s="71" t="str">
        <f>COUNTIFS(
    '[1]ST2 Attempted COs'!$A$2
    :
    INDEX(
        '[1]ST2 Attempted COs'!$A:$A,
        COUNTA('[1]ST2 Attempted COs'!$A:$A)
    ),
    "&lt;&gt;",
    '[1]ST2 Attempted COs'!$A$2
    :
    INDEX(
        '[1]ST2 Attempted COs'!$A:$A,
        COUNTA('[1]ST2 Attempted COs'!$A:$A)
    ),
    "&lt;&gt;Not Found"
)
&amp; " (" &amp;
TEXT(
    COUNTIFS(
        '[1]ST2 Attempted COs'!$A$2
        :
        INDEX(
            '[1]ST2 Attempted COs'!$A:$A,
            COUNTA('[1]ST2 Attempted COs'!$A:$A)
        ),
        "&lt;&gt;",
        '[1]ST2 Attempted COs'!$A$2
        :
        INDEX(
            '[1]ST2 Attempted COs'!$A:$A,
            COUNTA('[1]ST2 Attempted COs'!$A:$A)
        ),
        "&lt;&gt;Not Found"
    )
    /
    COUNTA(
        '[1]ST2 Result'!$B$2
        :
        INDEX(
            '[1]ST2 Result'!$B:$B,
            COUNTA('[1]ST2 Result'!$B:$B)
        )
    ),
    "0.00%"
)
&amp; ")"</f>
        <v>0 (0.00%)</v>
      </c>
      <c r="M2" s="71" t="str">
        <f>COUNTIFS(
    '[1]ST3 Attempted COs'!$A$2
    :
    INDEX(
        '[1]ST3 Attempted COs'!$A:$A,
        COUNTA('[1]ST3 Attempted COs'!$A:$A)
    ),
    "&lt;&gt;",
    '[1]ST3 Attempted COs'!$A$2
    :
    INDEX(
        '[1]ST3 Attempted COs'!$A:$A,
        COUNTA('[1]ST3 Attempted COs'!$A:$A)
    ),
    "&lt;&gt;Not Found"
)
&amp; " (" &amp;
TEXT(
    COUNTIFS(
        '[1]ST3 Attempted COs'!$A$2
        :
        INDEX(
            '[1]ST3 Attempted COs'!$A:$A,
            COUNTA('[1]ST3 Attempted COs'!$A:$A)
        ),
        "&lt;&gt;",
        '[1]ST3 Attempted COs'!$A$2
        :
        INDEX(
            '[1]ST3 Attempted COs'!$A:$A,
            COUNTA('[1]ST3 Attempted COs'!$A:$A)
        ),
        "&lt;&gt;Not Found"
    )
    /
    COUNTA(
        '[1]ST3 Result'!$B$2
        :
        INDEX(
            '[1]ST3 Result'!$B:$B,
            COUNTA('[1]ST3 Result'!$B:$B)
        )
    ),
    "0.00%"
)
&amp; ")"</f>
        <v>0 (0.00%)</v>
      </c>
      <c r="N2" s="71" t="str">
        <f>COUNTIFS(
    '[1]ETE Attempted COs'!$A$2
    :
    INDEX(
        '[1]ETE Attempted COs'!$A:$A,
        COUNTA('[1]ETE Attempted COs'!$A:$A)
    ),
    "&lt;&gt;",
    '[1]ETE Attempted COs'!$A$2
    :
    INDEX(
        '[1]ETE Attempted COs'!$A:$A,
        COUNTA('[1]ETE Attempted COs'!$A:$A)
    ),
    "&lt;&gt;Not Found"
)
&amp; " (" &amp;
TEXT(
    COUNTIFS(
        '[1]ETE Attempted COs'!$A$2
        :
        INDEX(
            '[1]ETE Attempted COs'!$A:$A,
            COUNTA('[1]ETE Attempted COs'!$A:$A)
        ),
        "&lt;&gt;",
        '[1]ETE Attempted COs'!$A$2
        :
        INDEX(
            '[1]ETE Attempted COs'!$A:$A,
            COUNTA('[1]ETE Attempted COs'!$A:$A)
        ),
        "&lt;&gt;Not Found"
    )
    /
    COUNTA(
        '[1]ETE Result'!$B$2
        :
        INDEX(
            '[1]ETE Result'!$B:$B,
            COUNTA('[1]ETE Result'!$B:$B)
        )
    ),
    "0.00%"
)
&amp; ")"</f>
        <v>18 (100.00%)</v>
      </c>
      <c r="O2" s="71" t="str">
        <f>COUNTIFS(
    '[1]ASN Attempted COs'!$A$2
    :
    INDEX(
        '[1]ASN Attempted COs'!$A:$A,
        COUNTA('[1]ASN Attempted COs'!$A:$A)
    ),
    "&lt;&gt;",
    '[1]ASN Attempted COs'!$A$2
    :
    INDEX(
        '[1]ASN Attempted COs'!$A:$A,
        COUNTA('[1]ASN Attempted COs'!$A:$A)
    ),
    "&lt;&gt;Not Found"
)
&amp; " (" &amp;
TEXT(
    COUNTIFS(
        '[1]ASN Attempted COs'!$A$2
        :
        INDEX(
            '[1]ASN Attempted COs'!$A:$A,
            COUNTA('[1]ASN Attempted COs'!$A:$A)
        ),
        "&lt;&gt;",
        '[1]ASN Attempted COs'!$A$2
        :
        INDEX(
            '[1]ASN Attempted COs'!$A:$A,
            COUNTA('[1]ASN Attempted COs'!$A:$A)
        ),
        "&lt;&gt;Not Found"
    )
    /
    COUNTA(
        '[1]ASN Result'!$B$2
        :
        INDEX(
            '[1]ASN Result'!$B:$B,
            COUNTA('[1]ASN Result'!$B:$B)
        )
    ),
    "0.00%"
)
&amp; ")"</f>
        <v>18 (100.00%)</v>
      </c>
    </row>
    <row r="3" spans="1:73" ht="35.4" customHeight="1" x14ac:dyDescent="0.35">
      <c r="A3" s="86" t="s">
        <v>35</v>
      </c>
      <c r="B3" s="87" t="s">
        <v>35</v>
      </c>
      <c r="E3" s="57" t="str">
        <v>CO2</v>
      </c>
      <c r="F3" s="58">
        <v>3</v>
      </c>
      <c r="J3" s="72" t="s">
        <v>1</v>
      </c>
      <c r="K3" s="73" t="str">
        <f>COUNTIFS(
    '[1]ST1 Attempted COs'!$B$2
    :
    INDEX(
        '[1]ST1 Attempted COs'!$B:$B,
        COUNTA('[1]ST1 Attempted COs'!$B:$B)
    ),
    "&lt;&gt;",
    '[1]ST1 Attempted COs'!$B$2
    :
    INDEX(
        '[1]ST1 Attempted COs'!$B:$B,
        COUNTA('[1]ST1 Attempted COs'!$B:$B)
    ),
    "&lt;&gt;Not Found"
)
&amp; " (" &amp;
TEXT(
    COUNTIFS(
        '[1]ST1 Attempted COs'!$B$2
        :
        INDEX(
            '[1]ST1 Attempted COs'!$B:$B,
            COUNTA('[1]ST1 Attempted COs'!$B:$B)
        ),
        "&lt;&gt;",
        '[1]ST1 Attempted COs'!$B$2
        :
        INDEX(
            '[1]ST1 Attempted COs'!$B:$B,
            COUNTA('[1]ST1 Attempted COs'!$B:$B)
        ),
        "&lt;&gt;Not Found"
    )
    /
    COUNTA(
        '[1]ST1 Result'!$B$2
        :
        INDEX(
            '[1]ST1 Result'!$B:$B,
            COUNTA('[1]ST1 Result'!$B:$B)
        )
    ),
    "0.00%"
)
&amp; ")"</f>
        <v>18 (100.00%)</v>
      </c>
      <c r="L3" s="73" t="str">
        <f>COUNTIFS(
    '[1]ST2 Attempted COs'!$B$2
    :
    INDEX(
        '[1]ST2 Attempted COs'!$B:$B,
        COUNTA('[1]ST2 Attempted COs'!$B:$B)
    ),
    "&lt;&gt;",
    '[1]ST2 Attempted COs'!$B$2
    :
    INDEX(
        '[1]ST2 Attempted COs'!$B:$B,
        COUNTA('[1]ST2 Attempted COs'!$B:$B)
    ),
    "&lt;&gt;Not Found"
)
&amp; " (" &amp;
TEXT(
    COUNTIFS(
        '[1]ST2 Attempted COs'!$B$2
        :
        INDEX(
            '[1]ST2 Attempted COs'!$B:$B,
            COUNTA('[1]ST2 Attempted COs'!$B:$B)
        ),
        "&lt;&gt;",
        '[1]ST2 Attempted COs'!$B$2
        :
        INDEX(
            '[1]ST2 Attempted COs'!$B:$B,
            COUNTA('[1]ST2 Attempted COs'!$B:$B)
        ),
        "&lt;&gt;Not Found"
    )
    /
    COUNTA(
        '[1]ST2 Result'!$B$2
        :
        INDEX(
            '[1]ST2 Result'!$B:$B,
            COUNTA('[1]ST2 Result'!$B:$B)
        )
    ),
    "0.00%"
)
&amp; ")"</f>
        <v>0 (0.00%)</v>
      </c>
      <c r="M3" s="73" t="str">
        <f>COUNTIFS(
    '[1]ST3 Attempted COs'!$B$2
    :
    INDEX(
        '[1]ST3 Attempted COs'!$B:$B,
        COUNTA('[1]ST3 Attempted COs'!$B:$B)
    ),
    "&lt;&gt;",
    '[1]ST3 Attempted COs'!$B$2
    :
    INDEX(
        '[1]ST3 Attempted COs'!$B:$B,
        COUNTA('[1]ST3 Attempted COs'!$B:$B)
    ),
    "&lt;&gt;Not Found"
)
&amp; " (" &amp;
TEXT(
    COUNTIFS(
        '[1]ST3 Attempted COs'!$B$2
        :
        INDEX(
            '[1]ST3 Attempted COs'!$B:$B,
            COUNTA('[1]ST3 Attempted COs'!$B:$B)
        ),
        "&lt;&gt;",
        '[1]ST3 Attempted COs'!$B$2
        :
        INDEX(
            '[1]ST3 Attempted COs'!$B:$B,
            COUNTA('[1]ST3 Attempted COs'!$B:$B)
        ),
        "&lt;&gt;Not Found"
    )
    /
    COUNTA(
        '[1]ST3 Result'!$B$2
        :
        INDEX(
            '[1]ST3 Result'!$B:$B,
            COUNTA('[1]ST3 Result'!$B:$B)
        )
    ),
    "0.00%"
)
&amp; ")"</f>
        <v>0 (0.00%)</v>
      </c>
      <c r="N3" s="73" t="str">
        <f>COUNTIFS(
    '[1]ETE Attempted COs'!$B$2
    :
    INDEX(
        '[1]ETE Attempted COs'!$B:$B,
        COUNTA('[1]ETE Attempted COs'!$B:$B)
    ),
    "&lt;&gt;",
    '[1]ETE Attempted COs'!$B$2
    :
    INDEX(
        '[1]ETE Attempted COs'!$B:$B,
        COUNTA('[1]ETE Attempted COs'!$B:$B)
    ),
    "&lt;&gt;Not Found"
)
&amp; " (" &amp;
TEXT(
    COUNTIFS(
        '[1]ETE Attempted COs'!$B$2
        :
        INDEX(
            '[1]ETE Attempted COs'!$B:$B,
            COUNTA('[1]ETE Attempted COs'!$B:$B)
        ),
        "&lt;&gt;",
        '[1]ETE Attempted COs'!$B$2
        :
        INDEX(
            '[1]ETE Attempted COs'!$B:$B,
            COUNTA('[1]ETE Attempted COs'!$B:$B)
        ),
        "&lt;&gt;Not Found"
    )
    /
    COUNTA(
        '[1]ETE Result'!$B$2
        :
        INDEX(
            '[1]ETE Result'!$B:$B,
            COUNTA('[1]ETE Result'!$B:$B)
        )
    ),
    "0.00%"
)
&amp; ")"</f>
        <v>18 (100.00%)</v>
      </c>
      <c r="O3" s="73" t="str">
        <f>COUNTIFS(
    '[1]ASN Attempted COs'!$B$2
    :
    INDEX(
        '[1]ASN Attempted COs'!$B:$B,
        COUNTA('[1]ASN Attempted COs'!$B:$B)
    ),
    "&lt;&gt;",
    '[1]ASN Attempted COs'!$B$2
    :
    INDEX(
        '[1]ASN Attempted COs'!$B:$B,
        COUNTA('[1]ASN Attempted COs'!$B:$B)
    ),
    "&lt;&gt;Not Found"
)
&amp; " (" &amp;
TEXT(
    COUNTIFS(
        '[1]ASN Attempted COs'!$B$2
        :
        INDEX(
            '[1]ASN Attempted COs'!$B:$B,
            COUNTA('[1]ASN Attempted COs'!$B:$B)
        ),
        "&lt;&gt;",
        '[1]ASN Attempted COs'!$B$2
        :
        INDEX(
            '[1]ASN Attempted COs'!$B:$B,
            COUNTA('[1]ASN Attempted COs'!$B:$B)
        ),
        "&lt;&gt;Not Found"
    )
    /
    COUNTA(
        '[1]ASN Result'!$B$2
        :
        INDEX(
            '[1]ASN Result'!$B:$B,
            COUNTA('[1]ASN Result'!$B:$B)
        )
    ),
    "0.00%"
)
&amp; ")"</f>
        <v>18 (100.00%)</v>
      </c>
      <c r="R3" s="97"/>
    </row>
    <row r="4" spans="1:73" ht="61.2" customHeight="1" x14ac:dyDescent="0.35">
      <c r="A4" s="86" t="s">
        <v>31</v>
      </c>
      <c r="B4" s="87" t="s">
        <v>32</v>
      </c>
      <c r="E4" s="63" t="str">
        <v>CO3</v>
      </c>
      <c r="F4" s="64">
        <v>3</v>
      </c>
      <c r="J4" s="74" t="s">
        <v>2</v>
      </c>
      <c r="K4" s="75" t="str">
        <f>COUNTIFS(
    '[1]ST1 Attempted COs'!$C$2
    :
    INDEX(
        '[1]ST1 Attempted COs'!$C:$C,
        COUNTA('[1]ST1 Attempted COs'!$C:$C)
    ),
    "&lt;&gt;",
    '[1]ST1 Attempted COs'!$C$2
    :
    INDEX(
        '[1]ST1 Attempted COs'!$C:$C,
        COUNTA('[1]ST1 Attempted COs'!$C:$C)
    ),
    "&lt;&gt;Not Found"
)
&amp; " (" &amp;
TEXT(
    COUNTIFS(
        '[1]ST1 Attempted COs'!$C$2
        :
        INDEX(
            '[1]ST1 Attempted COs'!$C:$C,
            COUNTA('[1]ST1 Attempted COs'!$C:$C)
        ),
        "&lt;&gt;",
        '[1]ST1 Attempted COs'!$C$2
        :
        INDEX(
            '[1]ST1 Attempted COs'!$C:$C,
            COUNTA('[1]ST1 Attempted COs'!$C:$C)
        ),
        "&lt;&gt;Not Found"
    )
    /
    COUNTA(
        '[1]ST1 Result'!$B$2
        :
        INDEX(
            '[1]ST1 Result'!$B:$B,
            COUNTA('[1]ST1 Result'!$B:$B)
        )
    ),
    "0.00%"
)
&amp; ")"</f>
        <v>18 (100.00%)</v>
      </c>
      <c r="L4" s="75" t="str">
        <f>COUNTIFS(
    '[1]ST2 Attempted COs'!$C$2
    :
    INDEX(
        '[1]ST2 Attempted COs'!$C:$C,
        COUNTA('[1]ST2 Attempted COs'!$C:$C)
    ),
    "&lt;&gt;",
    '[1]ST2 Attempted COs'!$C$2
    :
    INDEX(
        '[1]ST2 Attempted COs'!$C:$C,
        COUNTA('[1]ST2 Attempted COs'!$C:$C)
    ),
    "&lt;&gt;Not Found"
)
&amp; " (" &amp;
TEXT(
    COUNTIFS(
        '[1]ST2 Attempted COs'!$C$2
        :
        INDEX(
            '[1]ST2 Attempted COs'!$C:$C,
            COUNTA('[1]ST2 Attempted COs'!$C:$C)
        ),
        "&lt;&gt;",
        '[1]ST2 Attempted COs'!$C$2
        :
        INDEX(
            '[1]ST2 Attempted COs'!$C:$C,
            COUNTA('[1]ST2 Attempted COs'!$C:$C)
        ),
        "&lt;&gt;Not Found"
    )
    /
    COUNTA(
        '[1]ST2 Result'!$B$2
        :
        INDEX(
            '[1]ST2 Result'!$B:$B,
            COUNTA('[1]ST2 Result'!$B:$B)
        )
    ),
    "0.00%"
)
&amp; ")"</f>
        <v>0 (0.00%)</v>
      </c>
      <c r="M4" s="75" t="str">
        <f>COUNTIFS(
    '[1]ST3 Attempted COs'!$C$2
    :
    INDEX(
        '[1]ST3 Attempted COs'!$C:$C,
        COUNTA('[1]ST3 Attempted COs'!$C:$C)
    ),
    "&lt;&gt;",
    '[1]ST3 Attempted COs'!$C$2
    :
    INDEX(
        '[1]ST3 Attempted COs'!$C:$C,
        COUNTA('[1]ST3 Attempted COs'!$C:$C)
    ),
    "&lt;&gt;Not Found"
)
&amp; " (" &amp;
TEXT(
    COUNTIFS(
        '[1]ST3 Attempted COs'!$C$2
        :
        INDEX(
            '[1]ST3 Attempted COs'!$C:$C,
            COUNTA('[1]ST3 Attempted COs'!$C:$C)
        ),
        "&lt;&gt;",
        '[1]ST3 Attempted COs'!$C$2
        :
        INDEX(
            '[1]ST3 Attempted COs'!$C:$C,
            COUNTA('[1]ST3 Attempted COs'!$C:$C)
        ),
        "&lt;&gt;Not Found"
    )
    /
    COUNTA(
        '[1]ST3 Result'!$B$2
        :
        INDEX(
            '[1]ST3 Result'!$B:$B,
            COUNTA('[1]ST3 Result'!$B:$B)
        )
    ),
    "0.00%"
)
&amp; ")"</f>
        <v>0 (0.00%)</v>
      </c>
      <c r="N4" s="75" t="str">
        <f>COUNTIFS(
    '[1]ETE Attempted COs'!$C$2
    :
    INDEX(
        '[1]ETE Attempted COs'!$C:$C,
        COUNTA('[1]ETE Attempted COs'!$C:$C)
    ),
    "&lt;&gt;",
    '[1]ETE Attempted COs'!$C$2
    :
    INDEX(
        '[1]ETE Attempted COs'!$C:$C,
        COUNTA('[1]ETE Attempted COs'!$C:$C)
    ),
    "&lt;&gt;Not Found"
)
&amp; " (" &amp;
TEXT(
    COUNTIFS(
        '[1]ETE Attempted COs'!$C$2
        :
        INDEX(
            '[1]ETE Attempted COs'!$C:$C,
            COUNTA('[1]ETE Attempted COs'!$C:$C)
        ),
        "&lt;&gt;",
        '[1]ETE Attempted COs'!$C$2
        :
        INDEX(
            '[1]ETE Attempted COs'!$C:$C,
            COUNTA('[1]ETE Attempted COs'!$C:$C)
        ),
        "&lt;&gt;Not Found"
    )
    /
    COUNTA(
        '[1]ETE Result'!$B$2
        :
        INDEX(
            '[1]ETE Result'!$B:$B,
            COUNTA('[1]ETE Result'!$B:$B)
        )
    ),
    "0.00%"
)
&amp; ")"</f>
        <v>18 (100.00%)</v>
      </c>
      <c r="O4" s="75" t="str">
        <f>COUNTIFS(
    '[1]ASN Attempted COs'!$C$2
    :
    INDEX(
        '[1]ASN Attempted COs'!$C:$C,
        COUNTA('[1]ASN Attempted COs'!$C:$C)
    ),
    "&lt;&gt;",
    '[1]ASN Attempted COs'!$C$2
    :
    INDEX(
        '[1]ASN Attempted COs'!$C:$C,
        COUNTA('[1]ASN Attempted COs'!$C:$C)
    ),
    "&lt;&gt;Not Found"
)
&amp; " (" &amp;
TEXT(
    COUNTIFS(
        '[1]ASN Attempted COs'!$C$2
        :
        INDEX(
            '[1]ASN Attempted COs'!$C:$C,
            COUNTA('[1]ASN Attempted COs'!$C:$C)
        ),
        "&lt;&gt;",
        '[1]ASN Attempted COs'!$C$2
        :
        INDEX(
            '[1]ASN Attempted COs'!$C:$C,
            COUNTA('[1]ASN Attempted COs'!$C:$C)
        ),
        "&lt;&gt;Not Found"
    )
    /
    COUNTA(
        '[1]ASN Result'!$B$2
        :
        INDEX(
            '[1]ASN Result'!$B:$B,
            COUNTA('[1]ASN Result'!$B:$B)
        )
    ),
    "0.00%"
)
&amp; ")"</f>
        <v>18 (100.00%)</v>
      </c>
    </row>
    <row r="5" spans="1:73" ht="35.4" customHeight="1" x14ac:dyDescent="0.35">
      <c r="A5" s="88">
        <v>3</v>
      </c>
      <c r="B5" s="89" cm="1">
        <f t="array" ref="B5:B7">'[1]OBE Data'!$B$13:$B$15</f>
        <v>0.8</v>
      </c>
      <c r="E5" s="61" t="str">
        <v>CO4</v>
      </c>
      <c r="F5" s="62">
        <v>3</v>
      </c>
      <c r="J5" s="76" t="s">
        <v>3</v>
      </c>
      <c r="K5" s="77" t="str">
        <f>COUNTIFS(
    '[1]ST1 Attempted COs'!$D$2
    :
    INDEX(
        '[1]ST1 Attempted COs'!$D:$D,
        COUNTA('[1]ST1 Attempted COs'!$D:$D)
    ),
    "&lt;&gt;",
    '[1]ST1 Attempted COs'!$D$2
    :
    INDEX(
        '[1]ST1 Attempted COs'!$D:$D,
        COUNTA('[1]ST1 Attempted COs'!$D:$D)
    ),
    "&lt;&gt;Not Found"
)
&amp; " (" &amp;
TEXT(
    COUNTIFS(
        '[1]ST1 Attempted COs'!$D$2
        :
        INDEX(
            '[1]ST1 Attempted COs'!$D:$D,
            COUNTA('[1]ST1 Attempted COs'!$D:$D)
        ),
        "&lt;&gt;",
        '[1]ST1 Attempted COs'!$D$2
        :
        INDEX(
            '[1]ST1 Attempted COs'!$D:$D,
            COUNTA('[1]ST1 Attempted COs'!$D:$D)
        ),
        "&lt;&gt;Not Found"
    )
    /
    COUNTA(
        '[1]ST1 Result'!$B$2
        :
        INDEX(
            '[1]ST1 Result'!$B:$B,
            COUNTA('[1]ST1 Result'!$B:$B)
        )
    ),
    "0.00%"
)
&amp; ")"</f>
        <v>18 (100.00%)</v>
      </c>
      <c r="L5" s="77" t="str">
        <f>COUNTIFS(
    '[1]ST2 Attempted COs'!$D$2
    :
    INDEX(
        '[1]ST2 Attempted COs'!$D:$D,
        COUNTA('[1]ST2 Attempted COs'!$D:$D)
    ),
    "&lt;&gt;",
    '[1]ST2 Attempted COs'!$D$2
    :
    INDEX(
        '[1]ST2 Attempted COs'!$D:$D,
        COUNTA('[1]ST2 Attempted COs'!$D:$D)
    ),
    "&lt;&gt;Not Found"
)
&amp; " (" &amp;
TEXT(
    COUNTIFS(
        '[1]ST2 Attempted COs'!$D$2
        :
        INDEX(
            '[1]ST2 Attempted COs'!$D:$D,
            COUNTA('[1]ST2 Attempted COs'!$D:$D)
        ),
        "&lt;&gt;",
        '[1]ST2 Attempted COs'!$D$2
        :
        INDEX(
            '[1]ST2 Attempted COs'!$D:$D,
            COUNTA('[1]ST2 Attempted COs'!$D:$D)
        ),
        "&lt;&gt;Not Found"
    )
    /
    COUNTA(
        '[1]ST2 Result'!$B$2
        :
        INDEX(
            '[1]ST2 Result'!$B:$B,
            COUNTA('[1]ST2 Result'!$B:$B)
        )
    ),
    "0.00%"
)
&amp; ")"</f>
        <v>0 (0.00%)</v>
      </c>
      <c r="M5" s="77" t="str">
        <f>COUNTIFS(
    '[1]ST3 Attempted COs'!$D$2
    :
    INDEX(
        '[1]ST3 Attempted COs'!$D:$D,
        COUNTA('[1]ST3 Attempted COs'!$D:$D)
    ),
    "&lt;&gt;",
    '[1]ST3 Attempted COs'!$D$2
    :
    INDEX(
        '[1]ST3 Attempted COs'!$D:$D,
        COUNTA('[1]ST3 Attempted COs'!$D:$D)
    ),
    "&lt;&gt;Not Found"
)
&amp; " (" &amp;
TEXT(
    COUNTIFS(
        '[1]ST3 Attempted COs'!$D$2
        :
        INDEX(
            '[1]ST3 Attempted COs'!$D:$D,
            COUNTA('[1]ST3 Attempted COs'!$D:$D)
        ),
        "&lt;&gt;",
        '[1]ST3 Attempted COs'!$D$2
        :
        INDEX(
            '[1]ST3 Attempted COs'!$D:$D,
            COUNTA('[1]ST3 Attempted COs'!$D:$D)
        ),
        "&lt;&gt;Not Found"
    )
    /
    COUNTA(
        '[1]ST3 Result'!$B$2
        :
        INDEX(
            '[1]ST3 Result'!$B:$B,
            COUNTA('[1]ST3 Result'!$B:$B)
        )
    ),
    "0.00%"
)
&amp; ")"</f>
        <v>0 (0.00%)</v>
      </c>
      <c r="N5" s="77" t="str">
        <f>COUNTIFS(
    '[1]ETE Attempted COs'!$D$2
    :
    INDEX(
        '[1]ETE Attempted COs'!$D:$D,
        COUNTA('[1]ETE Attempted COs'!$D:$D)
    ),
    "&lt;&gt;",
    '[1]ETE Attempted COs'!$D$2
    :
    INDEX(
        '[1]ETE Attempted COs'!$D:$D,
        COUNTA('[1]ETE Attempted COs'!$D:$D)
    ),
    "&lt;&gt;Not Found"
)
&amp; " (" &amp;
TEXT(
    COUNTIFS(
        '[1]ETE Attempted COs'!$D$2
        :
        INDEX(
            '[1]ETE Attempted COs'!$D:$D,
            COUNTA('[1]ETE Attempted COs'!$D:$D)
        ),
        "&lt;&gt;",
        '[1]ETE Attempted COs'!$D$2
        :
        INDEX(
            '[1]ETE Attempted COs'!$D:$D,
            COUNTA('[1]ETE Attempted COs'!$D:$D)
        ),
        "&lt;&gt;Not Found"
    )
    /
    COUNTA(
        '[1]ETE Result'!$B$2
        :
        INDEX(
            '[1]ETE Result'!$B:$B,
            COUNTA('[1]ETE Result'!$B:$B)
        )
    ),
    "0.00%"
)
&amp; ")"</f>
        <v>0 (0.00%)</v>
      </c>
      <c r="O5" s="77" t="str">
        <f>COUNTIFS(
    '[1]ASN Attempted COs'!$D$2
    :
    INDEX(
        '[1]ASN Attempted COs'!$D:$D,
        COUNTA('[1]ASN Attempted COs'!$D:$D)
    ),
    "&lt;&gt;",
    '[1]ASN Attempted COs'!$D$2
    :
    INDEX(
        '[1]ASN Attempted COs'!$D:$D,
        COUNTA('[1]ASN Attempted COs'!$D:$D)
    ),
    "&lt;&gt;Not Found"
)
&amp; " (" &amp;
TEXT(
    COUNTIFS(
        '[1]ASN Attempted COs'!$D$2
        :
        INDEX(
            '[1]ASN Attempted COs'!$D:$D,
            COUNTA('[1]ASN Attempted COs'!$D:$D)
        ),
        "&lt;&gt;",
        '[1]ASN Attempted COs'!$D$2
        :
        INDEX(
            '[1]ASN Attempted COs'!$D:$D,
            COUNTA('[1]ASN Attempted COs'!$D:$D)
        ),
        "&lt;&gt;Not Found"
    )
    /
    COUNTA(
        '[1]ASN Result'!$B$2
        :
        INDEX(
            '[1]ASN Result'!$B:$B,
            COUNTA('[1]ASN Result'!$B:$B)
        )
    ),
    "0.00%"
)
&amp; ")"</f>
        <v>0 (0.00%)</v>
      </c>
    </row>
    <row r="6" spans="1:73" ht="35.4" customHeight="1" x14ac:dyDescent="0.35">
      <c r="A6" s="88">
        <v>2</v>
      </c>
      <c r="B6" s="89">
        <v>0.7</v>
      </c>
      <c r="E6" s="65" t="str">
        <v>CO5</v>
      </c>
      <c r="F6" s="66">
        <v>3</v>
      </c>
      <c r="J6" s="78" t="s">
        <v>9</v>
      </c>
      <c r="K6" s="79" t="str">
        <f>COUNTIFS(
    '[1]ST1 Attempted COs'!$E$2
    :
    INDEX(
        '[1]ST1 Attempted COs'!$E:$E,
        COUNTA('[1]ST1 Attempted COs'!$E:$E)
    ),
    "&lt;&gt;",
    '[1]ST1 Attempted COs'!$E$2
    :
    INDEX(
        '[1]ST1 Attempted COs'!$E:$E,
        COUNTA('[1]ST1 Attempted COs'!$E:$E)
    ),
    "&lt;&gt;Not Found"
)
&amp; " (" &amp;
TEXT(
    COUNTIFS(
        '[1]ST1 Attempted COs'!$E$2
        :
        INDEX(
            '[1]ST1 Attempted COs'!$E:$E,
            COUNTA('[1]ST1 Attempted COs'!$E:$E)
        ),
        "&lt;&gt;",
        '[1]ST1 Attempted COs'!$E$2
        :
        INDEX(
            '[1]ST1 Attempted COs'!$E:$E,
            COUNTA('[1]ST1 Attempted COs'!$E:$E)
        ),
        "&lt;&gt;Not Found"
    )
    /
    COUNTA(
        '[1]ST1 Result'!$B$2
        :
        INDEX(
            '[1]ST1 Result'!$B:$B,
            COUNTA('[1]ST1 Result'!$B:$B)
        )
    ),
    "0.00%"
)
&amp; ")"</f>
        <v>15 (83.33%)</v>
      </c>
      <c r="L6" s="79" t="str">
        <f>COUNTIFS(
    '[1]ST2 Attempted COs'!$E$2
    :
    INDEX(
        '[1]ST2 Attempted COs'!$E:$E,
        COUNTA('[1]ST2 Attempted COs'!$E:$E)
    ),
    "&lt;&gt;",
    '[1]ST2 Attempted COs'!$E$2
    :
    INDEX(
        '[1]ST2 Attempted COs'!$E:$E,
        COUNTA('[1]ST2 Attempted COs'!$E:$E)
    ),
    "&lt;&gt;Not Found"
)
&amp; " (" &amp;
TEXT(
    COUNTIFS(
        '[1]ST2 Attempted COs'!$E$2
        :
        INDEX(
            '[1]ST2 Attempted COs'!$E:$E,
            COUNTA('[1]ST2 Attempted COs'!$E:$E)
        ),
        "&lt;&gt;",
        '[1]ST2 Attempted COs'!$E$2
        :
        INDEX(
            '[1]ST2 Attempted COs'!$E:$E,
            COUNTA('[1]ST2 Attempted COs'!$E:$E)
        ),
        "&lt;&gt;Not Found"
    )
    /
    COUNTA(
        '[1]ST2 Result'!$B$2
        :
        INDEX(
            '[1]ST2 Result'!$B:$B,
            COUNTA('[1]ST2 Result'!$B:$B)
        )
    ),
    "0.00%"
)
&amp; ")"</f>
        <v>0 (0.00%)</v>
      </c>
      <c r="M6" s="79" t="str">
        <f>COUNTIFS(
    '[1]ST3 Attempted COs'!$E$2
    :
    INDEX(
        '[1]ST3 Attempted COs'!$E:$E,
        COUNTA('[1]ST3 Attempted COs'!$E:$E)
    ),
    "&lt;&gt;",
    '[1]ST3 Attempted COs'!$E$2
    :
    INDEX(
        '[1]ST3 Attempted COs'!$E:$E,
        COUNTA('[1]ST3 Attempted COs'!$E:$E)
    ),
    "&lt;&gt;Not Found"
)
&amp; " (" &amp;
TEXT(
    COUNTIFS(
        '[1]ST3 Attempted COs'!$E$2
        :
        INDEX(
            '[1]ST3 Attempted COs'!$E:$E,
            COUNTA('[1]ST3 Attempted COs'!$E:$E)
        ),
        "&lt;&gt;",
        '[1]ST3 Attempted COs'!$E$2
        :
        INDEX(
            '[1]ST3 Attempted COs'!$E:$E,
            COUNTA('[1]ST3 Attempted COs'!$E:$E)
        ),
        "&lt;&gt;Not Found"
    )
    /
    COUNTA(
        '[1]ST3 Result'!$B$2
        :
        INDEX(
            '[1]ST3 Result'!$B:$B,
            COUNTA('[1]ST3 Result'!$B:$B)
        )
    ),
    "0.00%"
)
&amp; ")"</f>
        <v>0 (0.00%)</v>
      </c>
      <c r="N6" s="79" t="str">
        <f>COUNTIFS(
    '[1]ETE Attempted COs'!$E$2
    :
    INDEX(
        '[1]ETE Attempted COs'!$E:$E,
        COUNTA('[1]ETE Attempted COs'!$E:$E)
    ),
    "&lt;&gt;",
    '[1]ETE Attempted COs'!$E$2
    :
    INDEX(
        '[1]ETE Attempted COs'!$E:$E,
        COUNTA('[1]ETE Attempted COs'!$E:$E)
    ),
    "&lt;&gt;Not Found"
)
&amp; " (" &amp;
TEXT(
    COUNTIFS(
        '[1]ETE Attempted COs'!$E$2
        :
        INDEX(
            '[1]ETE Attempted COs'!$E:$E,
            COUNTA('[1]ETE Attempted COs'!$E:$E)
        ),
        "&lt;&gt;",
        '[1]ETE Attempted COs'!$E$2
        :
        INDEX(
            '[1]ETE Attempted COs'!$E:$E,
            COUNTA('[1]ETE Attempted COs'!$E:$E)
        ),
        "&lt;&gt;Not Found"
    )
    /
    COUNTA(
        '[1]ETE Result'!$B$2
        :
        INDEX(
            '[1]ETE Result'!$B:$B,
            COUNTA('[1]ETE Result'!$B:$B)
        )
    ),
    "0.00%"
)
&amp; ")"</f>
        <v>0 (0.00%)</v>
      </c>
      <c r="O6" s="79" t="str">
        <f>COUNTIFS(
    '[1]ASN Attempted COs'!$E$2
    :
    INDEX(
        '[1]ASN Attempted COs'!$E:$E,
        COUNTA('[1]ASN Attempted COs'!$E:$E)
    ),
    "&lt;&gt;",
    '[1]ASN Attempted COs'!$E$2
    :
    INDEX(
        '[1]ASN Attempted COs'!$E:$E,
        COUNTA('[1]ASN Attempted COs'!$E:$E)
    ),
    "&lt;&gt;Not Found"
)
&amp; " (" &amp;
TEXT(
    COUNTIFS(
        '[1]ASN Attempted COs'!$E$2
        :
        INDEX(
            '[1]ASN Attempted COs'!$E:$E,
            COUNTA('[1]ASN Attempted COs'!$E:$E)
        ),
        "&lt;&gt;",
        '[1]ASN Attempted COs'!$E$2
        :
        INDEX(
            '[1]ASN Attempted COs'!$E:$E,
            COUNTA('[1]ASN Attempted COs'!$E:$E)
        ),
        "&lt;&gt;Not Found"
    )
    /
    COUNTA(
        '[1]ASN Result'!$B$2
        :
        INDEX(
            '[1]ASN Result'!$B:$B,
            COUNTA('[1]ASN Result'!$B:$B)
        )
    ),
    "0.00%"
)
&amp; ")"</f>
        <v>0 (0.00%)</v>
      </c>
    </row>
    <row r="7" spans="1:73" ht="35.4" customHeight="1" thickBot="1" x14ac:dyDescent="0.4">
      <c r="A7" s="88">
        <v>1</v>
      </c>
      <c r="B7" s="89">
        <v>0.6</v>
      </c>
      <c r="E7" s="67" t="str">
        <v>CO6</v>
      </c>
      <c r="F7" s="68">
        <v>3</v>
      </c>
      <c r="J7" s="80" t="s">
        <v>10</v>
      </c>
      <c r="K7" s="81" t="str">
        <f>COUNTIFS(
'[1]ST1 Attempted COs'!$F$2
:
INDEX(
'[1]ST1 Attempted COs'!$F:$F,
COUNTA('[1]ST1 Attempted COs'!$F:$F)
),
"&lt;&gt;",
'[1]ST1 Attempted COs'!$F$2
:
INDEX(
'[1]ST1 Attempted COs'!$F:$F,
COUNTA('[1]ST1 Attempted COs'!$F:$F)
),
"&lt;&gt;Not Found"
)
&amp;" ("&amp;
TEXT(
COUNTIFS(
'[1]ST1 Attempted COs'!$F$2
:
INDEX(
'[1]ST1 Attempted COs'!$F:$F,
COUNTA('[1]ST1 Attempted COs'!$F:$F)
),
"&lt;&gt;",
'[1]ST1 Attempted COs'!$F$2
:
INDEX(
'[1]ST1 Attempted COs'!$F:$F,
COUNTA('[1]ST1 Attempted COs'!$F:$F)
),
"&lt;&gt;Not Found"
)
/
COUNTA(
'[1]ST1 Result'!$B$2
:
INDEX(
'[1]ST1 Result'!$B:$B,
COUNTA('[1]ST1 Result'!$B:$B)
)
),
"0.00%"
&amp;")")</f>
        <v>18 (100.00%)</v>
      </c>
      <c r="L7" s="81" t="str">
        <f>COUNTIFS(
    '[1]ST2 Attempted COs'!$F$2
    :
    INDEX(
        '[1]ST2 Attempted COs'!$F:$F,
        COUNTA('[1]ST2 Attempted COs'!$F:$F)
    ),
    "&lt;&gt;",
    '[1]ST2 Attempted COs'!$F$2
    :
    INDEX(
        '[1]ST2 Attempted COs'!$F:$F,
        COUNTA('[1]ST2 Attempted COs'!$F:$F)
    ),
    "&lt;&gt;Not Found"
)
&amp; " (" &amp;
TEXT(
    COUNTIFS(
        '[1]ST2 Attempted COs'!$F$2
        :
        INDEX(
            '[1]ST2 Attempted COs'!$F:$F,
            COUNTA('[1]ST2 Attempted COs'!$F:$F)
        ),
        "&lt;&gt;",
        '[1]ST2 Attempted COs'!$F$2
        :
        INDEX(
            '[1]ST2 Attempted COs'!$F:$F,
            COUNTA('[1]ST2 Attempted COs'!$F:$F)
        ),
        "&lt;&gt;Not Found"
    )
    /
    COUNTA(
        '[1]ST2 Result'!$B$2
        :
        INDEX(
            '[1]ST2 Result'!$B:$B,
            COUNTA('[1]ST2 Result'!$B:$B)
        )
    ),
    "0.00%"
)
&amp; ")"</f>
        <v>0 (0.00%)</v>
      </c>
      <c r="M7" s="81" t="str">
        <f>COUNTIFS(
    '[1]ST3 Attempted COs'!$F$2
    :
    INDEX(
        '[1]ST3 Attempted COs'!$F:$F,
        COUNTA('[1]ST3 Attempted COs'!$F:$F)
    ),
    "&lt;&gt;",
    '[1]ST3 Attempted COs'!$F$2
    :
    INDEX(
        '[1]ST3 Attempted COs'!$F:$F,
        COUNTA('[1]ST3 Attempted COs'!$F:$F)
    ),
    "&lt;&gt;Not Found"
)
&amp; " (" &amp;
TEXT(
    COUNTIFS(
        '[1]ST3 Attempted COs'!$F$2
        :
        INDEX(
            '[1]ST3 Attempted COs'!$F:$F,
            COUNTA('[1]ST3 Attempted COs'!$F:$F)
        ),
        "&lt;&gt;",
        '[1]ST3 Attempted COs'!$F$2
        :
        INDEX(
            '[1]ST3 Attempted COs'!$F:$F,
            COUNTA('[1]ST3 Attempted COs'!$F:$F)
        ),
        "&lt;&gt;Not Found"
    )
    /
    COUNTA(
        '[1]ST3 Result'!$B$2
        :
        INDEX(
            '[1]ST3 Result'!$B:$B,
            COUNTA('[1]ST3 Result'!$B:$B)
        )
    ),
    "0.00%"
)
&amp; ")"</f>
        <v>0 (0.00%)</v>
      </c>
      <c r="N7" s="81" t="str">
        <f>COUNTIFS(
    '[1]ETE Attempted COs'!$F$2
    :
    INDEX(
        '[1]ETE Attempted COs'!$F:$F,
        COUNTA('[1]ETE Attempted COs'!$F:$F)
    ),
    "&lt;&gt;",
    '[1]ETE Attempted COs'!$F$2
    :
    INDEX(
        '[1]ETE Attempted COs'!$F:$F,
        COUNTA('[1]ETE Attempted COs'!$F:$F)
    ),
    "&lt;&gt;Not Found"
)
&amp; " (" &amp;
TEXT(
    COUNTIFS(
        '[1]ETE Attempted COs'!$F$2
        :
        INDEX(
            '[1]ETE Attempted COs'!$F:$F,
            COUNTA('[1]ETE Attempted COs'!$F:$F)
        ),
        "&lt;&gt;",
        '[1]ETE Attempted COs'!$F$2
        :
        INDEX(
            '[1]ETE Attempted COs'!$F:$F,
            COUNTA('[1]ETE Attempted COs'!$F:$F)
        ),
        "&lt;&gt;Not Found"
    )
    /
    COUNTA(
        '[1]ETE Result'!$B$2
        :
        INDEX(
            '[1]ETE Result'!$B:$B,
            COUNTA('[1]ETE Result'!$B:$B)
        )
    ),
    "0.00%"
)
&amp; ")"</f>
        <v>0 (0.00%)</v>
      </c>
      <c r="O7" s="81" t="str">
        <f>COUNTIFS(
    '[1]ASN Attempted COs'!$F$2
    :
    INDEX(
        '[1]ASN Attempted COs'!$F:$F,
        COUNTA('[1]ASN Attempted COs'!$F:$F)
    ),
    "&lt;&gt;",
    '[1]ASN Attempted COs'!$F$2
    :
    INDEX(
        '[1]ASN Attempted COs'!$F:$F,
        COUNTA('[1]ASN Attempted COs'!$F:$F)
    ),
    "&lt;&gt;Not Found"
)
&amp; " (" &amp;
TEXT(
    COUNTIFS(
        '[1]ASN Attempted COs'!$F$2
        :
        INDEX(
            '[1]ASN Attempted COs'!$F:$F,
            COUNTA('[1]ASN Attempted COs'!$F:$F)
        ),
        "&lt;&gt;",
        '[1]ASN Attempted COs'!$F$2
        :
        INDEX(
            '[1]ASN Attempted COs'!$F:$F,
            COUNTA('[1]ASN Attempted COs'!$F:$F)
        ),
        "&lt;&gt;Not Found"
    )
    /
    COUNTA(
        '[1]ASN Result'!$B$2
        :
        INDEX(
            '[1]ASN Result'!$B:$B,
            COUNTA('[1]ASN Result'!$B:$B)
        )
    ),
    "0.00%"
)
&amp; ")"</f>
        <v>0 (0.00%)</v>
      </c>
    </row>
    <row r="8" spans="1:73" ht="35.4" customHeight="1" thickBot="1" x14ac:dyDescent="0.35">
      <c r="A8" s="90" t="s">
        <v>30</v>
      </c>
      <c r="B8" s="91" t="str">
        <f>'[1]OBE Data'!$B$5&amp;"%"</f>
        <v>60%</v>
      </c>
      <c r="E8" s="82" t="str">
        <v>Overall Attainment</v>
      </c>
      <c r="F8" s="83">
        <v>3</v>
      </c>
      <c r="J8" s="69" t="s">
        <v>33</v>
      </c>
      <c r="K8" s="69">
        <f>COUNTA('[1]ST1 Result'!$B$2:INDEX('[1]ST1 Result'!$B:$B,COUNTA('[1]ST1 Result'!B:B)))</f>
        <v>18</v>
      </c>
      <c r="L8" s="69">
        <f>COUNTA('[1]ST1 Result'!$B$2:INDEX('[1]ST1 Result'!$B:$B,COUNTA('[1]ST1 Result'!C:C)))</f>
        <v>18</v>
      </c>
      <c r="M8" s="69">
        <f>COUNTA('[1]ST1 Result'!$B$2:INDEX('[1]ST1 Result'!$B:$B,COUNTA('[1]ST1 Result'!D:D)))</f>
        <v>18</v>
      </c>
      <c r="N8" s="92">
        <f>COUNTA('[1]ST1 Result'!$B$2:INDEX('[1]ST1 Result'!$B:$B,COUNTA('[1]ST1 Result'!E:E)))</f>
        <v>18</v>
      </c>
      <c r="O8" s="92">
        <f>COUNTA('[1]ST1 Result'!$B$2:INDEX('[1]ST1 Result'!$B:$B,COUNTA('[1]ST1 Result'!F:F)))</f>
        <v>18</v>
      </c>
    </row>
    <row r="9" spans="1:73" ht="15.6" thickTop="1" thickBot="1" x14ac:dyDescent="0.35">
      <c r="A9" s="21" t="s">
        <v>27</v>
      </c>
      <c r="B9" s="108" t="s">
        <v>12</v>
      </c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 t="s">
        <v>13</v>
      </c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 t="s">
        <v>14</v>
      </c>
      <c r="AA9" s="108"/>
      <c r="AB9" s="108"/>
      <c r="AC9" s="108"/>
      <c r="AD9" s="108"/>
      <c r="AE9" s="108"/>
      <c r="AF9" s="108"/>
      <c r="AG9" s="108"/>
      <c r="AH9" s="108"/>
      <c r="AI9" s="108"/>
      <c r="AJ9" s="108"/>
      <c r="AK9" s="108"/>
      <c r="AL9" s="108" t="s">
        <v>19</v>
      </c>
      <c r="AM9" s="108"/>
      <c r="AN9" s="108"/>
      <c r="AO9" s="108"/>
      <c r="AP9" s="108"/>
      <c r="AQ9" s="108"/>
      <c r="AR9" s="108"/>
      <c r="AS9" s="108"/>
      <c r="AT9" s="108"/>
      <c r="AU9" s="108"/>
      <c r="AV9" s="108"/>
      <c r="AW9" s="108"/>
      <c r="AX9" s="107" t="s">
        <v>36</v>
      </c>
      <c r="AY9" s="107"/>
      <c r="AZ9" s="107"/>
      <c r="BA9" s="107"/>
      <c r="BB9" s="107"/>
      <c r="BC9" s="107"/>
      <c r="BD9" s="107"/>
      <c r="BE9" s="107"/>
      <c r="BF9" s="107"/>
      <c r="BG9" s="107"/>
      <c r="BH9" s="107"/>
      <c r="BI9" s="107"/>
      <c r="BJ9" s="107" t="s">
        <v>26</v>
      </c>
      <c r="BK9" s="107"/>
      <c r="BL9" s="107"/>
      <c r="BM9" s="107"/>
      <c r="BN9" s="107"/>
      <c r="BO9" s="107"/>
      <c r="BP9" s="107"/>
      <c r="BQ9" s="107"/>
      <c r="BR9" s="107"/>
      <c r="BS9" s="107"/>
      <c r="BT9" s="107"/>
      <c r="BU9" s="107"/>
    </row>
    <row r="10" spans="1:73" ht="15" thickBot="1" x14ac:dyDescent="0.35">
      <c r="A10" s="21" t="str" cm="1">
        <f t="array" ref="A10:A28">'[1]ST1 Result'!$B$1:INDEX('[1]ST1 Result'!$B:$B,COUNTA('[1]ST1 Result'!$B:$B))</f>
        <v>Admission No. (Roll No.)</v>
      </c>
      <c r="B10" s="108" t="s">
        <v>0</v>
      </c>
      <c r="C10" s="108"/>
      <c r="D10" s="108" t="s">
        <v>1</v>
      </c>
      <c r="E10" s="108"/>
      <c r="F10" s="108" t="s">
        <v>2</v>
      </c>
      <c r="G10" s="108"/>
      <c r="H10" s="108" t="s">
        <v>3</v>
      </c>
      <c r="I10" s="108"/>
      <c r="J10" s="108" t="s">
        <v>9</v>
      </c>
      <c r="K10" s="108"/>
      <c r="L10" s="108" t="s">
        <v>10</v>
      </c>
      <c r="M10" s="108"/>
      <c r="N10" s="105" t="s">
        <v>0</v>
      </c>
      <c r="O10" s="106"/>
      <c r="P10" s="105" t="s">
        <v>1</v>
      </c>
      <c r="Q10" s="106"/>
      <c r="R10" s="105" t="s">
        <v>2</v>
      </c>
      <c r="S10" s="106"/>
      <c r="T10" s="105" t="s">
        <v>3</v>
      </c>
      <c r="U10" s="106"/>
      <c r="V10" s="105" t="s">
        <v>9</v>
      </c>
      <c r="W10" s="106"/>
      <c r="X10" s="105" t="s">
        <v>10</v>
      </c>
      <c r="Y10" s="106"/>
      <c r="Z10" s="105" t="s">
        <v>0</v>
      </c>
      <c r="AA10" s="106"/>
      <c r="AB10" s="105" t="s">
        <v>1</v>
      </c>
      <c r="AC10" s="106"/>
      <c r="AD10" s="105" t="s">
        <v>2</v>
      </c>
      <c r="AE10" s="106"/>
      <c r="AF10" s="105" t="s">
        <v>3</v>
      </c>
      <c r="AG10" s="106"/>
      <c r="AH10" s="105" t="s">
        <v>9</v>
      </c>
      <c r="AI10" s="106"/>
      <c r="AJ10" s="105" t="s">
        <v>10</v>
      </c>
      <c r="AK10" s="106"/>
      <c r="AL10" s="105" t="s">
        <v>0</v>
      </c>
      <c r="AM10" s="106"/>
      <c r="AN10" s="105" t="s">
        <v>1</v>
      </c>
      <c r="AO10" s="106"/>
      <c r="AP10" s="105" t="s">
        <v>2</v>
      </c>
      <c r="AQ10" s="106"/>
      <c r="AR10" s="105" t="s">
        <v>3</v>
      </c>
      <c r="AS10" s="106"/>
      <c r="AT10" s="105" t="s">
        <v>9</v>
      </c>
      <c r="AU10" s="106"/>
      <c r="AV10" s="105" t="s">
        <v>10</v>
      </c>
      <c r="AW10" s="106"/>
      <c r="AX10" s="105" t="s">
        <v>0</v>
      </c>
      <c r="AY10" s="106"/>
      <c r="AZ10" s="105" t="s">
        <v>1</v>
      </c>
      <c r="BA10" s="106"/>
      <c r="BB10" s="105" t="s">
        <v>2</v>
      </c>
      <c r="BC10" s="106"/>
      <c r="BD10" s="105" t="s">
        <v>3</v>
      </c>
      <c r="BE10" s="106"/>
      <c r="BF10" s="105" t="s">
        <v>9</v>
      </c>
      <c r="BG10" s="106"/>
      <c r="BH10" s="105" t="s">
        <v>10</v>
      </c>
      <c r="BI10" s="106"/>
      <c r="BJ10" s="105" t="s">
        <v>0</v>
      </c>
      <c r="BK10" s="106"/>
      <c r="BL10" s="105" t="s">
        <v>1</v>
      </c>
      <c r="BM10" s="106"/>
      <c r="BN10" s="105" t="s">
        <v>2</v>
      </c>
      <c r="BO10" s="106"/>
      <c r="BP10" s="105" t="s">
        <v>3</v>
      </c>
      <c r="BQ10" s="106"/>
      <c r="BR10" s="105" t="s">
        <v>9</v>
      </c>
      <c r="BS10" s="106"/>
      <c r="BT10" s="105" t="s">
        <v>10</v>
      </c>
      <c r="BU10" s="106"/>
    </row>
    <row r="11" spans="1:73" x14ac:dyDescent="0.3">
      <c r="A11" s="55">
        <v>2010990089</v>
      </c>
      <c r="B11" s="11" cm="1">
        <f t="array" ref="B11:B28">IFERROR(ROUND('[1]ST1 Student Attainment percent'!$B$2:INDEX('[1]ST1 Student Attainment percent'!$B:$B,COUNTA('[1]ST1 Student Attainment percent'!$B:$B)),2),"NA")</f>
        <v>38.89</v>
      </c>
      <c r="C11" s="5" t="str" cm="1">
        <f t="array" ref="C11:C28">'[1]ST1 Target Attained'!$B$2:INDEX('[1]ST1 Target Attained'!$B:$B,COUNTA('[1]ST1 Target Attained'!$B:$B))</f>
        <v>N</v>
      </c>
      <c r="D11" s="5" cm="1">
        <f t="array" ref="D11:D28">IFERROR(ROUND('[1]ST1 Student Attainment percent'!$C$2:INDEX('[1]ST1 Student Attainment percent'!$C:$C,COUNTA('[1]ST1 Student Attainment percent'!$C:$C)),2),"NA")</f>
        <v>36.36</v>
      </c>
      <c r="E11" s="5" t="str" cm="1">
        <f t="array" ref="E11:E28">'[1]ST1 Target Attained'!$C$2:INDEX('[1]ST1 Target Attained'!$C:$C,COUNTA('[1]ST1 Target Attained'!$C:$C))</f>
        <v>N</v>
      </c>
      <c r="F11" s="5" cm="1">
        <f t="array" ref="F11:F28">IFERROR(ROUND('[1]ST1 Student Attainment percent'!$D$2:INDEX('[1]ST1 Student Attainment percent'!$D:$D,COUNTA('[1]ST1 Student Attainment percent'!$D:$D)),2),"NA")</f>
        <v>35.29</v>
      </c>
      <c r="G11" s="5" t="str" cm="1">
        <f t="array" ref="G11:G28">'[1]ST1 Target Attained'!$D$2:INDEX('[1]ST1 Target Attained'!$D:$D,COUNTA('[1]ST1 Target Attained'!$D:$D))</f>
        <v>N</v>
      </c>
      <c r="H11" s="5" cm="1">
        <f t="array" ref="H11:H28">IFERROR(ROUND('[1]ST1 Student Attainment percent'!$E$2:INDEX('[1]ST1 Student Attainment percent'!$E:$E,COUNTA('[1]ST1 Student Attainment percent'!$E:$E)),2),"NA")</f>
        <v>45.45</v>
      </c>
      <c r="I11" s="5" t="str" cm="1">
        <f t="array" ref="I11:I28">'[1]ST1 Target Attained'!$E$2:INDEX('[1]ST1 Target Attained'!$E:$E,COUNTA('[1]ST1 Target Attained'!$E:$E))</f>
        <v>N</v>
      </c>
      <c r="J11" s="5" t="str" cm="1">
        <f t="array" ref="J11:J28">IFERROR(ROUND('[1]ST1 Student Attainment percent'!$F$2:INDEX('[1]ST1 Student Attainment percent'!$F:$F,COUNTA('[1]ST1 Student Attainment percent'!$F:$F)),2),"NA")</f>
        <v>NA</v>
      </c>
      <c r="K11" s="5" t="str" cm="1">
        <f t="array" ref="K11:K28">'[1]ST1 Target Attained'!$F$2:INDEX('[1]ST1 Target Attained'!$F:$F,COUNTA('[1]ST1 Target Attained'!$F:$F))</f>
        <v>NA</v>
      </c>
      <c r="L11" s="5" cm="1">
        <f t="array" ref="L11:L28">IFERROR(ROUND('[1]ST1 Student Attainment percent'!$G$2:INDEX('[1]ST1 Student Attainment percent'!$G:$G,COUNTA('[1]ST1 Student Attainment percent'!$G:$G)),2),"NA")</f>
        <v>53.33</v>
      </c>
      <c r="M11" s="93" t="str" cm="1">
        <f t="array" ref="M11:M28">'[1]ST1 Target Attained'!$G$2:INDEX('[1]ST1 Target Attained'!$G:$G,COUNTA('[1]ST1 Target Attained'!$G:$G))</f>
        <v>N</v>
      </c>
      <c r="N11" s="11" t="str" cm="1">
        <f t="array" ref="N11:N28">IFERROR(ROUND('[1]ST2 Student Attainment percent'!$B$2:INDEX('[1]ST2 Student Attainment percent'!$B:$B,COUNTA('[1]ST2 Student Attainment percent'!$B:$B)),2),"NA")</f>
        <v>NA</v>
      </c>
      <c r="O11" s="5" t="str" cm="1">
        <f t="array" ref="O11:O28">'[1]ST2 Target Attained'!$B$2:INDEX('[1]ST2 Target Attained'!$B:$B,COUNTA('[1]ST2 Target Attained'!$B:$B))</f>
        <v>Y</v>
      </c>
      <c r="P11" s="5" t="str" cm="1">
        <f t="array" ref="P11:P28">IFERROR(ROUND('[1]ST2 Student Attainment percent'!$C$2:INDEX('[1]ST2 Student Attainment percent'!$C:$C,COUNTA('[1]ST2 Student Attainment percent'!$C:$C)),2),"NA")</f>
        <v>NA</v>
      </c>
      <c r="Q11" s="5" t="str" cm="1">
        <f t="array" ref="Q11:Q28">'[1]ST2 Target Attained'!$C$2:INDEX('[1]ST2 Target Attained'!$C:$C,COUNTA('[1]ST2 Target Attained'!$C:$C))</f>
        <v>NA</v>
      </c>
      <c r="R11" s="5" t="str" cm="1">
        <f t="array" ref="R11:R28">IFERROR(ROUND('[1]ST2 Student Attainment percent'!$D$2:INDEX('[1]ST2 Student Attainment percent'!$D:$D,COUNTA('[1]ST2 Student Attainment percent'!$D:$D)),2),"NA")</f>
        <v>NA</v>
      </c>
      <c r="S11" s="5" t="str" cm="1">
        <f t="array" ref="S11:S28">'[1]ST2 Target Attained'!$D$2:INDEX('[1]ST2 Target Attained'!$D:$D,COUNTA('[1]ST2 Target Attained'!$D:$D))</f>
        <v>NA</v>
      </c>
      <c r="T11" s="5" t="str" cm="1">
        <f t="array" ref="T11:T28">IFERROR(ROUND('[1]ST2 Student Attainment percent'!$E$2:INDEX('[1]ST2 Student Attainment percent'!$E:$E,COUNTA('[1]ST2 Student Attainment percent'!$E:$E)),2),"NA")</f>
        <v>NA</v>
      </c>
      <c r="U11" s="5" t="str" cm="1">
        <f t="array" ref="U11:U28">'[1]ST2 Target Attained'!$E$2:INDEX('[1]ST2 Target Attained'!$E:$E,COUNTA('[1]ST2 Target Attained'!$E:$E))</f>
        <v>NA</v>
      </c>
      <c r="V11" s="5" t="str" cm="1">
        <f t="array" ref="V11:V28">IFERROR(ROUND('[1]ST2 Student Attainment percent'!$F$2:INDEX('[1]ST2 Student Attainment percent'!$F:$F,COUNTA('[1]ST2 Student Attainment percent'!$F:$F)),2),"NA")</f>
        <v>NA</v>
      </c>
      <c r="W11" s="5" t="str" cm="1">
        <f t="array" ref="W11:W28">'[1]ST2 Target Attained'!$F$2:INDEX('[1]ST2 Target Attained'!$F:$F,COUNTA('[1]ST2 Target Attained'!$F:$F))</f>
        <v>NA</v>
      </c>
      <c r="X11" s="5" t="str" cm="1">
        <f t="array" ref="X11:X28">IFERROR(ROUND('[1]ST2 Student Attainment percent'!$G$2:INDEX('[1]ST2 Student Attainment percent'!$G:$G,COUNTA('[1]ST2 Student Attainment percent'!$G:$G)),2),"NA")</f>
        <v>NA</v>
      </c>
      <c r="Y11" s="93" t="str" cm="1">
        <f t="array" ref="Y11:Y28">'[1]ST2 Target Attained'!$G$2:INDEX('[1]ST2 Target Attained'!$G:$G,COUNTA('[1]ST2 Target Attained'!$G:$G))</f>
        <v>NA</v>
      </c>
      <c r="Z11" s="11" t="str" cm="1">
        <f t="array" ref="Z11:Z28">IFERROR(ROUND('[1]ST3 Student Attainment percent'!$B$2:INDEX('[1]ST3 Student Attainment percent'!$B:$B,COUNTA('[1]ST3 Student Attainment percent'!$B:$B)),2),"NA")</f>
        <v>NA</v>
      </c>
      <c r="AA11" s="5" t="str" cm="1">
        <f t="array" ref="AA11:AA28">'[1]ST3 Target Attained'!$B$2:INDEX('[1]ST3 Target Attained'!$B:$B,COUNTA('[1]ST3 Target Attained'!$B:$B))</f>
        <v>NA</v>
      </c>
      <c r="AB11" s="5" t="str" cm="1">
        <f t="array" ref="AB11:AB28">IFERROR(ROUND('[1]ST3 Student Attainment percent'!$C$2:INDEX('[1]ST3 Student Attainment percent'!$C:$C,COUNTA('[1]ST3 Student Attainment percent'!$C:$C)),2),"NA")</f>
        <v>NA</v>
      </c>
      <c r="AC11" s="5" t="str" cm="1">
        <f t="array" ref="AC11:AC28">'[1]ST3 Target Attained'!$C$2:INDEX('[1]ST3 Target Attained'!$C:$C,COUNTA('[1]ST3 Target Attained'!$C:$C))</f>
        <v>NA</v>
      </c>
      <c r="AD11" s="5" t="str" cm="1">
        <f t="array" ref="AD11:AD28">IFERROR(ROUND('[1]ST3 Student Attainment percent'!$D$2:INDEX('[1]ST3 Student Attainment percent'!$D:$D,COUNTA('[1]ST3 Student Attainment percent'!$D:$D)),2),"NA")</f>
        <v>NA</v>
      </c>
      <c r="AE11" s="5" t="str" cm="1">
        <f t="array" ref="AE11:AE28">'[1]ST3 Target Attained'!$D$2:INDEX('[1]ST3 Target Attained'!$D:$D,COUNTA('[1]ST3 Target Attained'!$D:$D))</f>
        <v>NA</v>
      </c>
      <c r="AF11" s="5" t="str" cm="1">
        <f t="array" ref="AF11:AF28">IFERROR(ROUND('[1]ST3 Student Attainment percent'!$E$2:INDEX('[1]ST3 Student Attainment percent'!$E:$E,COUNTA('[1]ST3 Student Attainment percent'!$E:$E)),2),"NA")</f>
        <v>NA</v>
      </c>
      <c r="AG11" s="5" t="str" cm="1">
        <f t="array" ref="AG11:AG28">'[1]ST3 Target Attained'!$E$2:INDEX('[1]ST3 Target Attained'!$E:$E,COUNTA('[1]ST3 Target Attained'!$E:$E))</f>
        <v>NA</v>
      </c>
      <c r="AH11" s="5" t="str" cm="1">
        <f t="array" ref="AH11:AH28">IFERROR(ROUND('[1]ST3 Student Attainment percent'!$F$2:INDEX('[1]ST3 Student Attainment percent'!$F:$F,COUNTA('[1]ST3 Student Attainment percent'!$F:$F)),2),"NA")</f>
        <v>NA</v>
      </c>
      <c r="AI11" s="5" t="str" cm="1">
        <f t="array" ref="AI11:AI28">'[1]ST3 Target Attained'!$F$2:INDEX('[1]ST3 Target Attained'!$F:$F,COUNTA('[1]ST3 Target Attained'!$F:$F))</f>
        <v>NA</v>
      </c>
      <c r="AJ11" s="5" t="str" cm="1">
        <f t="array" ref="AJ11:AJ28">IFERROR(ROUND('[1]ST3 Student Attainment percent'!$G$2:INDEX('[1]ST3 Student Attainment percent'!$G:$G,COUNTA('[1]ST3 Student Attainment percent'!$G:$G)),2),"NA")</f>
        <v>NA</v>
      </c>
      <c r="AK11" s="93" t="str" cm="1">
        <f t="array" ref="AK11:AK28">'[1]ST3 Target Attained'!$G$2:INDEX('[1]ST3 Target Attained'!$G:$G,COUNTA('[1]ST3 Target Attained'!$G:$G))</f>
        <v>NA</v>
      </c>
      <c r="AL11" s="11" cm="1">
        <f t="array" ref="AL11:AL28">IFERROR(ROUND('[1]ETE Student Attainment percent'!$B$2:INDEX('[1]ETE Student Attainment percent'!$B:$B,COUNTA('[1]ETE Student Attainment percent'!$B:$B)),2),"NA")</f>
        <v>75</v>
      </c>
      <c r="AM11" s="5" t="str" cm="1">
        <f t="array" ref="AM11:AM28">'[1]ETE Target Attained'!$B$2:INDEX('[1]ETE Target Attained'!$B:$B,COUNTA('[1]ETE Target Attained'!$B:$B))</f>
        <v>Y</v>
      </c>
      <c r="AN11" s="5" cm="1">
        <f t="array" ref="AN11:AN28">IFERROR(ROUND('[1]ETE Student Attainment percent'!$C$2:INDEX('[1]ETE Student Attainment percent'!$C:$C,COUNTA('[1]ETE Student Attainment percent'!$C:$C)),2),"NA")</f>
        <v>75</v>
      </c>
      <c r="AO11" s="5" t="str" cm="1">
        <f t="array" ref="AO11:AO28">'[1]ETE Target Attained'!$C$2:INDEX('[1]ETE Target Attained'!$C:$C,COUNTA('[1]ETE Target Attained'!$C:$C))</f>
        <v>Y</v>
      </c>
      <c r="AP11" s="5" cm="1">
        <f t="array" ref="AP11:AP28">IFERROR(ROUND('[1]ETE Student Attainment percent'!$D$2:INDEX('[1]ETE Student Attainment percent'!$D:$D,COUNTA('[1]ETE Student Attainment percent'!$D:$D)),2),"NA")</f>
        <v>75</v>
      </c>
      <c r="AQ11" s="5" t="str" cm="1">
        <f t="array" ref="AQ11:AQ28">'[1]ETE Target Attained'!$D$2:INDEX('[1]ETE Target Attained'!$D:$D,COUNTA('[1]ETE Target Attained'!$D:$D))</f>
        <v>Y</v>
      </c>
      <c r="AR11" s="5" t="str" cm="1">
        <f t="array" ref="AR11:AR28">IFERROR(ROUND('[1]ETE Student Attainment percent'!$E$2:INDEX('[1]ETE Student Attainment percent'!$E:$E,COUNTA('[1]ETE Student Attainment percent'!$E:$E)),2),"NA")</f>
        <v>NA</v>
      </c>
      <c r="AS11" s="5" t="str" cm="1">
        <f t="array" ref="AS11:AS28">'[1]ETE Target Attained'!$E$2:INDEX('[1]ETE Target Attained'!$E:$E,COUNTA('[1]ETE Target Attained'!$E:$E))</f>
        <v>Y</v>
      </c>
      <c r="AT11" s="5" t="str" cm="1">
        <f t="array" ref="AT11:AT28">IFERROR(ROUND('[1]ETE Student Attainment percent'!$F$2:INDEX('[1]ETE Student Attainment percent'!$F:$F,COUNTA('[1]ETE Student Attainment percent'!$F:$F)),2),"NA")</f>
        <v>NA</v>
      </c>
      <c r="AU11" s="5" t="str" cm="1">
        <f t="array" ref="AU11:AU28">'[1]ETE Target Attained'!$F$2:INDEX('[1]ETE Target Attained'!$F:$F,COUNTA('[1]ETE Target Attained'!$F:$F))</f>
        <v>Y</v>
      </c>
      <c r="AV11" s="5" t="str" cm="1">
        <f t="array" ref="AV11:AV28">IFERROR(ROUND('[1]ETE Student Attainment percent'!$G$2:INDEX('[1]ETE Student Attainment percent'!$G:$G,COUNTA('[1]ETE Student Attainment percent'!$G:$G)),2),"NA")</f>
        <v>NA</v>
      </c>
      <c r="AW11" s="10" t="str" cm="1">
        <f t="array" ref="AW11:AW28">'[1]ETE Target Attained'!$G$2:INDEX('[1]ETE Target Attained'!$G:$G,COUNTA('[1]ETE Target Attained'!$G:$G))</f>
        <v>Y</v>
      </c>
      <c r="AX11" s="11" cm="1">
        <f t="array" ref="AX11:AX28">IFERROR(ROUND('[1]ASN Student Attainment percent'!$B$2:INDEX('[1]ASN Student Attainment percent'!$B:$B,COUNTA('[1]ASN Student Attainment percent'!$B:$B)),2),"NA")</f>
        <v>66.67</v>
      </c>
      <c r="AY11" s="5" t="str" cm="1">
        <f t="array" ref="AY11:AY28">'[1]ASN Target Attained'!$B$2:INDEX('[1]ASN Target Attained'!$B:$B,COUNTA('[1]ASN Target Attained'!$B:$B))</f>
        <v>Y</v>
      </c>
      <c r="AZ11" s="5" cm="1">
        <f t="array" ref="AZ11:AZ28">IFERROR(ROUND('[1]ASN Student Attainment percent'!$C$2:INDEX('[1]ASN Student Attainment percent'!$C:$C,COUNTA('[1]ASN Student Attainment percent'!$C:$C)),2),"NA")</f>
        <v>66.67</v>
      </c>
      <c r="BA11" s="5" t="str" cm="1">
        <f t="array" ref="BA11:BA27">'[1]ASN Target Attained'!$C$2:INDEX('[1]ASN Target Attained'!$C:$C,COUNTA('[1]ASN Target Attained'!$C:$C))</f>
        <v>Y</v>
      </c>
      <c r="BB11" s="5" cm="1">
        <f t="array" ref="BB11:BB28">IFERROR(ROUND('[1]ASN Student Attainment percent'!$D$2:INDEX('[1]ASN Student Attainment percent'!$D:$D,COUNTA('[1]ASN Student Attainment percent'!$D:$D)),2),"NA")</f>
        <v>80</v>
      </c>
      <c r="BC11" s="5" t="str" cm="1">
        <f t="array" ref="BC11:BC27">'[1]ASN Target Attained'!$D$2:INDEX('[1]ASN Target Attained'!$D:$D,COUNTA('[1]ASN Target Attained'!$D:$D))</f>
        <v>Y</v>
      </c>
      <c r="BD11" s="5" t="str" cm="1">
        <f t="array" ref="BD11:BD28">IFERROR(ROUND('[1]ASN Student Attainment percent'!$E$2:INDEX('[1]ASN Student Attainment percent'!$E:$E,COUNTA('[1]ASN Student Attainment percent'!$E:$E)),2),"NA")</f>
        <v>NA</v>
      </c>
      <c r="BE11" s="5" t="str" cm="1">
        <f t="array" ref="BE11:BE27">'[1]ASN Target Attained'!$E$2:INDEX('[1]ASN Target Attained'!$E:$E,COUNTA('[1]ASN Target Attained'!$E:$E))</f>
        <v>Y</v>
      </c>
      <c r="BF11" s="5" t="str" cm="1">
        <f t="array" ref="BF11:BF28">IFERROR(ROUND('[1]ASN Student Attainment percent'!$F$2:INDEX('[1]ASN Student Attainment percent'!$F:$F,COUNTA('[1]ASN Student Attainment percent'!$F:$F)),2),"NA")</f>
        <v>NA</v>
      </c>
      <c r="BG11" s="5" t="str" cm="1">
        <f t="array" ref="BG11:BG27">'[1]ASN Target Attained'!$F$2:INDEX('[1]ASN Target Attained'!$F:$F,COUNTA('[1]ASN Target Attained'!$F:$F))</f>
        <v>Y</v>
      </c>
      <c r="BH11" s="5" t="str" cm="1">
        <f t="array" ref="BH11:BH28">IFERROR(ROUND('[1]ASN Student Attainment percent'!$G$2:INDEX('[1]ASN Student Attainment percent'!$G:$G,COUNTA('[1]ASN Student Attainment percent'!$G:$G)),2),"NA")</f>
        <v>NA</v>
      </c>
      <c r="BI11" s="10" t="str" cm="1">
        <f t="array" ref="BI11:BI27">'[1]ASN Target Attained'!$G$2:INDEX('[1]ASN Target Attained'!$G:$G,COUNTA('[1]ASN Target Attained'!$G:$G))</f>
        <v>Y</v>
      </c>
      <c r="BJ11" s="94" cm="1">
        <f t="array" ref="BJ11:BJ28">_xlfn.BYROW($A$11:INDEX($A:$A,COUNTA($A:$A)),_xlfn.LAMBDA(_xlpm.row,IFERROR(IFERROR(AVERAGE(INDEX(B:B,ROW(_xlpm.row)),INDEX(N:N,ROW(_xlpm.row)),INDEX(Z:Z,ROW(_xlpm.row)))*'[1]OBE Data'!$B$9+INDEX(AL:AL,ROW(_xlpm.row))*'[1]OBE Data'!$B$10,SUM(AVERAGE(INDEX(B:B,ROW(_xlpm.row)),INDEX(N:N,ROW(_xlpm.row)),INDEX(Z:Z,ROW(_xlpm.row))),INDEX(AL:AL,ROW(_xlpm.row)))),"NA")))</f>
        <v>60.555999999999997</v>
      </c>
      <c r="BK11" s="95" t="str" cm="1">
        <f t="array" ref="BK11:BK28">_xlfn.BYROW($A$11:INDEX($A:$A,COUNTA($A:$A)),_xlfn.LAMBDA(_xlpm.row,_xlfn.IFS(INDEX(BJ:BJ,ROW(_xlpm.row))="NA","NA",INDEX(BJ:BJ,ROW(_xlpm.row))&gt;='[1]OBE Data'!$B$5,"Y",INDEX(BJ:BJ,ROW(_xlpm.row))&lt;'[1]OBE Data'!$B$5,"N")))</f>
        <v>Y</v>
      </c>
      <c r="BL11" s="95" cm="1">
        <f t="array" ref="BL11:BL28">_xlfn.BYROW($A$11:INDEX($A:$A,COUNTA($A:$A)),_xlfn.LAMBDA(_xlpm.row,IFERROR(IFERROR(AVERAGE(INDEX(D:D,ROW(_xlpm.row)),INDEX(P:P,ROW(_xlpm.row)),INDEX(AB:AB,ROW(_xlpm.row)))*'[1]OBE Data'!$B$9+INDEX(AN:AN,ROW(_xlpm.row))*'[1]OBE Data'!$B$10,SUM(AVERAGE(INDEX(D:D,ROW(_xlpm.row)),INDEX(P:P,ROW(_xlpm.row)),INDEX(AB:AB,ROW(_xlpm.row))),INDEX(AN:AN,ROW(_xlpm.row)))),"NA")))</f>
        <v>59.543999999999997</v>
      </c>
      <c r="BM11" s="95" t="str" cm="1">
        <f t="array" ref="BM11:BM28">_xlfn.BYROW($A$11:INDEX($A:$A,COUNTA($A:$A)),_xlfn.LAMBDA(_xlpm.row,_xlfn.IFS(INDEX(BL:BL,ROW(_xlpm.row))="NA","NA",INDEX(BL:BL,ROW(_xlpm.row))&gt;='[1]OBE Data'!$B$5,"Y",INDEX(BL:BL,ROW(_xlpm.row))&lt;'[1]OBE Data'!$B$5,"N")))</f>
        <v>N</v>
      </c>
      <c r="BN11" s="95" cm="1">
        <f t="array" ref="BN11:BN28">_xlfn.BYROW($A$11:INDEX($A:$A,COUNTA($A:$A)),_xlfn.LAMBDA(_xlpm.row,IFERROR(IFERROR(AVERAGE(INDEX(F:F,ROW(_xlpm.row)),INDEX(R:R,ROW(_xlpm.row)),INDEX(AD:AD,ROW(_xlpm.row)))*'[1]OBE Data'!$B$9+INDEX(AP:AP,ROW(_xlpm.row))*'[1]OBE Data'!$B$10,SUM(AVERAGE(INDEX(F:F,ROW(_xlpm.row)),INDEX(R:R,ROW(_xlpm.row)),INDEX(AD:AD,ROW(_xlpm.row))),INDEX(AP:AP,ROW(_xlpm.row)))),"NA")))</f>
        <v>59.116</v>
      </c>
      <c r="BO11" s="95" t="str" cm="1">
        <f t="array" ref="BO11:BO28">_xlfn.BYROW($A$11:INDEX($A:$A,COUNTA($A:$A)),_xlfn.LAMBDA(_xlpm.row,_xlfn.IFS(INDEX(BN:BN,ROW(_xlpm.row))="NA","NA",INDEX(BN:BN,ROW(_xlpm.row))&gt;='[1]OBE Data'!$B$5,"Y",INDEX(BN:BN,ROW(_xlpm.row))&lt;'[1]OBE Data'!$B$5,"N")))</f>
        <v>N</v>
      </c>
      <c r="BP11" s="95" cm="1">
        <f t="array" ref="BP11:BP28">_xlfn.BYROW($A$11:INDEX($A:$A,COUNTA($A:$A)),_xlfn.LAMBDA(_xlpm.row,IFERROR(IFERROR(AVERAGE(INDEX(H:H,ROW(_xlpm.row)),INDEX(T:T,ROW(_xlpm.row)),INDEX(AF:AF,ROW(_xlpm.row)))*'[1]OBE Data'!$B$9+INDEX(AR:AR,ROW(_xlpm.row))*'[1]OBE Data'!$B$10,SUM(AVERAGE(INDEX(H:H,ROW(_xlpm.row)),INDEX(T:T,ROW(_xlpm.row)),INDEX(AF:AF,ROW(_xlpm.row))),INDEX(AR:AR,ROW(_xlpm.row)))),"NA")))</f>
        <v>45.45</v>
      </c>
      <c r="BQ11" s="95" t="str" cm="1">
        <f t="array" ref="BQ11:BQ28">_xlfn.BYROW($A$11:INDEX($A:$A,COUNTA($A:$A)),_xlfn.LAMBDA(_xlpm.row,_xlfn.IFS(INDEX(BP:BP,ROW(_xlpm.row))="NA","NA",INDEX(BP:BP,ROW(_xlpm.row))&gt;='[1]OBE Data'!$B$5,"Y",INDEX(BP:BP,ROW(_xlpm.row))&lt;'[1]OBE Data'!$B$5,"N")))</f>
        <v>N</v>
      </c>
      <c r="BR11" s="95" t="str" cm="1">
        <f t="array" ref="BR11:BR28">_xlfn.BYROW($A$11:INDEX($A:$A,COUNTA($A:$A)),_xlfn.LAMBDA(_xlpm.row,IFERROR(IFERROR(AVERAGE(INDEX(J:J,ROW(_xlpm.row)),INDEX(V:V,ROW(_xlpm.row)),INDEX(AH:AH,ROW(_xlpm.row)))*'[1]OBE Data'!$B$9+INDEX(AT:AT,ROW(_xlpm.row))*'[1]OBE Data'!$B$10,SUM(AVERAGE(INDEX(J:J,ROW(_xlpm.row)),INDEX(V:V,ROW(_xlpm.row)),INDEX(AH:AH,ROW(_xlpm.row))),INDEX(AT:AT,ROW(_xlpm.row)))),"NA")))</f>
        <v>NA</v>
      </c>
      <c r="BS11" s="95" t="str" cm="1">
        <f t="array" ref="BS11:BS28">_xlfn.BYROW($A$11:INDEX($A:$A,COUNTA($A:$A)),_xlfn.LAMBDA(_xlpm.row,_xlfn.IFS(INDEX(BR:BR,ROW(_xlpm.row))="NA","NA",INDEX(BR:BR,ROW(_xlpm.row))&gt;='[1]OBE Data'!$B$5,"Y",INDEX(BR:BR,ROW(_xlpm.row))&lt;'[1]OBE Data'!$B$5,"N")))</f>
        <v>NA</v>
      </c>
      <c r="BT11" s="95" cm="1">
        <f t="array" ref="BT11:BT28">_xlfn.BYROW($A$11:INDEX($A:$A,COUNTA($A:$A)),_xlfn.LAMBDA(_xlpm.row,IFERROR(IFERROR(AVERAGE(INDEX(L:L,ROW(_xlpm.row)),INDEX(X:X,ROW(_xlpm.row)),INDEX(AJ:AJ,ROW(_xlpm.row)))*'[1]OBE Data'!$B$9+INDEX(AV:AV,ROW(_xlpm.row))*'[1]OBE Data'!$B$10,SUM(AVERAGE(INDEX(L:L,ROW(_xlpm.row)),INDEX(X:X,ROW(_xlpm.row)),INDEX(AJ:AJ,ROW(_xlpm.row))),INDEX(AV:AV,ROW(_xlpm.row)))),"NA")))</f>
        <v>53.33</v>
      </c>
      <c r="BU11" s="96" t="str" cm="1">
        <f t="array" ref="BU11:BU28">_xlfn.BYROW($A$11:INDEX($A:$A,COUNTA($A:$A)),_xlfn.LAMBDA(_xlpm.row,_xlfn.IFS(INDEX(BT:BT,ROW(_xlpm.row))="NA","NA",INDEX(BT:BT,ROW(_xlpm.row))&gt;='[1]OBE Data'!$B$5,"Y",INDEX(BT:BT,ROW(_xlpm.row))&lt;'[1]OBE Data'!$B$5,"N")))</f>
        <v>N</v>
      </c>
    </row>
    <row r="12" spans="1:73" x14ac:dyDescent="0.3">
      <c r="A12" s="56">
        <v>2010992002</v>
      </c>
      <c r="B12" s="8">
        <v>94.44</v>
      </c>
      <c r="C12" s="6" t="str">
        <v>Y</v>
      </c>
      <c r="D12" s="6">
        <v>95.45</v>
      </c>
      <c r="E12" s="6" t="str">
        <v>Y</v>
      </c>
      <c r="F12" s="6">
        <v>100</v>
      </c>
      <c r="G12" s="6" t="str">
        <v>Y</v>
      </c>
      <c r="H12" s="6">
        <v>90.91</v>
      </c>
      <c r="I12" s="6" t="str">
        <v>Y</v>
      </c>
      <c r="J12" s="6" t="str">
        <v>NA</v>
      </c>
      <c r="K12" s="6" t="str">
        <v>NA</v>
      </c>
      <c r="L12" s="6">
        <v>93.33</v>
      </c>
      <c r="M12" s="9" t="str">
        <v>Y</v>
      </c>
      <c r="N12" s="8" t="str">
        <v>NA</v>
      </c>
      <c r="O12" s="6" t="str">
        <v>Y</v>
      </c>
      <c r="P12" s="6" t="str">
        <v>NA</v>
      </c>
      <c r="Q12" s="6" t="str">
        <v>NA</v>
      </c>
      <c r="R12" s="6" t="str">
        <v>NA</v>
      </c>
      <c r="S12" s="6" t="str">
        <v>NA</v>
      </c>
      <c r="T12" s="6" t="str">
        <v>NA</v>
      </c>
      <c r="U12" s="6" t="str">
        <v>NA</v>
      </c>
      <c r="V12" s="6" t="str">
        <v>NA</v>
      </c>
      <c r="W12" s="6" t="str">
        <v>NA</v>
      </c>
      <c r="X12" s="6" t="str">
        <v>NA</v>
      </c>
      <c r="Y12" s="9" t="str">
        <v>NA</v>
      </c>
      <c r="Z12" s="8" t="str">
        <v>NA</v>
      </c>
      <c r="AA12" s="6" t="str">
        <v>NA</v>
      </c>
      <c r="AB12" s="6" t="str">
        <v>NA</v>
      </c>
      <c r="AC12" s="6" t="str">
        <v>NA</v>
      </c>
      <c r="AD12" s="6" t="str">
        <v>NA</v>
      </c>
      <c r="AE12" s="6" t="str">
        <v>NA</v>
      </c>
      <c r="AF12" s="6" t="str">
        <v>NA</v>
      </c>
      <c r="AG12" s="6" t="str">
        <v>NA</v>
      </c>
      <c r="AH12" s="6" t="str">
        <v>NA</v>
      </c>
      <c r="AI12" s="6" t="str">
        <v>NA</v>
      </c>
      <c r="AJ12" s="6" t="str">
        <v>NA</v>
      </c>
      <c r="AK12" s="9" t="str">
        <v>NA</v>
      </c>
      <c r="AL12" s="8">
        <v>78.33</v>
      </c>
      <c r="AM12" s="6" t="str">
        <v>Y</v>
      </c>
      <c r="AN12" s="6">
        <v>78.33</v>
      </c>
      <c r="AO12" s="6" t="str">
        <v>Y</v>
      </c>
      <c r="AP12" s="6">
        <v>78.33</v>
      </c>
      <c r="AQ12" s="6" t="str">
        <v>Y</v>
      </c>
      <c r="AR12" s="6" t="str">
        <v>NA</v>
      </c>
      <c r="AS12" s="6" t="str">
        <v>Y</v>
      </c>
      <c r="AT12" s="6" t="str">
        <v>NA</v>
      </c>
      <c r="AU12" s="6" t="str">
        <v>Y</v>
      </c>
      <c r="AV12" s="6" t="str">
        <v>NA</v>
      </c>
      <c r="AW12" s="7" t="str">
        <v>Y</v>
      </c>
      <c r="AX12" s="8">
        <v>73.33</v>
      </c>
      <c r="AY12" s="6" t="str">
        <v>Y</v>
      </c>
      <c r="AZ12" s="6">
        <v>73.33</v>
      </c>
      <c r="BA12" s="6" t="str">
        <v>Y</v>
      </c>
      <c r="BB12" s="6">
        <v>88</v>
      </c>
      <c r="BC12" s="6" t="str">
        <v>Y</v>
      </c>
      <c r="BD12" s="6" t="str">
        <v>NA</v>
      </c>
      <c r="BE12" s="6" t="str">
        <v>Y</v>
      </c>
      <c r="BF12" s="6" t="str">
        <v>NA</v>
      </c>
      <c r="BG12" s="6" t="str">
        <v>Y</v>
      </c>
      <c r="BH12" s="6" t="str">
        <v>NA</v>
      </c>
      <c r="BI12" s="9" t="str">
        <v>Y</v>
      </c>
      <c r="BJ12" s="8">
        <v>84.774000000000001</v>
      </c>
      <c r="BK12" s="6" t="str">
        <v>Y</v>
      </c>
      <c r="BL12" s="6">
        <v>85.177999999999997</v>
      </c>
      <c r="BM12" s="6" t="str">
        <v>Y</v>
      </c>
      <c r="BN12" s="6">
        <v>86.99799999999999</v>
      </c>
      <c r="BO12" s="6" t="str">
        <v>Y</v>
      </c>
      <c r="BP12" s="6">
        <v>90.91</v>
      </c>
      <c r="BQ12" s="6" t="str">
        <v>Y</v>
      </c>
      <c r="BR12" s="6" t="str">
        <v>NA</v>
      </c>
      <c r="BS12" s="6" t="str">
        <v>NA</v>
      </c>
      <c r="BT12" s="6">
        <v>93.33</v>
      </c>
      <c r="BU12" s="9" t="str">
        <v>Y</v>
      </c>
    </row>
    <row r="13" spans="1:73" x14ac:dyDescent="0.3">
      <c r="A13" s="56">
        <v>2010992004</v>
      </c>
      <c r="B13" s="8">
        <v>70</v>
      </c>
      <c r="C13" s="6" t="str">
        <v>Y</v>
      </c>
      <c r="D13" s="6">
        <v>69.23</v>
      </c>
      <c r="E13" s="6" t="str">
        <v>Y</v>
      </c>
      <c r="F13" s="6">
        <v>70.59</v>
      </c>
      <c r="G13" s="6" t="str">
        <v>Y</v>
      </c>
      <c r="H13" s="6">
        <v>68.180000000000007</v>
      </c>
      <c r="I13" s="6" t="str">
        <v>Y</v>
      </c>
      <c r="J13" s="6">
        <v>100</v>
      </c>
      <c r="K13" s="6" t="str">
        <v>Y</v>
      </c>
      <c r="L13" s="6">
        <v>66.67</v>
      </c>
      <c r="M13" s="9" t="str">
        <v>Y</v>
      </c>
      <c r="N13" s="8" t="str">
        <v>NA</v>
      </c>
      <c r="O13" s="6" t="str">
        <v>Y</v>
      </c>
      <c r="P13" s="6" t="str">
        <v>NA</v>
      </c>
      <c r="Q13" s="6" t="str">
        <v>NA</v>
      </c>
      <c r="R13" s="6" t="str">
        <v>NA</v>
      </c>
      <c r="S13" s="6" t="str">
        <v>NA</v>
      </c>
      <c r="T13" s="6" t="str">
        <v>NA</v>
      </c>
      <c r="U13" s="6" t="str">
        <v>NA</v>
      </c>
      <c r="V13" s="6" t="str">
        <v>NA</v>
      </c>
      <c r="W13" s="6" t="str">
        <v>NA</v>
      </c>
      <c r="X13" s="6" t="str">
        <v>NA</v>
      </c>
      <c r="Y13" s="9" t="str">
        <v>NA</v>
      </c>
      <c r="Z13" s="8" t="str">
        <v>NA</v>
      </c>
      <c r="AA13" s="6" t="str">
        <v>NA</v>
      </c>
      <c r="AB13" s="6" t="str">
        <v>NA</v>
      </c>
      <c r="AC13" s="6" t="str">
        <v>NA</v>
      </c>
      <c r="AD13" s="6" t="str">
        <v>NA</v>
      </c>
      <c r="AE13" s="6" t="str">
        <v>NA</v>
      </c>
      <c r="AF13" s="6" t="str">
        <v>NA</v>
      </c>
      <c r="AG13" s="6" t="str">
        <v>NA</v>
      </c>
      <c r="AH13" s="6" t="str">
        <v>NA</v>
      </c>
      <c r="AI13" s="6" t="str">
        <v>NA</v>
      </c>
      <c r="AJ13" s="6" t="str">
        <v>NA</v>
      </c>
      <c r="AK13" s="9" t="str">
        <v>NA</v>
      </c>
      <c r="AL13" s="8">
        <v>76.67</v>
      </c>
      <c r="AM13" s="6" t="str">
        <v>Y</v>
      </c>
      <c r="AN13" s="6">
        <v>76.67</v>
      </c>
      <c r="AO13" s="6" t="str">
        <v>Y</v>
      </c>
      <c r="AP13" s="6">
        <v>76.67</v>
      </c>
      <c r="AQ13" s="6" t="str">
        <v>Y</v>
      </c>
      <c r="AR13" s="6" t="str">
        <v>NA</v>
      </c>
      <c r="AS13" s="6" t="str">
        <v>Y</v>
      </c>
      <c r="AT13" s="6" t="str">
        <v>NA</v>
      </c>
      <c r="AU13" s="6" t="str">
        <v>Y</v>
      </c>
      <c r="AV13" s="6" t="str">
        <v>NA</v>
      </c>
      <c r="AW13" s="7" t="str">
        <v>Y</v>
      </c>
      <c r="AX13" s="8">
        <v>66.67</v>
      </c>
      <c r="AY13" s="6" t="str">
        <v>Y</v>
      </c>
      <c r="AZ13" s="6">
        <v>66.67</v>
      </c>
      <c r="BA13" s="6" t="str">
        <v>Y</v>
      </c>
      <c r="BB13" s="6">
        <v>80</v>
      </c>
      <c r="BC13" s="6" t="str">
        <v>Y</v>
      </c>
      <c r="BD13" s="6" t="str">
        <v>NA</v>
      </c>
      <c r="BE13" s="6" t="str">
        <v>Y</v>
      </c>
      <c r="BF13" s="6" t="str">
        <v>NA</v>
      </c>
      <c r="BG13" s="6" t="str">
        <v>Y</v>
      </c>
      <c r="BH13" s="6" t="str">
        <v>NA</v>
      </c>
      <c r="BI13" s="9" t="str">
        <v>Y</v>
      </c>
      <c r="BJ13" s="8">
        <v>74.00200000000001</v>
      </c>
      <c r="BK13" s="6" t="str">
        <v>Y</v>
      </c>
      <c r="BL13" s="6">
        <v>73.694000000000003</v>
      </c>
      <c r="BM13" s="6" t="str">
        <v>Y</v>
      </c>
      <c r="BN13" s="6">
        <v>74.238</v>
      </c>
      <c r="BO13" s="6" t="str">
        <v>Y</v>
      </c>
      <c r="BP13" s="6">
        <v>68.180000000000007</v>
      </c>
      <c r="BQ13" s="6" t="str">
        <v>Y</v>
      </c>
      <c r="BR13" s="6">
        <v>100</v>
      </c>
      <c r="BS13" s="6" t="str">
        <v>Y</v>
      </c>
      <c r="BT13" s="6">
        <v>66.67</v>
      </c>
      <c r="BU13" s="9" t="str">
        <v>Y</v>
      </c>
    </row>
    <row r="14" spans="1:73" x14ac:dyDescent="0.3">
      <c r="A14" s="56">
        <v>2010992005</v>
      </c>
      <c r="B14" s="8">
        <v>69.44</v>
      </c>
      <c r="C14" s="6" t="str">
        <v>Y</v>
      </c>
      <c r="D14" s="6">
        <v>72.73</v>
      </c>
      <c r="E14" s="6" t="str">
        <v>Y</v>
      </c>
      <c r="F14" s="6">
        <v>76.47</v>
      </c>
      <c r="G14" s="6" t="str">
        <v>Y</v>
      </c>
      <c r="H14" s="6">
        <v>72.73</v>
      </c>
      <c r="I14" s="6" t="str">
        <v>Y</v>
      </c>
      <c r="J14" s="6" t="str">
        <v>NA</v>
      </c>
      <c r="K14" s="6" t="str">
        <v>NA</v>
      </c>
      <c r="L14" s="6">
        <v>73.33</v>
      </c>
      <c r="M14" s="9" t="str">
        <v>Y</v>
      </c>
      <c r="N14" s="8" t="str">
        <v>NA</v>
      </c>
      <c r="O14" s="6" t="str">
        <v>Y</v>
      </c>
      <c r="P14" s="6" t="str">
        <v>NA</v>
      </c>
      <c r="Q14" s="6" t="str">
        <v>NA</v>
      </c>
      <c r="R14" s="6" t="str">
        <v>NA</v>
      </c>
      <c r="S14" s="6" t="str">
        <v>NA</v>
      </c>
      <c r="T14" s="6" t="str">
        <v>NA</v>
      </c>
      <c r="U14" s="6" t="str">
        <v>NA</v>
      </c>
      <c r="V14" s="6" t="str">
        <v>NA</v>
      </c>
      <c r="W14" s="6" t="str">
        <v>NA</v>
      </c>
      <c r="X14" s="6" t="str">
        <v>NA</v>
      </c>
      <c r="Y14" s="9" t="str">
        <v>NA</v>
      </c>
      <c r="Z14" s="8" t="str">
        <v>NA</v>
      </c>
      <c r="AA14" s="6" t="str">
        <v>NA</v>
      </c>
      <c r="AB14" s="6" t="str">
        <v>NA</v>
      </c>
      <c r="AC14" s="6" t="str">
        <v>NA</v>
      </c>
      <c r="AD14" s="6" t="str">
        <v>NA</v>
      </c>
      <c r="AE14" s="6" t="str">
        <v>NA</v>
      </c>
      <c r="AF14" s="6" t="str">
        <v>NA</v>
      </c>
      <c r="AG14" s="6" t="str">
        <v>NA</v>
      </c>
      <c r="AH14" s="6" t="str">
        <v>NA</v>
      </c>
      <c r="AI14" s="6" t="str">
        <v>NA</v>
      </c>
      <c r="AJ14" s="6" t="str">
        <v>NA</v>
      </c>
      <c r="AK14" s="9" t="str">
        <v>NA</v>
      </c>
      <c r="AL14" s="8">
        <v>71.67</v>
      </c>
      <c r="AM14" s="6" t="str">
        <v>Y</v>
      </c>
      <c r="AN14" s="6">
        <v>71.67</v>
      </c>
      <c r="AO14" s="6" t="str">
        <v>Y</v>
      </c>
      <c r="AP14" s="6">
        <v>71.67</v>
      </c>
      <c r="AQ14" s="6" t="str">
        <v>Y</v>
      </c>
      <c r="AR14" s="6" t="str">
        <v>NA</v>
      </c>
      <c r="AS14" s="6" t="str">
        <v>Y</v>
      </c>
      <c r="AT14" s="6" t="str">
        <v>NA</v>
      </c>
      <c r="AU14" s="6" t="str">
        <v>Y</v>
      </c>
      <c r="AV14" s="6" t="str">
        <v>NA</v>
      </c>
      <c r="AW14" s="7" t="str">
        <v>Y</v>
      </c>
      <c r="AX14" s="8">
        <v>75</v>
      </c>
      <c r="AY14" s="6" t="str">
        <v>Y</v>
      </c>
      <c r="AZ14" s="6">
        <v>75</v>
      </c>
      <c r="BA14" s="6" t="str">
        <v>Y</v>
      </c>
      <c r="BB14" s="6">
        <v>90</v>
      </c>
      <c r="BC14" s="6" t="str">
        <v>Y</v>
      </c>
      <c r="BD14" s="6" t="str">
        <v>NA</v>
      </c>
      <c r="BE14" s="6" t="str">
        <v>Y</v>
      </c>
      <c r="BF14" s="6" t="str">
        <v>NA</v>
      </c>
      <c r="BG14" s="6" t="str">
        <v>Y</v>
      </c>
      <c r="BH14" s="6" t="str">
        <v>NA</v>
      </c>
      <c r="BI14" s="9" t="str">
        <v>Y</v>
      </c>
      <c r="BJ14" s="8">
        <v>70.778000000000006</v>
      </c>
      <c r="BK14" s="6" t="str">
        <v>Y</v>
      </c>
      <c r="BL14" s="6">
        <v>72.094000000000008</v>
      </c>
      <c r="BM14" s="6" t="str">
        <v>Y</v>
      </c>
      <c r="BN14" s="6">
        <v>73.59</v>
      </c>
      <c r="BO14" s="6" t="str">
        <v>Y</v>
      </c>
      <c r="BP14" s="6">
        <v>72.73</v>
      </c>
      <c r="BQ14" s="6" t="str">
        <v>Y</v>
      </c>
      <c r="BR14" s="6" t="str">
        <v>NA</v>
      </c>
      <c r="BS14" s="6" t="str">
        <v>NA</v>
      </c>
      <c r="BT14" s="6">
        <v>73.33</v>
      </c>
      <c r="BU14" s="9" t="str">
        <v>Y</v>
      </c>
    </row>
    <row r="15" spans="1:73" x14ac:dyDescent="0.3">
      <c r="A15" s="56">
        <v>2010992006</v>
      </c>
      <c r="B15" s="8">
        <v>70</v>
      </c>
      <c r="C15" s="6" t="str">
        <v>Y</v>
      </c>
      <c r="D15" s="6">
        <v>69.23</v>
      </c>
      <c r="E15" s="6" t="str">
        <v>Y</v>
      </c>
      <c r="F15" s="6">
        <v>70.59</v>
      </c>
      <c r="G15" s="6" t="str">
        <v>Y</v>
      </c>
      <c r="H15" s="6">
        <v>68.180000000000007</v>
      </c>
      <c r="I15" s="6" t="str">
        <v>Y</v>
      </c>
      <c r="J15" s="6">
        <v>100</v>
      </c>
      <c r="K15" s="6" t="str">
        <v>Y</v>
      </c>
      <c r="L15" s="6">
        <v>66.67</v>
      </c>
      <c r="M15" s="9" t="str">
        <v>Y</v>
      </c>
      <c r="N15" s="8" t="str">
        <v>NA</v>
      </c>
      <c r="O15" s="6" t="str">
        <v>Y</v>
      </c>
      <c r="P15" s="6" t="str">
        <v>NA</v>
      </c>
      <c r="Q15" s="6" t="str">
        <v>NA</v>
      </c>
      <c r="R15" s="6" t="str">
        <v>NA</v>
      </c>
      <c r="S15" s="6" t="str">
        <v>NA</v>
      </c>
      <c r="T15" s="6" t="str">
        <v>NA</v>
      </c>
      <c r="U15" s="6" t="str">
        <v>NA</v>
      </c>
      <c r="V15" s="6" t="str">
        <v>NA</v>
      </c>
      <c r="W15" s="6" t="str">
        <v>NA</v>
      </c>
      <c r="X15" s="6" t="str">
        <v>NA</v>
      </c>
      <c r="Y15" s="9" t="str">
        <v>NA</v>
      </c>
      <c r="Z15" s="8" t="str">
        <v>NA</v>
      </c>
      <c r="AA15" s="6" t="str">
        <v>NA</v>
      </c>
      <c r="AB15" s="6" t="str">
        <v>NA</v>
      </c>
      <c r="AC15" s="6" t="str">
        <v>NA</v>
      </c>
      <c r="AD15" s="6" t="str">
        <v>NA</v>
      </c>
      <c r="AE15" s="6" t="str">
        <v>NA</v>
      </c>
      <c r="AF15" s="6" t="str">
        <v>NA</v>
      </c>
      <c r="AG15" s="6" t="str">
        <v>NA</v>
      </c>
      <c r="AH15" s="6" t="str">
        <v>NA</v>
      </c>
      <c r="AI15" s="6" t="str">
        <v>NA</v>
      </c>
      <c r="AJ15" s="6" t="str">
        <v>NA</v>
      </c>
      <c r="AK15" s="9" t="str">
        <v>NA</v>
      </c>
      <c r="AL15" s="8">
        <v>80</v>
      </c>
      <c r="AM15" s="6" t="str">
        <v>Y</v>
      </c>
      <c r="AN15" s="6">
        <v>80</v>
      </c>
      <c r="AO15" s="6" t="str">
        <v>Y</v>
      </c>
      <c r="AP15" s="6">
        <v>80</v>
      </c>
      <c r="AQ15" s="6" t="str">
        <v>Y</v>
      </c>
      <c r="AR15" s="6" t="str">
        <v>NA</v>
      </c>
      <c r="AS15" s="6" t="str">
        <v>Y</v>
      </c>
      <c r="AT15" s="6" t="str">
        <v>NA</v>
      </c>
      <c r="AU15" s="6" t="str">
        <v>Y</v>
      </c>
      <c r="AV15" s="6" t="str">
        <v>NA</v>
      </c>
      <c r="AW15" s="7" t="str">
        <v>Y</v>
      </c>
      <c r="AX15" s="8">
        <v>61.67</v>
      </c>
      <c r="AY15" s="6" t="str">
        <v>Y</v>
      </c>
      <c r="AZ15" s="6">
        <v>61.67</v>
      </c>
      <c r="BA15" s="6" t="str">
        <v>Y</v>
      </c>
      <c r="BB15" s="6">
        <v>74</v>
      </c>
      <c r="BC15" s="6" t="str">
        <v>Y</v>
      </c>
      <c r="BD15" s="6" t="str">
        <v>NA</v>
      </c>
      <c r="BE15" s="6" t="str">
        <v>Y</v>
      </c>
      <c r="BF15" s="6" t="str">
        <v>NA</v>
      </c>
      <c r="BG15" s="6" t="str">
        <v>Y</v>
      </c>
      <c r="BH15" s="6" t="str">
        <v>NA</v>
      </c>
      <c r="BI15" s="9" t="str">
        <v>Y</v>
      </c>
      <c r="BJ15" s="8">
        <v>76</v>
      </c>
      <c r="BK15" s="6" t="str">
        <v>Y</v>
      </c>
      <c r="BL15" s="6">
        <v>75.692000000000007</v>
      </c>
      <c r="BM15" s="6" t="str">
        <v>Y</v>
      </c>
      <c r="BN15" s="6">
        <v>76.236000000000004</v>
      </c>
      <c r="BO15" s="6" t="str">
        <v>Y</v>
      </c>
      <c r="BP15" s="6">
        <v>68.180000000000007</v>
      </c>
      <c r="BQ15" s="6" t="str">
        <v>Y</v>
      </c>
      <c r="BR15" s="6">
        <v>100</v>
      </c>
      <c r="BS15" s="6" t="str">
        <v>Y</v>
      </c>
      <c r="BT15" s="6">
        <v>66.67</v>
      </c>
      <c r="BU15" s="9" t="str">
        <v>Y</v>
      </c>
    </row>
    <row r="16" spans="1:73" x14ac:dyDescent="0.3">
      <c r="A16" s="56">
        <v>2010992008</v>
      </c>
      <c r="B16" s="8">
        <v>72.5</v>
      </c>
      <c r="C16" s="6" t="str">
        <v>Y</v>
      </c>
      <c r="D16" s="6">
        <v>73.08</v>
      </c>
      <c r="E16" s="6" t="str">
        <v>Y</v>
      </c>
      <c r="F16" s="6">
        <v>70.59</v>
      </c>
      <c r="G16" s="6" t="str">
        <v>Y</v>
      </c>
      <c r="H16" s="6">
        <v>72.73</v>
      </c>
      <c r="I16" s="6" t="str">
        <v>Y</v>
      </c>
      <c r="J16" s="6">
        <v>100</v>
      </c>
      <c r="K16" s="6" t="str">
        <v>Y</v>
      </c>
      <c r="L16" s="6">
        <v>73.33</v>
      </c>
      <c r="M16" s="9" t="str">
        <v>Y</v>
      </c>
      <c r="N16" s="8" t="str">
        <v>NA</v>
      </c>
      <c r="O16" s="6" t="str">
        <v>Y</v>
      </c>
      <c r="P16" s="6" t="str">
        <v>NA</v>
      </c>
      <c r="Q16" s="6" t="str">
        <v>NA</v>
      </c>
      <c r="R16" s="6" t="str">
        <v>NA</v>
      </c>
      <c r="S16" s="6" t="str">
        <v>NA</v>
      </c>
      <c r="T16" s="6" t="str">
        <v>NA</v>
      </c>
      <c r="U16" s="6" t="str">
        <v>NA</v>
      </c>
      <c r="V16" s="6" t="str">
        <v>NA</v>
      </c>
      <c r="W16" s="6" t="str">
        <v>NA</v>
      </c>
      <c r="X16" s="6" t="str">
        <v>NA</v>
      </c>
      <c r="Y16" s="9" t="str">
        <v>NA</v>
      </c>
      <c r="Z16" s="8" t="str">
        <v>NA</v>
      </c>
      <c r="AA16" s="6" t="str">
        <v>NA</v>
      </c>
      <c r="AB16" s="6" t="str">
        <v>NA</v>
      </c>
      <c r="AC16" s="6" t="str">
        <v>NA</v>
      </c>
      <c r="AD16" s="6" t="str">
        <v>NA</v>
      </c>
      <c r="AE16" s="6" t="str">
        <v>NA</v>
      </c>
      <c r="AF16" s="6" t="str">
        <v>NA</v>
      </c>
      <c r="AG16" s="6" t="str">
        <v>NA</v>
      </c>
      <c r="AH16" s="6" t="str">
        <v>NA</v>
      </c>
      <c r="AI16" s="6" t="str">
        <v>NA</v>
      </c>
      <c r="AJ16" s="6" t="str">
        <v>NA</v>
      </c>
      <c r="AK16" s="9" t="str">
        <v>NA</v>
      </c>
      <c r="AL16" s="8">
        <v>80</v>
      </c>
      <c r="AM16" s="6" t="str">
        <v>Y</v>
      </c>
      <c r="AN16" s="6">
        <v>80</v>
      </c>
      <c r="AO16" s="6" t="str">
        <v>Y</v>
      </c>
      <c r="AP16" s="6">
        <v>80</v>
      </c>
      <c r="AQ16" s="6" t="str">
        <v>Y</v>
      </c>
      <c r="AR16" s="6" t="str">
        <v>NA</v>
      </c>
      <c r="AS16" s="6" t="str">
        <v>Y</v>
      </c>
      <c r="AT16" s="6" t="str">
        <v>NA</v>
      </c>
      <c r="AU16" s="6" t="str">
        <v>Y</v>
      </c>
      <c r="AV16" s="6" t="str">
        <v>NA</v>
      </c>
      <c r="AW16" s="7" t="str">
        <v>Y</v>
      </c>
      <c r="AX16" s="8">
        <v>71.67</v>
      </c>
      <c r="AY16" s="6" t="str">
        <v>Y</v>
      </c>
      <c r="AZ16" s="6">
        <v>71.67</v>
      </c>
      <c r="BA16" s="6" t="str">
        <v>Y</v>
      </c>
      <c r="BB16" s="6">
        <v>86</v>
      </c>
      <c r="BC16" s="6" t="str">
        <v>Y</v>
      </c>
      <c r="BD16" s="6" t="str">
        <v>NA</v>
      </c>
      <c r="BE16" s="6" t="str">
        <v>Y</v>
      </c>
      <c r="BF16" s="6" t="str">
        <v>NA</v>
      </c>
      <c r="BG16" s="6" t="str">
        <v>Y</v>
      </c>
      <c r="BH16" s="6" t="str">
        <v>NA</v>
      </c>
      <c r="BI16" s="9" t="str">
        <v>Y</v>
      </c>
      <c r="BJ16" s="8">
        <v>77</v>
      </c>
      <c r="BK16" s="6" t="str">
        <v>Y</v>
      </c>
      <c r="BL16" s="6">
        <v>77.231999999999999</v>
      </c>
      <c r="BM16" s="6" t="str">
        <v>Y</v>
      </c>
      <c r="BN16" s="6">
        <v>76.236000000000004</v>
      </c>
      <c r="BO16" s="6" t="str">
        <v>Y</v>
      </c>
      <c r="BP16" s="6">
        <v>72.73</v>
      </c>
      <c r="BQ16" s="6" t="str">
        <v>Y</v>
      </c>
      <c r="BR16" s="6">
        <v>100</v>
      </c>
      <c r="BS16" s="6" t="str">
        <v>Y</v>
      </c>
      <c r="BT16" s="6">
        <v>73.33</v>
      </c>
      <c r="BU16" s="9" t="str">
        <v>Y</v>
      </c>
    </row>
    <row r="17" spans="1:73" x14ac:dyDescent="0.3">
      <c r="A17" s="56">
        <v>2010992009</v>
      </c>
      <c r="B17" s="8">
        <v>70</v>
      </c>
      <c r="C17" s="6" t="str">
        <v>Y</v>
      </c>
      <c r="D17" s="6">
        <v>69.23</v>
      </c>
      <c r="E17" s="6" t="str">
        <v>Y</v>
      </c>
      <c r="F17" s="6">
        <v>82.35</v>
      </c>
      <c r="G17" s="6" t="str">
        <v>Y</v>
      </c>
      <c r="H17" s="6">
        <v>72.73</v>
      </c>
      <c r="I17" s="6" t="str">
        <v>Y</v>
      </c>
      <c r="J17" s="6">
        <v>50</v>
      </c>
      <c r="K17" s="6" t="str">
        <v>N</v>
      </c>
      <c r="L17" s="6">
        <v>73.33</v>
      </c>
      <c r="M17" s="9" t="str">
        <v>Y</v>
      </c>
      <c r="N17" s="8" t="str">
        <v>NA</v>
      </c>
      <c r="O17" s="6" t="str">
        <v>Y</v>
      </c>
      <c r="P17" s="6" t="str">
        <v>NA</v>
      </c>
      <c r="Q17" s="6" t="str">
        <v>NA</v>
      </c>
      <c r="R17" s="6" t="str">
        <v>NA</v>
      </c>
      <c r="S17" s="6" t="str">
        <v>NA</v>
      </c>
      <c r="T17" s="6" t="str">
        <v>NA</v>
      </c>
      <c r="U17" s="6" t="str">
        <v>NA</v>
      </c>
      <c r="V17" s="6" t="str">
        <v>NA</v>
      </c>
      <c r="W17" s="6" t="str">
        <v>NA</v>
      </c>
      <c r="X17" s="6" t="str">
        <v>NA</v>
      </c>
      <c r="Y17" s="9" t="str">
        <v>NA</v>
      </c>
      <c r="Z17" s="8" t="str">
        <v>NA</v>
      </c>
      <c r="AA17" s="6" t="str">
        <v>NA</v>
      </c>
      <c r="AB17" s="6" t="str">
        <v>NA</v>
      </c>
      <c r="AC17" s="6" t="str">
        <v>NA</v>
      </c>
      <c r="AD17" s="6" t="str">
        <v>NA</v>
      </c>
      <c r="AE17" s="6" t="str">
        <v>NA</v>
      </c>
      <c r="AF17" s="6" t="str">
        <v>NA</v>
      </c>
      <c r="AG17" s="6" t="str">
        <v>NA</v>
      </c>
      <c r="AH17" s="6" t="str">
        <v>NA</v>
      </c>
      <c r="AI17" s="6" t="str">
        <v>NA</v>
      </c>
      <c r="AJ17" s="6" t="str">
        <v>NA</v>
      </c>
      <c r="AK17" s="9" t="str">
        <v>NA</v>
      </c>
      <c r="AL17" s="8">
        <v>83.33</v>
      </c>
      <c r="AM17" s="6" t="str">
        <v>Y</v>
      </c>
      <c r="AN17" s="6">
        <v>83.33</v>
      </c>
      <c r="AO17" s="6" t="str">
        <v>Y</v>
      </c>
      <c r="AP17" s="6">
        <v>83.33</v>
      </c>
      <c r="AQ17" s="6" t="str">
        <v>Y</v>
      </c>
      <c r="AR17" s="6" t="str">
        <v>NA</v>
      </c>
      <c r="AS17" s="6" t="str">
        <v>Y</v>
      </c>
      <c r="AT17" s="6" t="str">
        <v>NA</v>
      </c>
      <c r="AU17" s="6" t="str">
        <v>Y</v>
      </c>
      <c r="AV17" s="6" t="str">
        <v>NA</v>
      </c>
      <c r="AW17" s="7" t="str">
        <v>Y</v>
      </c>
      <c r="AX17" s="8">
        <v>71.67</v>
      </c>
      <c r="AY17" s="6" t="str">
        <v>Y</v>
      </c>
      <c r="AZ17" s="6">
        <v>71.67</v>
      </c>
      <c r="BA17" s="6" t="str">
        <v>Y</v>
      </c>
      <c r="BB17" s="6">
        <v>86</v>
      </c>
      <c r="BC17" s="6" t="str">
        <v>Y</v>
      </c>
      <c r="BD17" s="6" t="str">
        <v>NA</v>
      </c>
      <c r="BE17" s="6" t="str">
        <v>Y</v>
      </c>
      <c r="BF17" s="6" t="str">
        <v>NA</v>
      </c>
      <c r="BG17" s="6" t="str">
        <v>Y</v>
      </c>
      <c r="BH17" s="6" t="str">
        <v>NA</v>
      </c>
      <c r="BI17" s="9" t="str">
        <v>Y</v>
      </c>
      <c r="BJ17" s="8">
        <v>77.99799999999999</v>
      </c>
      <c r="BK17" s="6" t="str">
        <v>Y</v>
      </c>
      <c r="BL17" s="6">
        <v>77.69</v>
      </c>
      <c r="BM17" s="6" t="str">
        <v>Y</v>
      </c>
      <c r="BN17" s="6">
        <v>82.937999999999988</v>
      </c>
      <c r="BO17" s="6" t="str">
        <v>Y</v>
      </c>
      <c r="BP17" s="6">
        <v>72.73</v>
      </c>
      <c r="BQ17" s="6" t="str">
        <v>Y</v>
      </c>
      <c r="BR17" s="6">
        <v>50</v>
      </c>
      <c r="BS17" s="6" t="str">
        <v>N</v>
      </c>
      <c r="BT17" s="6">
        <v>73.33</v>
      </c>
      <c r="BU17" s="9" t="str">
        <v>Y</v>
      </c>
    </row>
    <row r="18" spans="1:73" x14ac:dyDescent="0.3">
      <c r="A18" s="56">
        <v>2010992010</v>
      </c>
      <c r="B18" s="8">
        <v>72.5</v>
      </c>
      <c r="C18" s="6" t="str">
        <v>Y</v>
      </c>
      <c r="D18" s="6">
        <v>73.08</v>
      </c>
      <c r="E18" s="6" t="str">
        <v>Y</v>
      </c>
      <c r="F18" s="6">
        <v>76.47</v>
      </c>
      <c r="G18" s="6" t="str">
        <v>Y</v>
      </c>
      <c r="H18" s="6">
        <v>77.27</v>
      </c>
      <c r="I18" s="6" t="str">
        <v>Y</v>
      </c>
      <c r="J18" s="6">
        <v>50</v>
      </c>
      <c r="K18" s="6" t="str">
        <v>N</v>
      </c>
      <c r="L18" s="6">
        <v>80</v>
      </c>
      <c r="M18" s="9" t="str">
        <v>Y</v>
      </c>
      <c r="N18" s="8" t="str">
        <v>NA</v>
      </c>
      <c r="O18" s="6" t="str">
        <v>Y</v>
      </c>
      <c r="P18" s="6" t="str">
        <v>NA</v>
      </c>
      <c r="Q18" s="6" t="str">
        <v>NA</v>
      </c>
      <c r="R18" s="6" t="str">
        <v>NA</v>
      </c>
      <c r="S18" s="6" t="str">
        <v>NA</v>
      </c>
      <c r="T18" s="6" t="str">
        <v>NA</v>
      </c>
      <c r="U18" s="6" t="str">
        <v>NA</v>
      </c>
      <c r="V18" s="6" t="str">
        <v>NA</v>
      </c>
      <c r="W18" s="6" t="str">
        <v>NA</v>
      </c>
      <c r="X18" s="6" t="str">
        <v>NA</v>
      </c>
      <c r="Y18" s="9" t="str">
        <v>NA</v>
      </c>
      <c r="Z18" s="8" t="str">
        <v>NA</v>
      </c>
      <c r="AA18" s="6" t="str">
        <v>NA</v>
      </c>
      <c r="AB18" s="6" t="str">
        <v>NA</v>
      </c>
      <c r="AC18" s="6" t="str">
        <v>NA</v>
      </c>
      <c r="AD18" s="6" t="str">
        <v>NA</v>
      </c>
      <c r="AE18" s="6" t="str">
        <v>NA</v>
      </c>
      <c r="AF18" s="6" t="str">
        <v>NA</v>
      </c>
      <c r="AG18" s="6" t="str">
        <v>NA</v>
      </c>
      <c r="AH18" s="6" t="str">
        <v>NA</v>
      </c>
      <c r="AI18" s="6" t="str">
        <v>NA</v>
      </c>
      <c r="AJ18" s="6" t="str">
        <v>NA</v>
      </c>
      <c r="AK18" s="9" t="str">
        <v>NA</v>
      </c>
      <c r="AL18" s="8">
        <v>80</v>
      </c>
      <c r="AM18" s="6" t="str">
        <v>Y</v>
      </c>
      <c r="AN18" s="6">
        <v>80</v>
      </c>
      <c r="AO18" s="6" t="str">
        <v>Y</v>
      </c>
      <c r="AP18" s="6">
        <v>80</v>
      </c>
      <c r="AQ18" s="6" t="str">
        <v>Y</v>
      </c>
      <c r="AR18" s="6" t="str">
        <v>NA</v>
      </c>
      <c r="AS18" s="6" t="str">
        <v>Y</v>
      </c>
      <c r="AT18" s="6" t="str">
        <v>NA</v>
      </c>
      <c r="AU18" s="6" t="str">
        <v>Y</v>
      </c>
      <c r="AV18" s="6" t="str">
        <v>NA</v>
      </c>
      <c r="AW18" s="7" t="str">
        <v>Y</v>
      </c>
      <c r="AX18" s="8">
        <v>73.33</v>
      </c>
      <c r="AY18" s="6" t="str">
        <v>Y</v>
      </c>
      <c r="AZ18" s="6">
        <v>73.33</v>
      </c>
      <c r="BA18" s="6" t="str">
        <v>Y</v>
      </c>
      <c r="BB18" s="6">
        <v>88</v>
      </c>
      <c r="BC18" s="6" t="str">
        <v>Y</v>
      </c>
      <c r="BD18" s="6" t="str">
        <v>NA</v>
      </c>
      <c r="BE18" s="6" t="str">
        <v>Y</v>
      </c>
      <c r="BF18" s="6" t="str">
        <v>NA</v>
      </c>
      <c r="BG18" s="6" t="str">
        <v>Y</v>
      </c>
      <c r="BH18" s="6" t="str">
        <v>NA</v>
      </c>
      <c r="BI18" s="9" t="str">
        <v>Y</v>
      </c>
      <c r="BJ18" s="8">
        <v>77</v>
      </c>
      <c r="BK18" s="6" t="str">
        <v>Y</v>
      </c>
      <c r="BL18" s="6">
        <v>77.231999999999999</v>
      </c>
      <c r="BM18" s="6" t="str">
        <v>Y</v>
      </c>
      <c r="BN18" s="6">
        <v>78.587999999999994</v>
      </c>
      <c r="BO18" s="6" t="str">
        <v>Y</v>
      </c>
      <c r="BP18" s="6">
        <v>77.27</v>
      </c>
      <c r="BQ18" s="6" t="str">
        <v>Y</v>
      </c>
      <c r="BR18" s="6">
        <v>50</v>
      </c>
      <c r="BS18" s="6" t="str">
        <v>N</v>
      </c>
      <c r="BT18" s="6">
        <v>80</v>
      </c>
      <c r="BU18" s="9" t="str">
        <v>Y</v>
      </c>
    </row>
    <row r="19" spans="1:73" x14ac:dyDescent="0.3">
      <c r="A19" s="56">
        <v>2010992011</v>
      </c>
      <c r="B19" s="8">
        <v>70</v>
      </c>
      <c r="C19" s="6" t="str">
        <v>Y</v>
      </c>
      <c r="D19" s="6">
        <v>73.08</v>
      </c>
      <c r="E19" s="6" t="str">
        <v>Y</v>
      </c>
      <c r="F19" s="6">
        <v>70.59</v>
      </c>
      <c r="G19" s="6" t="str">
        <v>Y</v>
      </c>
      <c r="H19" s="6">
        <v>77.27</v>
      </c>
      <c r="I19" s="6" t="str">
        <v>Y</v>
      </c>
      <c r="J19" s="6">
        <v>50</v>
      </c>
      <c r="K19" s="6" t="str">
        <v>N</v>
      </c>
      <c r="L19" s="6">
        <v>80</v>
      </c>
      <c r="M19" s="9" t="str">
        <v>Y</v>
      </c>
      <c r="N19" s="8" t="str">
        <v>NA</v>
      </c>
      <c r="O19" s="6" t="str">
        <v>Y</v>
      </c>
      <c r="P19" s="6" t="str">
        <v>NA</v>
      </c>
      <c r="Q19" s="6" t="str">
        <v>NA</v>
      </c>
      <c r="R19" s="6" t="str">
        <v>NA</v>
      </c>
      <c r="S19" s="6" t="str">
        <v>NA</v>
      </c>
      <c r="T19" s="6" t="str">
        <v>NA</v>
      </c>
      <c r="U19" s="6" t="str">
        <v>NA</v>
      </c>
      <c r="V19" s="6" t="str">
        <v>NA</v>
      </c>
      <c r="W19" s="6" t="str">
        <v>NA</v>
      </c>
      <c r="X19" s="6" t="str">
        <v>NA</v>
      </c>
      <c r="Y19" s="9" t="str">
        <v>NA</v>
      </c>
      <c r="Z19" s="8" t="str">
        <v>NA</v>
      </c>
      <c r="AA19" s="6" t="str">
        <v>NA</v>
      </c>
      <c r="AB19" s="6" t="str">
        <v>NA</v>
      </c>
      <c r="AC19" s="6" t="str">
        <v>NA</v>
      </c>
      <c r="AD19" s="6" t="str">
        <v>NA</v>
      </c>
      <c r="AE19" s="6" t="str">
        <v>NA</v>
      </c>
      <c r="AF19" s="6" t="str">
        <v>NA</v>
      </c>
      <c r="AG19" s="6" t="str">
        <v>NA</v>
      </c>
      <c r="AH19" s="6" t="str">
        <v>NA</v>
      </c>
      <c r="AI19" s="6" t="str">
        <v>NA</v>
      </c>
      <c r="AJ19" s="6" t="str">
        <v>NA</v>
      </c>
      <c r="AK19" s="9" t="str">
        <v>NA</v>
      </c>
      <c r="AL19" s="8">
        <v>76.67</v>
      </c>
      <c r="AM19" s="6" t="str">
        <v>Y</v>
      </c>
      <c r="AN19" s="6">
        <v>76.67</v>
      </c>
      <c r="AO19" s="6" t="str">
        <v>Y</v>
      </c>
      <c r="AP19" s="6">
        <v>76.67</v>
      </c>
      <c r="AQ19" s="6" t="str">
        <v>Y</v>
      </c>
      <c r="AR19" s="6" t="str">
        <v>NA</v>
      </c>
      <c r="AS19" s="6" t="str">
        <v>Y</v>
      </c>
      <c r="AT19" s="6" t="str">
        <v>NA</v>
      </c>
      <c r="AU19" s="6" t="str">
        <v>Y</v>
      </c>
      <c r="AV19" s="6" t="str">
        <v>NA</v>
      </c>
      <c r="AW19" s="7" t="str">
        <v>Y</v>
      </c>
      <c r="AX19" s="8">
        <v>48.33</v>
      </c>
      <c r="AY19" s="6" t="str">
        <v>N</v>
      </c>
      <c r="AZ19" s="6">
        <v>48.33</v>
      </c>
      <c r="BA19" s="6" t="str">
        <v>N</v>
      </c>
      <c r="BB19" s="6">
        <v>58</v>
      </c>
      <c r="BC19" s="6" t="str">
        <v>N</v>
      </c>
      <c r="BD19" s="6" t="str">
        <v>NA</v>
      </c>
      <c r="BE19" s="6" t="str">
        <v>Y</v>
      </c>
      <c r="BF19" s="6" t="str">
        <v>NA</v>
      </c>
      <c r="BG19" s="6" t="str">
        <v>Y</v>
      </c>
      <c r="BH19" s="6" t="str">
        <v>NA</v>
      </c>
      <c r="BI19" s="9" t="str">
        <v>Y</v>
      </c>
      <c r="BJ19" s="8">
        <v>74.00200000000001</v>
      </c>
      <c r="BK19" s="6" t="str">
        <v>Y</v>
      </c>
      <c r="BL19" s="6">
        <v>75.234000000000009</v>
      </c>
      <c r="BM19" s="6" t="str">
        <v>Y</v>
      </c>
      <c r="BN19" s="6">
        <v>74.238</v>
      </c>
      <c r="BO19" s="6" t="str">
        <v>Y</v>
      </c>
      <c r="BP19" s="6">
        <v>77.27</v>
      </c>
      <c r="BQ19" s="6" t="str">
        <v>Y</v>
      </c>
      <c r="BR19" s="6">
        <v>50</v>
      </c>
      <c r="BS19" s="6" t="str">
        <v>N</v>
      </c>
      <c r="BT19" s="6">
        <v>80</v>
      </c>
      <c r="BU19" s="9" t="str">
        <v>Y</v>
      </c>
    </row>
    <row r="20" spans="1:73" x14ac:dyDescent="0.3">
      <c r="A20" s="56">
        <v>2010992012</v>
      </c>
      <c r="B20" s="8">
        <v>65</v>
      </c>
      <c r="C20" s="6" t="str">
        <v>Y</v>
      </c>
      <c r="D20" s="6">
        <v>65.38</v>
      </c>
      <c r="E20" s="6" t="str">
        <v>Y</v>
      </c>
      <c r="F20" s="6">
        <v>58.82</v>
      </c>
      <c r="G20" s="6" t="str">
        <v>N</v>
      </c>
      <c r="H20" s="6">
        <v>68.180000000000007</v>
      </c>
      <c r="I20" s="6" t="str">
        <v>Y</v>
      </c>
      <c r="J20" s="6">
        <v>50</v>
      </c>
      <c r="K20" s="6" t="str">
        <v>N</v>
      </c>
      <c r="L20" s="6">
        <v>66.67</v>
      </c>
      <c r="M20" s="9" t="str">
        <v>Y</v>
      </c>
      <c r="N20" s="8" t="str">
        <v>NA</v>
      </c>
      <c r="O20" s="6" t="str">
        <v>Y</v>
      </c>
      <c r="P20" s="6" t="str">
        <v>NA</v>
      </c>
      <c r="Q20" s="6" t="str">
        <v>NA</v>
      </c>
      <c r="R20" s="6" t="str">
        <v>NA</v>
      </c>
      <c r="S20" s="6" t="str">
        <v>NA</v>
      </c>
      <c r="T20" s="6" t="str">
        <v>NA</v>
      </c>
      <c r="U20" s="6" t="str">
        <v>NA</v>
      </c>
      <c r="V20" s="6" t="str">
        <v>NA</v>
      </c>
      <c r="W20" s="6" t="str">
        <v>NA</v>
      </c>
      <c r="X20" s="6" t="str">
        <v>NA</v>
      </c>
      <c r="Y20" s="9" t="str">
        <v>NA</v>
      </c>
      <c r="Z20" s="8" t="str">
        <v>NA</v>
      </c>
      <c r="AA20" s="6" t="str">
        <v>NA</v>
      </c>
      <c r="AB20" s="6" t="str">
        <v>NA</v>
      </c>
      <c r="AC20" s="6" t="str">
        <v>NA</v>
      </c>
      <c r="AD20" s="6" t="str">
        <v>NA</v>
      </c>
      <c r="AE20" s="6" t="str">
        <v>NA</v>
      </c>
      <c r="AF20" s="6" t="str">
        <v>NA</v>
      </c>
      <c r="AG20" s="6" t="str">
        <v>NA</v>
      </c>
      <c r="AH20" s="6" t="str">
        <v>NA</v>
      </c>
      <c r="AI20" s="6" t="str">
        <v>NA</v>
      </c>
      <c r="AJ20" s="6" t="str">
        <v>NA</v>
      </c>
      <c r="AK20" s="9" t="str">
        <v>NA</v>
      </c>
      <c r="AL20" s="8">
        <v>68.33</v>
      </c>
      <c r="AM20" s="6" t="str">
        <v>Y</v>
      </c>
      <c r="AN20" s="6">
        <v>68.33</v>
      </c>
      <c r="AO20" s="6" t="str">
        <v>Y</v>
      </c>
      <c r="AP20" s="6">
        <v>68.33</v>
      </c>
      <c r="AQ20" s="6" t="str">
        <v>Y</v>
      </c>
      <c r="AR20" s="6" t="str">
        <v>NA</v>
      </c>
      <c r="AS20" s="6" t="str">
        <v>Y</v>
      </c>
      <c r="AT20" s="6" t="str">
        <v>NA</v>
      </c>
      <c r="AU20" s="6" t="str">
        <v>Y</v>
      </c>
      <c r="AV20" s="6" t="str">
        <v>NA</v>
      </c>
      <c r="AW20" s="7" t="str">
        <v>Y</v>
      </c>
      <c r="AX20" s="8">
        <v>73.33</v>
      </c>
      <c r="AY20" s="6" t="str">
        <v>Y</v>
      </c>
      <c r="AZ20" s="6">
        <v>73.33</v>
      </c>
      <c r="BA20" s="6" t="str">
        <v>Y</v>
      </c>
      <c r="BB20" s="6">
        <v>88</v>
      </c>
      <c r="BC20" s="6" t="str">
        <v>Y</v>
      </c>
      <c r="BD20" s="6" t="str">
        <v>NA</v>
      </c>
      <c r="BE20" s="6" t="str">
        <v>Y</v>
      </c>
      <c r="BF20" s="6" t="str">
        <v>NA</v>
      </c>
      <c r="BG20" s="6" t="str">
        <v>Y</v>
      </c>
      <c r="BH20" s="6" t="str">
        <v>NA</v>
      </c>
      <c r="BI20" s="9" t="str">
        <v>Y</v>
      </c>
      <c r="BJ20" s="8">
        <v>66.99799999999999</v>
      </c>
      <c r="BK20" s="6" t="str">
        <v>Y</v>
      </c>
      <c r="BL20" s="6">
        <v>67.150000000000006</v>
      </c>
      <c r="BM20" s="6" t="str">
        <v>Y</v>
      </c>
      <c r="BN20" s="6">
        <v>64.525999999999996</v>
      </c>
      <c r="BO20" s="6" t="str">
        <v>Y</v>
      </c>
      <c r="BP20" s="6">
        <v>68.180000000000007</v>
      </c>
      <c r="BQ20" s="6" t="str">
        <v>Y</v>
      </c>
      <c r="BR20" s="6">
        <v>50</v>
      </c>
      <c r="BS20" s="6" t="str">
        <v>N</v>
      </c>
      <c r="BT20" s="6">
        <v>66.67</v>
      </c>
      <c r="BU20" s="9" t="str">
        <v>Y</v>
      </c>
    </row>
    <row r="21" spans="1:73" x14ac:dyDescent="0.3">
      <c r="A21" s="56">
        <v>2010992014</v>
      </c>
      <c r="B21" s="8">
        <v>72.5</v>
      </c>
      <c r="C21" s="6" t="str">
        <v>Y</v>
      </c>
      <c r="D21" s="6">
        <v>73.08</v>
      </c>
      <c r="E21" s="6" t="str">
        <v>Y</v>
      </c>
      <c r="F21" s="6">
        <v>76.47</v>
      </c>
      <c r="G21" s="6" t="str">
        <v>Y</v>
      </c>
      <c r="H21" s="6">
        <v>77.27</v>
      </c>
      <c r="I21" s="6" t="str">
        <v>Y</v>
      </c>
      <c r="J21" s="6">
        <v>50</v>
      </c>
      <c r="K21" s="6" t="str">
        <v>N</v>
      </c>
      <c r="L21" s="6">
        <v>80</v>
      </c>
      <c r="M21" s="9" t="str">
        <v>Y</v>
      </c>
      <c r="N21" s="8" t="str">
        <v>NA</v>
      </c>
      <c r="O21" s="6" t="str">
        <v>Y</v>
      </c>
      <c r="P21" s="6" t="str">
        <v>NA</v>
      </c>
      <c r="Q21" s="6" t="str">
        <v>NA</v>
      </c>
      <c r="R21" s="6" t="str">
        <v>NA</v>
      </c>
      <c r="S21" s="6" t="str">
        <v>NA</v>
      </c>
      <c r="T21" s="6" t="str">
        <v>NA</v>
      </c>
      <c r="U21" s="6" t="str">
        <v>NA</v>
      </c>
      <c r="V21" s="6" t="str">
        <v>NA</v>
      </c>
      <c r="W21" s="6" t="str">
        <v>NA</v>
      </c>
      <c r="X21" s="6" t="str">
        <v>NA</v>
      </c>
      <c r="Y21" s="9" t="str">
        <v>NA</v>
      </c>
      <c r="Z21" s="8" t="str">
        <v>NA</v>
      </c>
      <c r="AA21" s="6" t="str">
        <v>NA</v>
      </c>
      <c r="AB21" s="6" t="str">
        <v>NA</v>
      </c>
      <c r="AC21" s="6" t="str">
        <v>NA</v>
      </c>
      <c r="AD21" s="6" t="str">
        <v>NA</v>
      </c>
      <c r="AE21" s="6" t="str">
        <v>NA</v>
      </c>
      <c r="AF21" s="6" t="str">
        <v>NA</v>
      </c>
      <c r="AG21" s="6" t="str">
        <v>NA</v>
      </c>
      <c r="AH21" s="6" t="str">
        <v>NA</v>
      </c>
      <c r="AI21" s="6" t="str">
        <v>NA</v>
      </c>
      <c r="AJ21" s="6" t="str">
        <v>NA</v>
      </c>
      <c r="AK21" s="9" t="str">
        <v>NA</v>
      </c>
      <c r="AL21" s="8">
        <v>80</v>
      </c>
      <c r="AM21" s="6" t="str">
        <v>Y</v>
      </c>
      <c r="AN21" s="6">
        <v>80</v>
      </c>
      <c r="AO21" s="6" t="str">
        <v>Y</v>
      </c>
      <c r="AP21" s="6">
        <v>80</v>
      </c>
      <c r="AQ21" s="6" t="str">
        <v>Y</v>
      </c>
      <c r="AR21" s="6" t="str">
        <v>NA</v>
      </c>
      <c r="AS21" s="6" t="str">
        <v>Y</v>
      </c>
      <c r="AT21" s="6" t="str">
        <v>NA</v>
      </c>
      <c r="AU21" s="6" t="str">
        <v>Y</v>
      </c>
      <c r="AV21" s="6" t="str">
        <v>NA</v>
      </c>
      <c r="AW21" s="7" t="str">
        <v>Y</v>
      </c>
      <c r="AX21" s="8">
        <v>71.67</v>
      </c>
      <c r="AY21" s="6" t="str">
        <v>Y</v>
      </c>
      <c r="AZ21" s="6">
        <v>71.67</v>
      </c>
      <c r="BA21" s="6" t="str">
        <v>Y</v>
      </c>
      <c r="BB21" s="6">
        <v>86</v>
      </c>
      <c r="BC21" s="6" t="str">
        <v>Y</v>
      </c>
      <c r="BD21" s="6" t="str">
        <v>NA</v>
      </c>
      <c r="BE21" s="6" t="str">
        <v>Y</v>
      </c>
      <c r="BF21" s="6" t="str">
        <v>NA</v>
      </c>
      <c r="BG21" s="6" t="str">
        <v>Y</v>
      </c>
      <c r="BH21" s="6" t="str">
        <v>NA</v>
      </c>
      <c r="BI21" s="9" t="str">
        <v>Y</v>
      </c>
      <c r="BJ21" s="8">
        <v>77</v>
      </c>
      <c r="BK21" s="6" t="str">
        <v>Y</v>
      </c>
      <c r="BL21" s="6">
        <v>77.231999999999999</v>
      </c>
      <c r="BM21" s="6" t="str">
        <v>Y</v>
      </c>
      <c r="BN21" s="6">
        <v>78.587999999999994</v>
      </c>
      <c r="BO21" s="6" t="str">
        <v>Y</v>
      </c>
      <c r="BP21" s="6">
        <v>77.27</v>
      </c>
      <c r="BQ21" s="6" t="str">
        <v>Y</v>
      </c>
      <c r="BR21" s="6">
        <v>50</v>
      </c>
      <c r="BS21" s="6" t="str">
        <v>N</v>
      </c>
      <c r="BT21" s="6">
        <v>80</v>
      </c>
      <c r="BU21" s="9" t="str">
        <v>Y</v>
      </c>
    </row>
    <row r="22" spans="1:73" x14ac:dyDescent="0.3">
      <c r="A22" s="56">
        <v>2010992015</v>
      </c>
      <c r="B22" s="8">
        <v>65.709999999999994</v>
      </c>
      <c r="C22" s="6" t="str">
        <v>Y</v>
      </c>
      <c r="D22" s="6">
        <v>66.67</v>
      </c>
      <c r="E22" s="6" t="str">
        <v>Y</v>
      </c>
      <c r="F22" s="6">
        <v>70.59</v>
      </c>
      <c r="G22" s="6" t="str">
        <v>Y</v>
      </c>
      <c r="H22" s="6">
        <v>68.180000000000007</v>
      </c>
      <c r="I22" s="6" t="str">
        <v>Y</v>
      </c>
      <c r="J22" s="6">
        <v>50</v>
      </c>
      <c r="K22" s="6" t="str">
        <v>N</v>
      </c>
      <c r="L22" s="6">
        <v>66.67</v>
      </c>
      <c r="M22" s="9" t="str">
        <v>Y</v>
      </c>
      <c r="N22" s="8" t="str">
        <v>NA</v>
      </c>
      <c r="O22" s="6" t="str">
        <v>Y</v>
      </c>
      <c r="P22" s="6" t="str">
        <v>NA</v>
      </c>
      <c r="Q22" s="6" t="str">
        <v>NA</v>
      </c>
      <c r="R22" s="6" t="str">
        <v>NA</v>
      </c>
      <c r="S22" s="6" t="str">
        <v>NA</v>
      </c>
      <c r="T22" s="6" t="str">
        <v>NA</v>
      </c>
      <c r="U22" s="6" t="str">
        <v>NA</v>
      </c>
      <c r="V22" s="6" t="str">
        <v>NA</v>
      </c>
      <c r="W22" s="6" t="str">
        <v>NA</v>
      </c>
      <c r="X22" s="6" t="str">
        <v>NA</v>
      </c>
      <c r="Y22" s="9" t="str">
        <v>NA</v>
      </c>
      <c r="Z22" s="8" t="str">
        <v>NA</v>
      </c>
      <c r="AA22" s="6" t="str">
        <v>NA</v>
      </c>
      <c r="AB22" s="6" t="str">
        <v>NA</v>
      </c>
      <c r="AC22" s="6" t="str">
        <v>NA</v>
      </c>
      <c r="AD22" s="6" t="str">
        <v>NA</v>
      </c>
      <c r="AE22" s="6" t="str">
        <v>NA</v>
      </c>
      <c r="AF22" s="6" t="str">
        <v>NA</v>
      </c>
      <c r="AG22" s="6" t="str">
        <v>NA</v>
      </c>
      <c r="AH22" s="6" t="str">
        <v>NA</v>
      </c>
      <c r="AI22" s="6" t="str">
        <v>NA</v>
      </c>
      <c r="AJ22" s="6" t="str">
        <v>NA</v>
      </c>
      <c r="AK22" s="9" t="str">
        <v>NA</v>
      </c>
      <c r="AL22" s="8">
        <v>63.33</v>
      </c>
      <c r="AM22" s="6" t="str">
        <v>Y</v>
      </c>
      <c r="AN22" s="6">
        <v>63.33</v>
      </c>
      <c r="AO22" s="6" t="str">
        <v>Y</v>
      </c>
      <c r="AP22" s="6">
        <v>63.33</v>
      </c>
      <c r="AQ22" s="6" t="str">
        <v>Y</v>
      </c>
      <c r="AR22" s="6" t="str">
        <v>NA</v>
      </c>
      <c r="AS22" s="6" t="str">
        <v>Y</v>
      </c>
      <c r="AT22" s="6" t="str">
        <v>NA</v>
      </c>
      <c r="AU22" s="6" t="str">
        <v>Y</v>
      </c>
      <c r="AV22" s="6" t="str">
        <v>NA</v>
      </c>
      <c r="AW22" s="7" t="str">
        <v>Y</v>
      </c>
      <c r="AX22" s="8">
        <v>58.33</v>
      </c>
      <c r="AY22" s="6" t="str">
        <v>N</v>
      </c>
      <c r="AZ22" s="6">
        <v>58.33</v>
      </c>
      <c r="BA22" s="6" t="str">
        <v>N</v>
      </c>
      <c r="BB22" s="6">
        <v>70</v>
      </c>
      <c r="BC22" s="6" t="str">
        <v>Y</v>
      </c>
      <c r="BD22" s="6" t="str">
        <v>NA</v>
      </c>
      <c r="BE22" s="6" t="str">
        <v>Y</v>
      </c>
      <c r="BF22" s="6" t="str">
        <v>NA</v>
      </c>
      <c r="BG22" s="6" t="str">
        <v>Y</v>
      </c>
      <c r="BH22" s="6" t="str">
        <v>NA</v>
      </c>
      <c r="BI22" s="9" t="str">
        <v>Y</v>
      </c>
      <c r="BJ22" s="8">
        <v>64.281999999999996</v>
      </c>
      <c r="BK22" s="6" t="str">
        <v>Y</v>
      </c>
      <c r="BL22" s="6">
        <v>64.665999999999997</v>
      </c>
      <c r="BM22" s="6" t="str">
        <v>Y</v>
      </c>
      <c r="BN22" s="6">
        <v>66.234000000000009</v>
      </c>
      <c r="BO22" s="6" t="str">
        <v>Y</v>
      </c>
      <c r="BP22" s="6">
        <v>68.180000000000007</v>
      </c>
      <c r="BQ22" s="6" t="str">
        <v>Y</v>
      </c>
      <c r="BR22" s="6">
        <v>50</v>
      </c>
      <c r="BS22" s="6" t="str">
        <v>N</v>
      </c>
      <c r="BT22" s="6">
        <v>66.67</v>
      </c>
      <c r="BU22" s="9" t="str">
        <v>Y</v>
      </c>
    </row>
    <row r="23" spans="1:73" x14ac:dyDescent="0.3">
      <c r="A23" s="56">
        <v>2010992016</v>
      </c>
      <c r="B23" s="8">
        <v>52.5</v>
      </c>
      <c r="C23" s="6" t="str">
        <v>N</v>
      </c>
      <c r="D23" s="6">
        <v>57.69</v>
      </c>
      <c r="E23" s="6" t="str">
        <v>N</v>
      </c>
      <c r="F23" s="6">
        <v>47.06</v>
      </c>
      <c r="G23" s="6" t="str">
        <v>N</v>
      </c>
      <c r="H23" s="6">
        <v>50</v>
      </c>
      <c r="I23" s="6" t="str">
        <v>N</v>
      </c>
      <c r="J23" s="6">
        <v>50</v>
      </c>
      <c r="K23" s="6" t="str">
        <v>N</v>
      </c>
      <c r="L23" s="6">
        <v>46.67</v>
      </c>
      <c r="M23" s="9" t="str">
        <v>N</v>
      </c>
      <c r="N23" s="8" t="str">
        <v>NA</v>
      </c>
      <c r="O23" s="6" t="str">
        <v>Y</v>
      </c>
      <c r="P23" s="6" t="str">
        <v>NA</v>
      </c>
      <c r="Q23" s="6" t="str">
        <v>NA</v>
      </c>
      <c r="R23" s="6" t="str">
        <v>NA</v>
      </c>
      <c r="S23" s="6" t="str">
        <v>NA</v>
      </c>
      <c r="T23" s="6" t="str">
        <v>NA</v>
      </c>
      <c r="U23" s="6" t="str">
        <v>NA</v>
      </c>
      <c r="V23" s="6" t="str">
        <v>NA</v>
      </c>
      <c r="W23" s="6" t="str">
        <v>NA</v>
      </c>
      <c r="X23" s="6" t="str">
        <v>NA</v>
      </c>
      <c r="Y23" s="9" t="str">
        <v>NA</v>
      </c>
      <c r="Z23" s="8" t="str">
        <v>NA</v>
      </c>
      <c r="AA23" s="6" t="str">
        <v>NA</v>
      </c>
      <c r="AB23" s="6" t="str">
        <v>NA</v>
      </c>
      <c r="AC23" s="6" t="str">
        <v>NA</v>
      </c>
      <c r="AD23" s="6" t="str">
        <v>NA</v>
      </c>
      <c r="AE23" s="6" t="str">
        <v>NA</v>
      </c>
      <c r="AF23" s="6" t="str">
        <v>NA</v>
      </c>
      <c r="AG23" s="6" t="str">
        <v>NA</v>
      </c>
      <c r="AH23" s="6" t="str">
        <v>NA</v>
      </c>
      <c r="AI23" s="6" t="str">
        <v>NA</v>
      </c>
      <c r="AJ23" s="6" t="str">
        <v>NA</v>
      </c>
      <c r="AK23" s="9" t="str">
        <v>NA</v>
      </c>
      <c r="AL23" s="8">
        <v>83.33</v>
      </c>
      <c r="AM23" s="6" t="str">
        <v>Y</v>
      </c>
      <c r="AN23" s="6">
        <v>83.33</v>
      </c>
      <c r="AO23" s="6" t="str">
        <v>Y</v>
      </c>
      <c r="AP23" s="6">
        <v>83.33</v>
      </c>
      <c r="AQ23" s="6" t="str">
        <v>Y</v>
      </c>
      <c r="AR23" s="6" t="str">
        <v>NA</v>
      </c>
      <c r="AS23" s="6" t="str">
        <v>Y</v>
      </c>
      <c r="AT23" s="6" t="str">
        <v>NA</v>
      </c>
      <c r="AU23" s="6" t="str">
        <v>Y</v>
      </c>
      <c r="AV23" s="6" t="str">
        <v>NA</v>
      </c>
      <c r="AW23" s="7" t="str">
        <v>Y</v>
      </c>
      <c r="AX23" s="8">
        <v>51.67</v>
      </c>
      <c r="AY23" s="6" t="str">
        <v>N</v>
      </c>
      <c r="AZ23" s="6">
        <v>51.67</v>
      </c>
      <c r="BA23" s="6" t="str">
        <v>N</v>
      </c>
      <c r="BB23" s="6">
        <v>62</v>
      </c>
      <c r="BC23" s="6" t="str">
        <v>Y</v>
      </c>
      <c r="BD23" s="6" t="str">
        <v>NA</v>
      </c>
      <c r="BE23" s="6" t="str">
        <v>Y</v>
      </c>
      <c r="BF23" s="6" t="str">
        <v>NA</v>
      </c>
      <c r="BG23" s="6" t="str">
        <v>Y</v>
      </c>
      <c r="BH23" s="6" t="str">
        <v>NA</v>
      </c>
      <c r="BI23" s="9" t="str">
        <v>Y</v>
      </c>
      <c r="BJ23" s="8">
        <v>70.99799999999999</v>
      </c>
      <c r="BK23" s="6" t="str">
        <v>Y</v>
      </c>
      <c r="BL23" s="6">
        <v>73.073999999999998</v>
      </c>
      <c r="BM23" s="6" t="str">
        <v>Y</v>
      </c>
      <c r="BN23" s="6">
        <v>68.822000000000003</v>
      </c>
      <c r="BO23" s="6" t="str">
        <v>Y</v>
      </c>
      <c r="BP23" s="6">
        <v>50</v>
      </c>
      <c r="BQ23" s="6" t="str">
        <v>N</v>
      </c>
      <c r="BR23" s="6">
        <v>50</v>
      </c>
      <c r="BS23" s="6" t="str">
        <v>N</v>
      </c>
      <c r="BT23" s="6">
        <v>46.67</v>
      </c>
      <c r="BU23" s="9" t="str">
        <v>N</v>
      </c>
    </row>
    <row r="24" spans="1:73" x14ac:dyDescent="0.3">
      <c r="A24" s="56">
        <v>2010992017</v>
      </c>
      <c r="B24" s="8">
        <v>77.5</v>
      </c>
      <c r="C24" s="6" t="str">
        <v>Y</v>
      </c>
      <c r="D24" s="6">
        <v>76.92</v>
      </c>
      <c r="E24" s="6" t="str">
        <v>Y</v>
      </c>
      <c r="F24" s="6">
        <v>76.47</v>
      </c>
      <c r="G24" s="6" t="str">
        <v>Y</v>
      </c>
      <c r="H24" s="6">
        <v>77.27</v>
      </c>
      <c r="I24" s="6" t="str">
        <v>Y</v>
      </c>
      <c r="J24" s="6">
        <v>100</v>
      </c>
      <c r="K24" s="6" t="str">
        <v>Y</v>
      </c>
      <c r="L24" s="6">
        <v>80</v>
      </c>
      <c r="M24" s="9" t="str">
        <v>Y</v>
      </c>
      <c r="N24" s="8" t="str">
        <v>NA</v>
      </c>
      <c r="O24" s="6" t="str">
        <v>Y</v>
      </c>
      <c r="P24" s="6" t="str">
        <v>NA</v>
      </c>
      <c r="Q24" s="6" t="str">
        <v>NA</v>
      </c>
      <c r="R24" s="6" t="str">
        <v>NA</v>
      </c>
      <c r="S24" s="6" t="str">
        <v>NA</v>
      </c>
      <c r="T24" s="6" t="str">
        <v>NA</v>
      </c>
      <c r="U24" s="6" t="str">
        <v>NA</v>
      </c>
      <c r="V24" s="6" t="str">
        <v>NA</v>
      </c>
      <c r="W24" s="6" t="str">
        <v>NA</v>
      </c>
      <c r="X24" s="6" t="str">
        <v>NA</v>
      </c>
      <c r="Y24" s="9" t="str">
        <v>NA</v>
      </c>
      <c r="Z24" s="8" t="str">
        <v>NA</v>
      </c>
      <c r="AA24" s="6" t="str">
        <v>NA</v>
      </c>
      <c r="AB24" s="6" t="str">
        <v>NA</v>
      </c>
      <c r="AC24" s="6" t="str">
        <v>NA</v>
      </c>
      <c r="AD24" s="6" t="str">
        <v>NA</v>
      </c>
      <c r="AE24" s="6" t="str">
        <v>NA</v>
      </c>
      <c r="AF24" s="6" t="str">
        <v>NA</v>
      </c>
      <c r="AG24" s="6" t="str">
        <v>NA</v>
      </c>
      <c r="AH24" s="6" t="str">
        <v>NA</v>
      </c>
      <c r="AI24" s="6" t="str">
        <v>NA</v>
      </c>
      <c r="AJ24" s="6" t="str">
        <v>NA</v>
      </c>
      <c r="AK24" s="9" t="str">
        <v>NA</v>
      </c>
      <c r="AL24" s="8">
        <v>83.33</v>
      </c>
      <c r="AM24" s="6" t="str">
        <v>Y</v>
      </c>
      <c r="AN24" s="6">
        <v>83.33</v>
      </c>
      <c r="AO24" s="6" t="str">
        <v>Y</v>
      </c>
      <c r="AP24" s="6">
        <v>83.33</v>
      </c>
      <c r="AQ24" s="6" t="str">
        <v>Y</v>
      </c>
      <c r="AR24" s="6" t="str">
        <v>NA</v>
      </c>
      <c r="AS24" s="6" t="str">
        <v>Y</v>
      </c>
      <c r="AT24" s="6" t="str">
        <v>NA</v>
      </c>
      <c r="AU24" s="6" t="str">
        <v>Y</v>
      </c>
      <c r="AV24" s="6" t="str">
        <v>NA</v>
      </c>
      <c r="AW24" s="7" t="str">
        <v>Y</v>
      </c>
      <c r="AX24" s="8">
        <v>66.67</v>
      </c>
      <c r="AY24" s="6" t="str">
        <v>Y</v>
      </c>
      <c r="AZ24" s="6">
        <v>66.67</v>
      </c>
      <c r="BA24" s="6" t="str">
        <v>Y</v>
      </c>
      <c r="BB24" s="6">
        <v>80</v>
      </c>
      <c r="BC24" s="6" t="str">
        <v>Y</v>
      </c>
      <c r="BD24" s="6" t="str">
        <v>NA</v>
      </c>
      <c r="BE24" s="6" t="str">
        <v>Y</v>
      </c>
      <c r="BF24" s="6" t="str">
        <v>NA</v>
      </c>
      <c r="BG24" s="6" t="str">
        <v>Y</v>
      </c>
      <c r="BH24" s="6" t="str">
        <v>NA</v>
      </c>
      <c r="BI24" s="9" t="str">
        <v>Y</v>
      </c>
      <c r="BJ24" s="8">
        <v>80.99799999999999</v>
      </c>
      <c r="BK24" s="6" t="str">
        <v>Y</v>
      </c>
      <c r="BL24" s="6">
        <v>80.765999999999991</v>
      </c>
      <c r="BM24" s="6" t="str">
        <v>Y</v>
      </c>
      <c r="BN24" s="6">
        <v>80.585999999999999</v>
      </c>
      <c r="BO24" s="6" t="str">
        <v>Y</v>
      </c>
      <c r="BP24" s="6">
        <v>77.27</v>
      </c>
      <c r="BQ24" s="6" t="str">
        <v>Y</v>
      </c>
      <c r="BR24" s="6">
        <v>100</v>
      </c>
      <c r="BS24" s="6" t="str">
        <v>Y</v>
      </c>
      <c r="BT24" s="6">
        <v>80</v>
      </c>
      <c r="BU24" s="9" t="str">
        <v>Y</v>
      </c>
    </row>
    <row r="25" spans="1:73" x14ac:dyDescent="0.3">
      <c r="A25" s="56">
        <v>2010992018</v>
      </c>
      <c r="B25" s="8">
        <v>65</v>
      </c>
      <c r="C25" s="6" t="str">
        <v>Y</v>
      </c>
      <c r="D25" s="6">
        <v>65.38</v>
      </c>
      <c r="E25" s="6" t="str">
        <v>Y</v>
      </c>
      <c r="F25" s="6">
        <v>76.47</v>
      </c>
      <c r="G25" s="6" t="str">
        <v>Y</v>
      </c>
      <c r="H25" s="6">
        <v>72.73</v>
      </c>
      <c r="I25" s="6" t="str">
        <v>Y</v>
      </c>
      <c r="J25" s="6">
        <v>50</v>
      </c>
      <c r="K25" s="6" t="str">
        <v>N</v>
      </c>
      <c r="L25" s="6">
        <v>73.33</v>
      </c>
      <c r="M25" s="9" t="str">
        <v>Y</v>
      </c>
      <c r="N25" s="8" t="str">
        <v>NA</v>
      </c>
      <c r="O25" s="6" t="str">
        <v>Y</v>
      </c>
      <c r="P25" s="6" t="str">
        <v>NA</v>
      </c>
      <c r="Q25" s="6" t="str">
        <v>NA</v>
      </c>
      <c r="R25" s="6" t="str">
        <v>NA</v>
      </c>
      <c r="S25" s="6" t="str">
        <v>NA</v>
      </c>
      <c r="T25" s="6" t="str">
        <v>NA</v>
      </c>
      <c r="U25" s="6" t="str">
        <v>NA</v>
      </c>
      <c r="V25" s="6" t="str">
        <v>NA</v>
      </c>
      <c r="W25" s="6" t="str">
        <v>NA</v>
      </c>
      <c r="X25" s="6" t="str">
        <v>NA</v>
      </c>
      <c r="Y25" s="9" t="str">
        <v>NA</v>
      </c>
      <c r="Z25" s="8" t="str">
        <v>NA</v>
      </c>
      <c r="AA25" s="6" t="str">
        <v>NA</v>
      </c>
      <c r="AB25" s="6" t="str">
        <v>NA</v>
      </c>
      <c r="AC25" s="6" t="str">
        <v>NA</v>
      </c>
      <c r="AD25" s="6" t="str">
        <v>NA</v>
      </c>
      <c r="AE25" s="6" t="str">
        <v>NA</v>
      </c>
      <c r="AF25" s="6" t="str">
        <v>NA</v>
      </c>
      <c r="AG25" s="6" t="str">
        <v>NA</v>
      </c>
      <c r="AH25" s="6" t="str">
        <v>NA</v>
      </c>
      <c r="AI25" s="6" t="str">
        <v>NA</v>
      </c>
      <c r="AJ25" s="6" t="str">
        <v>NA</v>
      </c>
      <c r="AK25" s="9" t="str">
        <v>NA</v>
      </c>
      <c r="AL25" s="8">
        <v>85</v>
      </c>
      <c r="AM25" s="6" t="str">
        <v>Y</v>
      </c>
      <c r="AN25" s="6">
        <v>85</v>
      </c>
      <c r="AO25" s="6" t="str">
        <v>Y</v>
      </c>
      <c r="AP25" s="6">
        <v>85</v>
      </c>
      <c r="AQ25" s="6" t="str">
        <v>Y</v>
      </c>
      <c r="AR25" s="6" t="str">
        <v>NA</v>
      </c>
      <c r="AS25" s="6" t="str">
        <v>Y</v>
      </c>
      <c r="AT25" s="6" t="str">
        <v>NA</v>
      </c>
      <c r="AU25" s="6" t="str">
        <v>Y</v>
      </c>
      <c r="AV25" s="6" t="str">
        <v>NA</v>
      </c>
      <c r="AW25" s="7" t="str">
        <v>Y</v>
      </c>
      <c r="AX25" s="8">
        <v>71.67</v>
      </c>
      <c r="AY25" s="6" t="str">
        <v>Y</v>
      </c>
      <c r="AZ25" s="6">
        <v>71.67</v>
      </c>
      <c r="BA25" s="6" t="str">
        <v>Y</v>
      </c>
      <c r="BB25" s="6">
        <v>86</v>
      </c>
      <c r="BC25" s="6" t="str">
        <v>Y</v>
      </c>
      <c r="BD25" s="6" t="str">
        <v>NA</v>
      </c>
      <c r="BE25" s="6" t="str">
        <v>Y</v>
      </c>
      <c r="BF25" s="6" t="str">
        <v>NA</v>
      </c>
      <c r="BG25" s="6" t="str">
        <v>Y</v>
      </c>
      <c r="BH25" s="6" t="str">
        <v>NA</v>
      </c>
      <c r="BI25" s="9" t="str">
        <v>Y</v>
      </c>
      <c r="BJ25" s="8">
        <v>77</v>
      </c>
      <c r="BK25" s="6" t="str">
        <v>Y</v>
      </c>
      <c r="BL25" s="6">
        <v>77.152000000000001</v>
      </c>
      <c r="BM25" s="6" t="str">
        <v>Y</v>
      </c>
      <c r="BN25" s="6">
        <v>81.587999999999994</v>
      </c>
      <c r="BO25" s="6" t="str">
        <v>Y</v>
      </c>
      <c r="BP25" s="6">
        <v>72.73</v>
      </c>
      <c r="BQ25" s="6" t="str">
        <v>Y</v>
      </c>
      <c r="BR25" s="6">
        <v>50</v>
      </c>
      <c r="BS25" s="6" t="str">
        <v>N</v>
      </c>
      <c r="BT25" s="6">
        <v>73.33</v>
      </c>
      <c r="BU25" s="9" t="str">
        <v>Y</v>
      </c>
    </row>
    <row r="26" spans="1:73" x14ac:dyDescent="0.3">
      <c r="A26" s="56">
        <v>2010992019</v>
      </c>
      <c r="B26" s="8">
        <v>55</v>
      </c>
      <c r="C26" s="6" t="str">
        <v>N</v>
      </c>
      <c r="D26" s="6">
        <v>50</v>
      </c>
      <c r="E26" s="6" t="str">
        <v>N</v>
      </c>
      <c r="F26" s="6">
        <v>52.94</v>
      </c>
      <c r="G26" s="6" t="str">
        <v>N</v>
      </c>
      <c r="H26" s="6">
        <v>59.09</v>
      </c>
      <c r="I26" s="6" t="str">
        <v>N</v>
      </c>
      <c r="J26" s="6">
        <v>50</v>
      </c>
      <c r="K26" s="6" t="str">
        <v>N</v>
      </c>
      <c r="L26" s="6">
        <v>60</v>
      </c>
      <c r="M26" s="9" t="str">
        <v>Y</v>
      </c>
      <c r="N26" s="8" t="str">
        <v>NA</v>
      </c>
      <c r="O26" s="6" t="str">
        <v>Y</v>
      </c>
      <c r="P26" s="6" t="str">
        <v>NA</v>
      </c>
      <c r="Q26" s="6" t="str">
        <v>NA</v>
      </c>
      <c r="R26" s="6" t="str">
        <v>NA</v>
      </c>
      <c r="S26" s="6" t="str">
        <v>NA</v>
      </c>
      <c r="T26" s="6" t="str">
        <v>NA</v>
      </c>
      <c r="U26" s="6" t="str">
        <v>NA</v>
      </c>
      <c r="V26" s="6" t="str">
        <v>NA</v>
      </c>
      <c r="W26" s="6" t="str">
        <v>NA</v>
      </c>
      <c r="X26" s="6" t="str">
        <v>NA</v>
      </c>
      <c r="Y26" s="9" t="str">
        <v>NA</v>
      </c>
      <c r="Z26" s="8" t="str">
        <v>NA</v>
      </c>
      <c r="AA26" s="6" t="str">
        <v>NA</v>
      </c>
      <c r="AB26" s="6" t="str">
        <v>NA</v>
      </c>
      <c r="AC26" s="6" t="str">
        <v>NA</v>
      </c>
      <c r="AD26" s="6" t="str">
        <v>NA</v>
      </c>
      <c r="AE26" s="6" t="str">
        <v>NA</v>
      </c>
      <c r="AF26" s="6" t="str">
        <v>NA</v>
      </c>
      <c r="AG26" s="6" t="str">
        <v>NA</v>
      </c>
      <c r="AH26" s="6" t="str">
        <v>NA</v>
      </c>
      <c r="AI26" s="6" t="str">
        <v>NA</v>
      </c>
      <c r="AJ26" s="6" t="str">
        <v>NA</v>
      </c>
      <c r="AK26" s="9" t="str">
        <v>NA</v>
      </c>
      <c r="AL26" s="8">
        <v>83.33</v>
      </c>
      <c r="AM26" s="6" t="str">
        <v>Y</v>
      </c>
      <c r="AN26" s="6">
        <v>83.33</v>
      </c>
      <c r="AO26" s="6" t="str">
        <v>Y</v>
      </c>
      <c r="AP26" s="6">
        <v>83.33</v>
      </c>
      <c r="AQ26" s="6" t="str">
        <v>Y</v>
      </c>
      <c r="AR26" s="6" t="str">
        <v>NA</v>
      </c>
      <c r="AS26" s="6" t="str">
        <v>Y</v>
      </c>
      <c r="AT26" s="6" t="str">
        <v>NA</v>
      </c>
      <c r="AU26" s="6" t="str">
        <v>Y</v>
      </c>
      <c r="AV26" s="6" t="str">
        <v>NA</v>
      </c>
      <c r="AW26" s="7" t="str">
        <v>Y</v>
      </c>
      <c r="AX26" s="8">
        <v>70</v>
      </c>
      <c r="AY26" s="6" t="str">
        <v>Y</v>
      </c>
      <c r="AZ26" s="6">
        <v>70</v>
      </c>
      <c r="BA26" s="6" t="str">
        <v>Y</v>
      </c>
      <c r="BB26" s="6">
        <v>84</v>
      </c>
      <c r="BC26" s="6" t="str">
        <v>Y</v>
      </c>
      <c r="BD26" s="6" t="str">
        <v>NA</v>
      </c>
      <c r="BE26" s="6" t="str">
        <v>Y</v>
      </c>
      <c r="BF26" s="6" t="str">
        <v>NA</v>
      </c>
      <c r="BG26" s="6" t="str">
        <v>Y</v>
      </c>
      <c r="BH26" s="6" t="str">
        <v>NA</v>
      </c>
      <c r="BI26" s="9" t="str">
        <v>Y</v>
      </c>
      <c r="BJ26" s="8">
        <v>71.99799999999999</v>
      </c>
      <c r="BK26" s="6" t="str">
        <v>Y</v>
      </c>
      <c r="BL26" s="6">
        <v>69.99799999999999</v>
      </c>
      <c r="BM26" s="6" t="str">
        <v>Y</v>
      </c>
      <c r="BN26" s="6">
        <v>71.174000000000007</v>
      </c>
      <c r="BO26" s="6" t="str">
        <v>Y</v>
      </c>
      <c r="BP26" s="6">
        <v>59.09</v>
      </c>
      <c r="BQ26" s="6" t="str">
        <v>N</v>
      </c>
      <c r="BR26" s="6">
        <v>50</v>
      </c>
      <c r="BS26" s="6" t="str">
        <v>N</v>
      </c>
      <c r="BT26" s="6">
        <v>60</v>
      </c>
      <c r="BU26" s="9" t="str">
        <v>Y</v>
      </c>
    </row>
    <row r="27" spans="1:73" x14ac:dyDescent="0.3">
      <c r="A27" s="56">
        <v>2010992163</v>
      </c>
      <c r="B27" s="8">
        <v>77.5</v>
      </c>
      <c r="C27" s="6" t="str">
        <v>Y</v>
      </c>
      <c r="D27" s="6">
        <v>80.77</v>
      </c>
      <c r="E27" s="6" t="str">
        <v>Y</v>
      </c>
      <c r="F27" s="6">
        <v>82.35</v>
      </c>
      <c r="G27" s="6" t="str">
        <v>Y</v>
      </c>
      <c r="H27" s="6">
        <v>81.819999999999993</v>
      </c>
      <c r="I27" s="6" t="str">
        <v>Y</v>
      </c>
      <c r="J27" s="6">
        <v>100</v>
      </c>
      <c r="K27" s="6" t="str">
        <v>Y</v>
      </c>
      <c r="L27" s="6">
        <v>86.67</v>
      </c>
      <c r="M27" s="9" t="str">
        <v>Y</v>
      </c>
      <c r="N27" s="8" t="str">
        <v>NA</v>
      </c>
      <c r="O27" s="6" t="str">
        <v>Y</v>
      </c>
      <c r="P27" s="6" t="str">
        <v>NA</v>
      </c>
      <c r="Q27" s="6" t="str">
        <v>NA</v>
      </c>
      <c r="R27" s="6" t="str">
        <v>NA</v>
      </c>
      <c r="S27" s="6" t="str">
        <v>NA</v>
      </c>
      <c r="T27" s="6" t="str">
        <v>NA</v>
      </c>
      <c r="U27" s="6" t="str">
        <v>NA</v>
      </c>
      <c r="V27" s="6" t="str">
        <v>NA</v>
      </c>
      <c r="W27" s="6" t="str">
        <v>NA</v>
      </c>
      <c r="X27" s="6" t="str">
        <v>NA</v>
      </c>
      <c r="Y27" s="9" t="str">
        <v>NA</v>
      </c>
      <c r="Z27" s="8" t="str">
        <v>NA</v>
      </c>
      <c r="AA27" s="6" t="str">
        <v>NA</v>
      </c>
      <c r="AB27" s="6" t="str">
        <v>NA</v>
      </c>
      <c r="AC27" s="6" t="str">
        <v>NA</v>
      </c>
      <c r="AD27" s="6" t="str">
        <v>NA</v>
      </c>
      <c r="AE27" s="6" t="str">
        <v>NA</v>
      </c>
      <c r="AF27" s="6" t="str">
        <v>NA</v>
      </c>
      <c r="AG27" s="6" t="str">
        <v>NA</v>
      </c>
      <c r="AH27" s="6" t="str">
        <v>NA</v>
      </c>
      <c r="AI27" s="6" t="str">
        <v>NA</v>
      </c>
      <c r="AJ27" s="6" t="str">
        <v>NA</v>
      </c>
      <c r="AK27" s="9" t="str">
        <v>NA</v>
      </c>
      <c r="AL27" s="8">
        <v>68.33</v>
      </c>
      <c r="AM27" s="6" t="str">
        <v>Y</v>
      </c>
      <c r="AN27" s="6">
        <v>68.33</v>
      </c>
      <c r="AO27" s="6" t="str">
        <v>Y</v>
      </c>
      <c r="AP27" s="6">
        <v>68.33</v>
      </c>
      <c r="AQ27" s="6" t="str">
        <v>Y</v>
      </c>
      <c r="AR27" s="6" t="str">
        <v>NA</v>
      </c>
      <c r="AS27" s="6" t="str">
        <v>Y</v>
      </c>
      <c r="AT27" s="6" t="str">
        <v>NA</v>
      </c>
      <c r="AU27" s="6" t="str">
        <v>Y</v>
      </c>
      <c r="AV27" s="6" t="str">
        <v>NA</v>
      </c>
      <c r="AW27" s="7" t="str">
        <v>Y</v>
      </c>
      <c r="AX27" s="8">
        <v>66.67</v>
      </c>
      <c r="AY27" s="6" t="str">
        <v>Y</v>
      </c>
      <c r="AZ27" s="6">
        <v>66.67</v>
      </c>
      <c r="BA27" s="6" t="str">
        <v>Y</v>
      </c>
      <c r="BB27" s="6">
        <v>80</v>
      </c>
      <c r="BC27" s="6" t="str">
        <v>Y</v>
      </c>
      <c r="BD27" s="6" t="str">
        <v>NA</v>
      </c>
      <c r="BE27" s="6" t="str">
        <v>Y</v>
      </c>
      <c r="BF27" s="6" t="str">
        <v>NA</v>
      </c>
      <c r="BG27" s="6" t="str">
        <v>Y</v>
      </c>
      <c r="BH27" s="6" t="str">
        <v>NA</v>
      </c>
      <c r="BI27" s="9" t="str">
        <v>Y</v>
      </c>
      <c r="BJ27" s="8">
        <v>71.99799999999999</v>
      </c>
      <c r="BK27" s="6" t="str">
        <v>Y</v>
      </c>
      <c r="BL27" s="6">
        <v>73.305999999999997</v>
      </c>
      <c r="BM27" s="6" t="str">
        <v>Y</v>
      </c>
      <c r="BN27" s="6">
        <v>73.937999999999988</v>
      </c>
      <c r="BO27" s="6" t="str">
        <v>Y</v>
      </c>
      <c r="BP27" s="6">
        <v>81.819999999999993</v>
      </c>
      <c r="BQ27" s="6" t="str">
        <v>Y</v>
      </c>
      <c r="BR27" s="6">
        <v>100</v>
      </c>
      <c r="BS27" s="6" t="str">
        <v>Y</v>
      </c>
      <c r="BT27" s="6">
        <v>86.67</v>
      </c>
      <c r="BU27" s="9" t="str">
        <v>Y</v>
      </c>
    </row>
    <row r="28" spans="1:73" x14ac:dyDescent="0.3">
      <c r="A28" s="56">
        <v>2010992202</v>
      </c>
      <c r="B28" s="8">
        <v>75</v>
      </c>
      <c r="C28" s="6" t="str">
        <v>Y</v>
      </c>
      <c r="D28" s="6">
        <v>76.92</v>
      </c>
      <c r="E28" s="6" t="str">
        <v>Y</v>
      </c>
      <c r="F28" s="6">
        <v>76.47</v>
      </c>
      <c r="G28" s="6" t="str">
        <v>Y</v>
      </c>
      <c r="H28" s="6">
        <v>77.27</v>
      </c>
      <c r="I28" s="6" t="str">
        <v>Y</v>
      </c>
      <c r="J28" s="6">
        <v>100</v>
      </c>
      <c r="K28" s="6" t="str">
        <v>Y</v>
      </c>
      <c r="L28" s="6">
        <v>80</v>
      </c>
      <c r="M28" s="9" t="str">
        <v>Y</v>
      </c>
      <c r="N28" s="8" t="str">
        <v>NA</v>
      </c>
      <c r="O28" s="6" t="str">
        <v>Y</v>
      </c>
      <c r="P28" s="6" t="str">
        <v>NA</v>
      </c>
      <c r="Q28" s="6" t="str">
        <v>NA</v>
      </c>
      <c r="R28" s="6" t="str">
        <v>NA</v>
      </c>
      <c r="S28" s="6" t="str">
        <v>NA</v>
      </c>
      <c r="T28" s="6" t="str">
        <v>NA</v>
      </c>
      <c r="U28" s="6" t="str">
        <v>NA</v>
      </c>
      <c r="V28" s="6" t="str">
        <v>NA</v>
      </c>
      <c r="W28" s="6" t="str">
        <v>NA</v>
      </c>
      <c r="X28" s="6" t="str">
        <v>NA</v>
      </c>
      <c r="Y28" s="9" t="str">
        <v>NA</v>
      </c>
      <c r="Z28" s="8" t="str">
        <v>NA</v>
      </c>
      <c r="AA28" s="6" t="str">
        <v>NA</v>
      </c>
      <c r="AB28" s="6" t="str">
        <v>NA</v>
      </c>
      <c r="AC28" s="6" t="str">
        <v>NA</v>
      </c>
      <c r="AD28" s="6" t="str">
        <v>NA</v>
      </c>
      <c r="AE28" s="6" t="str">
        <v>NA</v>
      </c>
      <c r="AF28" s="6" t="str">
        <v>NA</v>
      </c>
      <c r="AG28" s="6" t="str">
        <v>NA</v>
      </c>
      <c r="AH28" s="6" t="str">
        <v>NA</v>
      </c>
      <c r="AI28" s="6" t="str">
        <v>NA</v>
      </c>
      <c r="AJ28" s="6" t="str">
        <v>NA</v>
      </c>
      <c r="AK28" s="9" t="str">
        <v>NA</v>
      </c>
      <c r="AL28" s="8">
        <v>78.33</v>
      </c>
      <c r="AM28" s="6" t="str">
        <v>Y</v>
      </c>
      <c r="AN28" s="6">
        <v>78.33</v>
      </c>
      <c r="AO28" s="6" t="str">
        <v>Y</v>
      </c>
      <c r="AP28" s="6">
        <v>78.33</v>
      </c>
      <c r="AQ28" s="6" t="str">
        <v>Y</v>
      </c>
      <c r="AR28" s="6" t="str">
        <v>NA</v>
      </c>
      <c r="AS28" s="6" t="str">
        <v>Y</v>
      </c>
      <c r="AT28" s="6" t="str">
        <v>NA</v>
      </c>
      <c r="AU28" s="6" t="str">
        <v>Y</v>
      </c>
      <c r="AV28" s="6" t="str">
        <v>NA</v>
      </c>
      <c r="AW28" s="7" t="str">
        <v>Y</v>
      </c>
      <c r="AX28" s="8">
        <v>66.67</v>
      </c>
      <c r="AY28" s="6" t="str">
        <v>Y</v>
      </c>
      <c r="AZ28" s="6">
        <v>66.67</v>
      </c>
      <c r="BA28" s="6"/>
      <c r="BB28" s="6">
        <v>80</v>
      </c>
      <c r="BC28" s="6"/>
      <c r="BD28" s="6" t="str">
        <v>NA</v>
      </c>
      <c r="BE28" s="6"/>
      <c r="BF28" s="6" t="str">
        <v>NA</v>
      </c>
      <c r="BG28" s="6"/>
      <c r="BH28" s="6" t="str">
        <v>NA</v>
      </c>
      <c r="BI28" s="9"/>
      <c r="BJ28" s="8">
        <v>76.99799999999999</v>
      </c>
      <c r="BK28" s="6" t="str">
        <v>Y</v>
      </c>
      <c r="BL28" s="6">
        <v>77.765999999999991</v>
      </c>
      <c r="BM28" s="6" t="str">
        <v>Y</v>
      </c>
      <c r="BN28" s="6">
        <v>77.585999999999999</v>
      </c>
      <c r="BO28" s="6" t="str">
        <v>Y</v>
      </c>
      <c r="BP28" s="6">
        <v>77.27</v>
      </c>
      <c r="BQ28" s="6" t="str">
        <v>Y</v>
      </c>
      <c r="BR28" s="6">
        <v>100</v>
      </c>
      <c r="BS28" s="6" t="str">
        <v>Y</v>
      </c>
      <c r="BT28" s="6">
        <v>80</v>
      </c>
      <c r="BU28" s="9" t="str">
        <v>Y</v>
      </c>
    </row>
    <row r="29" spans="1:73" x14ac:dyDescent="0.3">
      <c r="A29" s="56"/>
      <c r="B29" s="8"/>
      <c r="C29" s="6"/>
      <c r="D29" s="6"/>
      <c r="E29" s="6"/>
      <c r="F29" s="6"/>
      <c r="G29" s="6"/>
      <c r="H29" s="6"/>
      <c r="I29" s="6"/>
      <c r="J29" s="6"/>
      <c r="K29" s="6"/>
      <c r="L29" s="6"/>
      <c r="M29" s="9"/>
      <c r="N29" s="8"/>
      <c r="O29" s="6"/>
      <c r="P29" s="6"/>
      <c r="Q29" s="6"/>
      <c r="R29" s="6"/>
      <c r="S29" s="6"/>
      <c r="T29" s="6"/>
      <c r="U29" s="6"/>
      <c r="V29" s="6"/>
      <c r="W29" s="6"/>
      <c r="X29" s="6"/>
      <c r="Y29" s="9"/>
      <c r="Z29" s="8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9"/>
      <c r="AL29" s="8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7"/>
      <c r="AX29" s="98"/>
      <c r="AY29" s="98"/>
      <c r="AZ29" s="98"/>
      <c r="BA29" s="98"/>
      <c r="BB29" s="98"/>
      <c r="BC29" s="98"/>
      <c r="BD29" s="98"/>
      <c r="BE29" s="98"/>
      <c r="BF29" s="98"/>
      <c r="BG29" s="98"/>
      <c r="BH29" s="98"/>
      <c r="BI29" s="98"/>
      <c r="BJ29" s="8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9"/>
    </row>
    <row r="30" spans="1:73" x14ac:dyDescent="0.3">
      <c r="A30" s="56"/>
      <c r="B30" s="8"/>
      <c r="C30" s="6"/>
      <c r="D30" s="6"/>
      <c r="E30" s="6"/>
      <c r="F30" s="6"/>
      <c r="G30" s="6"/>
      <c r="H30" s="6"/>
      <c r="I30" s="6"/>
      <c r="J30" s="6"/>
      <c r="K30" s="6"/>
      <c r="L30" s="6"/>
      <c r="M30" s="9"/>
      <c r="N30" s="8"/>
      <c r="O30" s="6"/>
      <c r="P30" s="6"/>
      <c r="Q30" s="6"/>
      <c r="R30" s="6"/>
      <c r="S30" s="6"/>
      <c r="T30" s="6"/>
      <c r="U30" s="6"/>
      <c r="V30" s="6"/>
      <c r="W30" s="6"/>
      <c r="X30" s="6"/>
      <c r="Y30" s="9"/>
      <c r="Z30" s="8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9"/>
      <c r="AL30" s="8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7"/>
      <c r="AX30" s="98"/>
      <c r="AY30" s="98"/>
      <c r="AZ30" s="98"/>
      <c r="BA30" s="98"/>
      <c r="BB30" s="98"/>
      <c r="BC30" s="98"/>
      <c r="BD30" s="98"/>
      <c r="BE30" s="98"/>
      <c r="BF30" s="98"/>
      <c r="BG30" s="98"/>
      <c r="BH30" s="98"/>
      <c r="BI30" s="98"/>
      <c r="BJ30" s="8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9"/>
    </row>
    <row r="31" spans="1:73" x14ac:dyDescent="0.3">
      <c r="A31" s="56"/>
      <c r="B31" s="8"/>
      <c r="C31" s="6"/>
      <c r="D31" s="6"/>
      <c r="E31" s="6"/>
      <c r="F31" s="6"/>
      <c r="G31" s="6"/>
      <c r="H31" s="6"/>
      <c r="I31" s="6"/>
      <c r="J31" s="6"/>
      <c r="K31" s="6"/>
      <c r="L31" s="6"/>
      <c r="M31" s="9"/>
      <c r="N31" s="8"/>
      <c r="O31" s="6"/>
      <c r="P31" s="6"/>
      <c r="Q31" s="6"/>
      <c r="R31" s="6"/>
      <c r="S31" s="6"/>
      <c r="T31" s="6"/>
      <c r="U31" s="6"/>
      <c r="V31" s="6"/>
      <c r="W31" s="6"/>
      <c r="X31" s="6"/>
      <c r="Y31" s="9"/>
      <c r="Z31" s="8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9"/>
      <c r="AL31" s="8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7"/>
      <c r="AX31" s="98"/>
      <c r="AY31" s="98"/>
      <c r="AZ31" s="98"/>
      <c r="BA31" s="98"/>
      <c r="BB31" s="98"/>
      <c r="BC31" s="98"/>
      <c r="BD31" s="98"/>
      <c r="BE31" s="98"/>
      <c r="BF31" s="98"/>
      <c r="BG31" s="98"/>
      <c r="BH31" s="98"/>
      <c r="BI31" s="98"/>
      <c r="BJ31" s="8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9"/>
    </row>
    <row r="32" spans="1:73" x14ac:dyDescent="0.3">
      <c r="A32" s="56"/>
      <c r="B32" s="8"/>
      <c r="C32" s="6"/>
      <c r="D32" s="6"/>
      <c r="E32" s="6"/>
      <c r="F32" s="6"/>
      <c r="G32" s="6"/>
      <c r="H32" s="6"/>
      <c r="I32" s="6"/>
      <c r="J32" s="6"/>
      <c r="K32" s="6"/>
      <c r="L32" s="6"/>
      <c r="M32" s="9"/>
      <c r="N32" s="8"/>
      <c r="O32" s="6"/>
      <c r="P32" s="6"/>
      <c r="Q32" s="6"/>
      <c r="R32" s="6"/>
      <c r="S32" s="6"/>
      <c r="T32" s="6"/>
      <c r="U32" s="6"/>
      <c r="V32" s="6"/>
      <c r="W32" s="6"/>
      <c r="X32" s="6"/>
      <c r="Y32" s="9"/>
      <c r="Z32" s="8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9"/>
      <c r="AL32" s="8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7"/>
      <c r="AX32" s="98"/>
      <c r="AY32" s="98"/>
      <c r="AZ32" s="98"/>
      <c r="BA32" s="98"/>
      <c r="BB32" s="98"/>
      <c r="BC32" s="98"/>
      <c r="BD32" s="98"/>
      <c r="BE32" s="98"/>
      <c r="BF32" s="98"/>
      <c r="BG32" s="98"/>
      <c r="BH32" s="98"/>
      <c r="BI32" s="98"/>
      <c r="BJ32" s="8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9"/>
    </row>
    <row r="33" spans="1:73" x14ac:dyDescent="0.3">
      <c r="A33" s="56"/>
      <c r="B33" s="8"/>
      <c r="C33" s="6"/>
      <c r="D33" s="6"/>
      <c r="E33" s="6"/>
      <c r="F33" s="6"/>
      <c r="G33" s="6"/>
      <c r="H33" s="6"/>
      <c r="I33" s="6"/>
      <c r="J33" s="6"/>
      <c r="K33" s="6"/>
      <c r="L33" s="6"/>
      <c r="M33" s="9"/>
      <c r="N33" s="8"/>
      <c r="O33" s="6"/>
      <c r="P33" s="6"/>
      <c r="Q33" s="6"/>
      <c r="R33" s="6"/>
      <c r="S33" s="6"/>
      <c r="T33" s="6"/>
      <c r="U33" s="6"/>
      <c r="V33" s="6"/>
      <c r="W33" s="6"/>
      <c r="X33" s="6"/>
      <c r="Y33" s="9"/>
      <c r="Z33" s="8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9"/>
      <c r="AL33" s="8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7"/>
      <c r="AX33" s="98"/>
      <c r="AY33" s="98"/>
      <c r="AZ33" s="98"/>
      <c r="BA33" s="98"/>
      <c r="BB33" s="98"/>
      <c r="BC33" s="98"/>
      <c r="BD33" s="98"/>
      <c r="BE33" s="98"/>
      <c r="BF33" s="98"/>
      <c r="BG33" s="98"/>
      <c r="BH33" s="98"/>
      <c r="BI33" s="98"/>
      <c r="BJ33" s="8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9"/>
    </row>
    <row r="34" spans="1:73" x14ac:dyDescent="0.3">
      <c r="A34" s="56"/>
      <c r="B34" s="8"/>
      <c r="C34" s="6"/>
      <c r="D34" s="6"/>
      <c r="E34" s="6"/>
      <c r="F34" s="6"/>
      <c r="G34" s="6"/>
      <c r="H34" s="6"/>
      <c r="I34" s="6"/>
      <c r="J34" s="6"/>
      <c r="K34" s="6"/>
      <c r="L34" s="6"/>
      <c r="M34" s="9"/>
      <c r="N34" s="8"/>
      <c r="O34" s="6"/>
      <c r="P34" s="6"/>
      <c r="Q34" s="6"/>
      <c r="R34" s="6"/>
      <c r="S34" s="6"/>
      <c r="T34" s="6"/>
      <c r="U34" s="6"/>
      <c r="V34" s="6"/>
      <c r="W34" s="6"/>
      <c r="X34" s="6"/>
      <c r="Y34" s="9"/>
      <c r="Z34" s="8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9"/>
      <c r="AL34" s="8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7"/>
      <c r="AX34" s="98"/>
      <c r="AY34" s="98"/>
      <c r="AZ34" s="98"/>
      <c r="BA34" s="98"/>
      <c r="BB34" s="98"/>
      <c r="BC34" s="98"/>
      <c r="BD34" s="98"/>
      <c r="BE34" s="98"/>
      <c r="BF34" s="98"/>
      <c r="BG34" s="98"/>
      <c r="BH34" s="98"/>
      <c r="BI34" s="98"/>
      <c r="BJ34" s="8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9"/>
    </row>
    <row r="35" spans="1:73" x14ac:dyDescent="0.3">
      <c r="A35" s="56"/>
      <c r="B35" s="8"/>
      <c r="C35" s="6"/>
      <c r="D35" s="6"/>
      <c r="E35" s="6"/>
      <c r="F35" s="6"/>
      <c r="G35" s="6"/>
      <c r="H35" s="6"/>
      <c r="I35" s="6"/>
      <c r="J35" s="6"/>
      <c r="K35" s="6"/>
      <c r="L35" s="6"/>
      <c r="M35" s="9"/>
      <c r="N35" s="8"/>
      <c r="O35" s="6"/>
      <c r="P35" s="6"/>
      <c r="Q35" s="6"/>
      <c r="R35" s="6"/>
      <c r="S35" s="6"/>
      <c r="T35" s="6"/>
      <c r="U35" s="6"/>
      <c r="V35" s="6"/>
      <c r="W35" s="6"/>
      <c r="X35" s="6"/>
      <c r="Y35" s="9"/>
      <c r="Z35" s="8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9"/>
      <c r="AL35" s="8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7"/>
      <c r="AX35" s="98"/>
      <c r="AY35" s="98"/>
      <c r="AZ35" s="98"/>
      <c r="BA35" s="98"/>
      <c r="BB35" s="98"/>
      <c r="BC35" s="98"/>
      <c r="BD35" s="98"/>
      <c r="BE35" s="98"/>
      <c r="BF35" s="98"/>
      <c r="BG35" s="98"/>
      <c r="BH35" s="98"/>
      <c r="BI35" s="98"/>
      <c r="BJ35" s="8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9"/>
    </row>
    <row r="36" spans="1:73" x14ac:dyDescent="0.3">
      <c r="A36" s="56"/>
      <c r="B36" s="8"/>
      <c r="C36" s="6"/>
      <c r="D36" s="6"/>
      <c r="E36" s="6"/>
      <c r="F36" s="6"/>
      <c r="G36" s="6"/>
      <c r="H36" s="6"/>
      <c r="I36" s="6"/>
      <c r="J36" s="6"/>
      <c r="K36" s="6"/>
      <c r="L36" s="6"/>
      <c r="M36" s="9"/>
      <c r="N36" s="8"/>
      <c r="O36" s="6"/>
      <c r="P36" s="6"/>
      <c r="Q36" s="6"/>
      <c r="R36" s="6"/>
      <c r="S36" s="6"/>
      <c r="T36" s="6"/>
      <c r="U36" s="6"/>
      <c r="V36" s="6"/>
      <c r="W36" s="6"/>
      <c r="X36" s="6"/>
      <c r="Y36" s="9"/>
      <c r="Z36" s="8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9"/>
      <c r="AL36" s="8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7"/>
      <c r="AX36" s="98"/>
      <c r="AY36" s="98"/>
      <c r="AZ36" s="98"/>
      <c r="BA36" s="98"/>
      <c r="BB36" s="98"/>
      <c r="BC36" s="98"/>
      <c r="BD36" s="98"/>
      <c r="BE36" s="98"/>
      <c r="BF36" s="98"/>
      <c r="BG36" s="98"/>
      <c r="BH36" s="98"/>
      <c r="BI36" s="98"/>
      <c r="BJ36" s="8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9"/>
    </row>
    <row r="37" spans="1:73" x14ac:dyDescent="0.3">
      <c r="A37" s="56"/>
      <c r="B37" s="8"/>
      <c r="C37" s="6"/>
      <c r="D37" s="6"/>
      <c r="E37" s="6"/>
      <c r="F37" s="6"/>
      <c r="G37" s="6"/>
      <c r="H37" s="6"/>
      <c r="I37" s="6"/>
      <c r="J37" s="6"/>
      <c r="K37" s="6"/>
      <c r="L37" s="6"/>
      <c r="M37" s="9"/>
      <c r="N37" s="8"/>
      <c r="O37" s="6"/>
      <c r="P37" s="6"/>
      <c r="Q37" s="6"/>
      <c r="R37" s="6"/>
      <c r="S37" s="6"/>
      <c r="T37" s="6"/>
      <c r="U37" s="6"/>
      <c r="V37" s="6"/>
      <c r="W37" s="6"/>
      <c r="X37" s="6"/>
      <c r="Y37" s="9"/>
      <c r="Z37" s="8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9"/>
      <c r="AL37" s="8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7"/>
      <c r="AX37" s="98"/>
      <c r="AY37" s="98"/>
      <c r="AZ37" s="98"/>
      <c r="BA37" s="98"/>
      <c r="BB37" s="98"/>
      <c r="BC37" s="98"/>
      <c r="BD37" s="98"/>
      <c r="BE37" s="98"/>
      <c r="BF37" s="98"/>
      <c r="BG37" s="98"/>
      <c r="BH37" s="98"/>
      <c r="BI37" s="98"/>
      <c r="BJ37" s="8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9"/>
    </row>
    <row r="38" spans="1:73" x14ac:dyDescent="0.3">
      <c r="A38" s="56"/>
      <c r="B38" s="8"/>
      <c r="C38" s="6"/>
      <c r="D38" s="6"/>
      <c r="E38" s="6"/>
      <c r="F38" s="6"/>
      <c r="G38" s="6"/>
      <c r="H38" s="6"/>
      <c r="I38" s="6"/>
      <c r="J38" s="6"/>
      <c r="K38" s="6"/>
      <c r="L38" s="6"/>
      <c r="M38" s="9"/>
      <c r="N38" s="8"/>
      <c r="O38" s="6"/>
      <c r="P38" s="6"/>
      <c r="Q38" s="6"/>
      <c r="R38" s="6"/>
      <c r="S38" s="6"/>
      <c r="T38" s="6"/>
      <c r="U38" s="6"/>
      <c r="V38" s="6"/>
      <c r="W38" s="6"/>
      <c r="X38" s="6"/>
      <c r="Y38" s="9"/>
      <c r="Z38" s="8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9"/>
      <c r="AL38" s="8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7"/>
      <c r="AX38" s="98"/>
      <c r="AY38" s="98"/>
      <c r="AZ38" s="98"/>
      <c r="BA38" s="98"/>
      <c r="BB38" s="98"/>
      <c r="BC38" s="98"/>
      <c r="BD38" s="98"/>
      <c r="BE38" s="98"/>
      <c r="BF38" s="98"/>
      <c r="BG38" s="98"/>
      <c r="BH38" s="98"/>
      <c r="BI38" s="98"/>
      <c r="BJ38" s="8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9"/>
    </row>
    <row r="39" spans="1:73" x14ac:dyDescent="0.3">
      <c r="A39" s="56"/>
      <c r="B39" s="8"/>
      <c r="C39" s="6"/>
      <c r="D39" s="6"/>
      <c r="E39" s="6"/>
      <c r="F39" s="6"/>
      <c r="G39" s="6"/>
      <c r="H39" s="6"/>
      <c r="I39" s="6"/>
      <c r="J39" s="6"/>
      <c r="K39" s="6"/>
      <c r="L39" s="6"/>
      <c r="M39" s="9"/>
      <c r="N39" s="8"/>
      <c r="O39" s="6"/>
      <c r="P39" s="6"/>
      <c r="Q39" s="6"/>
      <c r="R39" s="6"/>
      <c r="S39" s="6"/>
      <c r="T39" s="6"/>
      <c r="U39" s="6"/>
      <c r="V39" s="6"/>
      <c r="W39" s="6"/>
      <c r="X39" s="6"/>
      <c r="Y39" s="9"/>
      <c r="Z39" s="8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9"/>
      <c r="AL39" s="8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7"/>
      <c r="AX39" s="98"/>
      <c r="AY39" s="98"/>
      <c r="AZ39" s="98"/>
      <c r="BA39" s="98"/>
      <c r="BB39" s="98"/>
      <c r="BC39" s="98"/>
      <c r="BD39" s="98"/>
      <c r="BE39" s="98"/>
      <c r="BF39" s="98"/>
      <c r="BG39" s="98"/>
      <c r="BH39" s="98"/>
      <c r="BI39" s="98"/>
      <c r="BJ39" s="8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9"/>
    </row>
    <row r="40" spans="1:73" x14ac:dyDescent="0.3">
      <c r="A40" s="56"/>
      <c r="B40" s="8"/>
      <c r="C40" s="6"/>
      <c r="D40" s="6"/>
      <c r="E40" s="6"/>
      <c r="F40" s="6"/>
      <c r="G40" s="6"/>
      <c r="H40" s="6"/>
      <c r="I40" s="6"/>
      <c r="J40" s="6"/>
      <c r="K40" s="6"/>
      <c r="L40" s="6"/>
      <c r="M40" s="9"/>
      <c r="N40" s="8"/>
      <c r="O40" s="6"/>
      <c r="P40" s="6"/>
      <c r="Q40" s="6"/>
      <c r="R40" s="6"/>
      <c r="S40" s="6"/>
      <c r="T40" s="6"/>
      <c r="U40" s="6"/>
      <c r="V40" s="6"/>
      <c r="W40" s="6"/>
      <c r="X40" s="6"/>
      <c r="Y40" s="9"/>
      <c r="Z40" s="8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9"/>
      <c r="AL40" s="8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7"/>
      <c r="AX40" s="98"/>
      <c r="AY40" s="98"/>
      <c r="AZ40" s="98"/>
      <c r="BA40" s="98"/>
      <c r="BB40" s="98"/>
      <c r="BC40" s="98"/>
      <c r="BD40" s="98"/>
      <c r="BE40" s="98"/>
      <c r="BF40" s="98"/>
      <c r="BG40" s="98"/>
      <c r="BH40" s="98"/>
      <c r="BI40" s="98"/>
      <c r="BJ40" s="8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9"/>
    </row>
    <row r="41" spans="1:73" x14ac:dyDescent="0.3">
      <c r="A41" s="56"/>
      <c r="B41" s="8"/>
      <c r="C41" s="6"/>
      <c r="D41" s="6"/>
      <c r="E41" s="6"/>
      <c r="F41" s="6"/>
      <c r="G41" s="6"/>
      <c r="H41" s="6"/>
      <c r="I41" s="6"/>
      <c r="J41" s="6"/>
      <c r="K41" s="6"/>
      <c r="L41" s="6"/>
      <c r="M41" s="9"/>
      <c r="N41" s="8"/>
      <c r="O41" s="6"/>
      <c r="P41" s="6"/>
      <c r="Q41" s="6"/>
      <c r="R41" s="6"/>
      <c r="S41" s="6"/>
      <c r="T41" s="6"/>
      <c r="U41" s="6"/>
      <c r="V41" s="6"/>
      <c r="W41" s="6"/>
      <c r="X41" s="6"/>
      <c r="Y41" s="9"/>
      <c r="Z41" s="8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9"/>
      <c r="AL41" s="8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7"/>
      <c r="AX41" s="98"/>
      <c r="AY41" s="98"/>
      <c r="AZ41" s="98"/>
      <c r="BA41" s="98"/>
      <c r="BB41" s="98"/>
      <c r="BC41" s="98"/>
      <c r="BD41" s="98"/>
      <c r="BE41" s="98"/>
      <c r="BF41" s="98"/>
      <c r="BG41" s="98"/>
      <c r="BH41" s="98"/>
      <c r="BI41" s="98"/>
      <c r="BJ41" s="8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9"/>
    </row>
    <row r="42" spans="1:73" x14ac:dyDescent="0.3">
      <c r="A42" s="56"/>
      <c r="B42" s="8"/>
      <c r="C42" s="6"/>
      <c r="D42" s="6"/>
      <c r="E42" s="6"/>
      <c r="F42" s="6"/>
      <c r="G42" s="6"/>
      <c r="H42" s="6"/>
      <c r="I42" s="6"/>
      <c r="J42" s="6"/>
      <c r="K42" s="6"/>
      <c r="L42" s="6"/>
      <c r="M42" s="9"/>
      <c r="N42" s="8"/>
      <c r="O42" s="6"/>
      <c r="P42" s="6"/>
      <c r="Q42" s="6"/>
      <c r="R42" s="6"/>
      <c r="S42" s="6"/>
      <c r="T42" s="6"/>
      <c r="U42" s="6"/>
      <c r="V42" s="6"/>
      <c r="W42" s="6"/>
      <c r="X42" s="6"/>
      <c r="Y42" s="9"/>
      <c r="Z42" s="8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9"/>
      <c r="AL42" s="8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7"/>
      <c r="AX42" s="98"/>
      <c r="AY42" s="98"/>
      <c r="AZ42" s="98"/>
      <c r="BA42" s="98"/>
      <c r="BB42" s="98"/>
      <c r="BC42" s="98"/>
      <c r="BD42" s="98"/>
      <c r="BE42" s="98"/>
      <c r="BF42" s="98"/>
      <c r="BG42" s="98"/>
      <c r="BH42" s="98"/>
      <c r="BI42" s="98"/>
      <c r="BJ42" s="8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9"/>
    </row>
    <row r="43" spans="1:73" x14ac:dyDescent="0.3">
      <c r="A43" s="56"/>
      <c r="B43" s="8"/>
      <c r="C43" s="6"/>
      <c r="D43" s="6"/>
      <c r="E43" s="6"/>
      <c r="F43" s="6"/>
      <c r="G43" s="6"/>
      <c r="H43" s="6"/>
      <c r="I43" s="6"/>
      <c r="J43" s="6"/>
      <c r="K43" s="6"/>
      <c r="L43" s="6"/>
      <c r="M43" s="9"/>
      <c r="N43" s="8"/>
      <c r="O43" s="6"/>
      <c r="P43" s="6"/>
      <c r="Q43" s="6"/>
      <c r="R43" s="6"/>
      <c r="S43" s="6"/>
      <c r="T43" s="6"/>
      <c r="U43" s="6"/>
      <c r="V43" s="6"/>
      <c r="W43" s="6"/>
      <c r="X43" s="6"/>
      <c r="Y43" s="9"/>
      <c r="Z43" s="8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9"/>
      <c r="AL43" s="8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7"/>
      <c r="AX43" s="98"/>
      <c r="AY43" s="98"/>
      <c r="AZ43" s="98"/>
      <c r="BA43" s="98"/>
      <c r="BB43" s="98"/>
      <c r="BC43" s="98"/>
      <c r="BD43" s="98"/>
      <c r="BE43" s="98"/>
      <c r="BF43" s="98"/>
      <c r="BG43" s="98"/>
      <c r="BH43" s="98"/>
      <c r="BI43" s="98"/>
      <c r="BJ43" s="8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9"/>
    </row>
    <row r="44" spans="1:73" x14ac:dyDescent="0.3">
      <c r="A44" s="56"/>
      <c r="B44" s="8"/>
      <c r="C44" s="6"/>
      <c r="D44" s="6"/>
      <c r="E44" s="6"/>
      <c r="F44" s="6"/>
      <c r="G44" s="6"/>
      <c r="H44" s="6"/>
      <c r="I44" s="6"/>
      <c r="J44" s="6"/>
      <c r="K44" s="6"/>
      <c r="L44" s="6"/>
      <c r="M44" s="9"/>
      <c r="N44" s="8"/>
      <c r="O44" s="6"/>
      <c r="P44" s="6"/>
      <c r="Q44" s="6"/>
      <c r="R44" s="6"/>
      <c r="S44" s="6"/>
      <c r="T44" s="6"/>
      <c r="U44" s="6"/>
      <c r="V44" s="6"/>
      <c r="W44" s="6"/>
      <c r="X44" s="6"/>
      <c r="Y44" s="9"/>
      <c r="Z44" s="8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9"/>
      <c r="AL44" s="8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7"/>
      <c r="AX44" s="98"/>
      <c r="AY44" s="98"/>
      <c r="AZ44" s="98"/>
      <c r="BA44" s="98"/>
      <c r="BB44" s="98"/>
      <c r="BC44" s="98"/>
      <c r="BD44" s="98"/>
      <c r="BE44" s="98"/>
      <c r="BF44" s="98"/>
      <c r="BG44" s="98"/>
      <c r="BH44" s="98"/>
      <c r="BI44" s="98"/>
      <c r="BJ44" s="8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9"/>
    </row>
    <row r="45" spans="1:73" x14ac:dyDescent="0.3">
      <c r="A45" s="56"/>
      <c r="B45" s="8"/>
      <c r="C45" s="6"/>
      <c r="D45" s="6"/>
      <c r="E45" s="6"/>
      <c r="F45" s="6"/>
      <c r="G45" s="6"/>
      <c r="H45" s="6"/>
      <c r="I45" s="6"/>
      <c r="J45" s="6"/>
      <c r="K45" s="6"/>
      <c r="L45" s="6"/>
      <c r="M45" s="9"/>
      <c r="N45" s="8"/>
      <c r="O45" s="6"/>
      <c r="P45" s="6"/>
      <c r="Q45" s="6"/>
      <c r="R45" s="6"/>
      <c r="S45" s="6"/>
      <c r="T45" s="6"/>
      <c r="U45" s="6"/>
      <c r="V45" s="6"/>
      <c r="W45" s="6"/>
      <c r="X45" s="6"/>
      <c r="Y45" s="9"/>
      <c r="Z45" s="8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9"/>
      <c r="AL45" s="8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7"/>
      <c r="AX45" s="98"/>
      <c r="AY45" s="98"/>
      <c r="AZ45" s="98"/>
      <c r="BA45" s="98"/>
      <c r="BB45" s="98"/>
      <c r="BC45" s="98"/>
      <c r="BD45" s="98"/>
      <c r="BE45" s="98"/>
      <c r="BF45" s="98"/>
      <c r="BG45" s="98"/>
      <c r="BH45" s="98"/>
      <c r="BI45" s="98"/>
      <c r="BJ45" s="8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9"/>
    </row>
    <row r="46" spans="1:73" x14ac:dyDescent="0.3">
      <c r="A46" s="56"/>
      <c r="B46" s="8"/>
      <c r="C46" s="6"/>
      <c r="D46" s="6"/>
      <c r="E46" s="6"/>
      <c r="F46" s="6"/>
      <c r="G46" s="6"/>
      <c r="H46" s="6"/>
      <c r="I46" s="6"/>
      <c r="J46" s="6"/>
      <c r="K46" s="6"/>
      <c r="L46" s="6"/>
      <c r="M46" s="9"/>
      <c r="N46" s="8"/>
      <c r="O46" s="6"/>
      <c r="P46" s="6"/>
      <c r="Q46" s="6"/>
      <c r="R46" s="6"/>
      <c r="S46" s="6"/>
      <c r="T46" s="6"/>
      <c r="U46" s="6"/>
      <c r="V46" s="6"/>
      <c r="W46" s="6"/>
      <c r="X46" s="6"/>
      <c r="Y46" s="9"/>
      <c r="Z46" s="8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9"/>
      <c r="AL46" s="8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7"/>
      <c r="AX46" s="98"/>
      <c r="AY46" s="98"/>
      <c r="AZ46" s="98"/>
      <c r="BA46" s="98"/>
      <c r="BB46" s="98"/>
      <c r="BC46" s="98"/>
      <c r="BD46" s="98"/>
      <c r="BE46" s="98"/>
      <c r="BF46" s="98"/>
      <c r="BG46" s="98"/>
      <c r="BH46" s="98"/>
      <c r="BI46" s="98"/>
      <c r="BJ46" s="8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9"/>
    </row>
    <row r="47" spans="1:73" x14ac:dyDescent="0.3">
      <c r="A47" s="56"/>
      <c r="B47" s="8"/>
      <c r="C47" s="6"/>
      <c r="D47" s="6"/>
      <c r="E47" s="6"/>
      <c r="F47" s="6"/>
      <c r="G47" s="6"/>
      <c r="H47" s="6"/>
      <c r="I47" s="6"/>
      <c r="J47" s="6"/>
      <c r="K47" s="6"/>
      <c r="L47" s="6"/>
      <c r="M47" s="9"/>
      <c r="N47" s="8"/>
      <c r="O47" s="6"/>
      <c r="P47" s="6"/>
      <c r="Q47" s="6"/>
      <c r="R47" s="6"/>
      <c r="S47" s="6"/>
      <c r="T47" s="6"/>
      <c r="U47" s="6"/>
      <c r="V47" s="6"/>
      <c r="W47" s="6"/>
      <c r="X47" s="6"/>
      <c r="Y47" s="9"/>
      <c r="Z47" s="8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9"/>
      <c r="AL47" s="8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7"/>
      <c r="AX47" s="98"/>
      <c r="AY47" s="98"/>
      <c r="AZ47" s="98"/>
      <c r="BA47" s="98"/>
      <c r="BB47" s="98"/>
      <c r="BC47" s="98"/>
      <c r="BD47" s="98"/>
      <c r="BE47" s="98"/>
      <c r="BF47" s="98"/>
      <c r="BG47" s="98"/>
      <c r="BH47" s="98"/>
      <c r="BI47" s="98"/>
      <c r="BJ47" s="8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9"/>
    </row>
    <row r="48" spans="1:73" x14ac:dyDescent="0.3">
      <c r="A48" s="56"/>
      <c r="B48" s="8"/>
      <c r="C48" s="6"/>
      <c r="D48" s="6"/>
      <c r="E48" s="6"/>
      <c r="F48" s="6"/>
      <c r="G48" s="6"/>
      <c r="H48" s="6"/>
      <c r="I48" s="6"/>
      <c r="J48" s="6"/>
      <c r="K48" s="6"/>
      <c r="L48" s="6"/>
      <c r="M48" s="9"/>
      <c r="N48" s="8"/>
      <c r="O48" s="6"/>
      <c r="P48" s="6"/>
      <c r="Q48" s="6"/>
      <c r="R48" s="6"/>
      <c r="S48" s="6"/>
      <c r="T48" s="6"/>
      <c r="U48" s="6"/>
      <c r="V48" s="6"/>
      <c r="W48" s="6"/>
      <c r="X48" s="6"/>
      <c r="Y48" s="9"/>
      <c r="Z48" s="8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9"/>
      <c r="AL48" s="8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7"/>
      <c r="AX48" s="98"/>
      <c r="AY48" s="98"/>
      <c r="AZ48" s="98"/>
      <c r="BA48" s="98"/>
      <c r="BB48" s="98"/>
      <c r="BC48" s="98"/>
      <c r="BD48" s="98"/>
      <c r="BE48" s="98"/>
      <c r="BF48" s="98"/>
      <c r="BG48" s="98"/>
      <c r="BH48" s="98"/>
      <c r="BI48" s="98"/>
      <c r="BJ48" s="8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9"/>
    </row>
    <row r="49" spans="1:73" x14ac:dyDescent="0.3">
      <c r="A49" s="56"/>
      <c r="B49" s="8"/>
      <c r="C49" s="6"/>
      <c r="D49" s="6"/>
      <c r="E49" s="6"/>
      <c r="F49" s="6"/>
      <c r="G49" s="6"/>
      <c r="H49" s="6"/>
      <c r="I49" s="6"/>
      <c r="J49" s="6"/>
      <c r="K49" s="6"/>
      <c r="L49" s="6"/>
      <c r="M49" s="9"/>
      <c r="N49" s="8"/>
      <c r="O49" s="6"/>
      <c r="P49" s="6"/>
      <c r="Q49" s="6"/>
      <c r="R49" s="6"/>
      <c r="S49" s="6"/>
      <c r="T49" s="6"/>
      <c r="U49" s="6"/>
      <c r="V49" s="6"/>
      <c r="W49" s="6"/>
      <c r="X49" s="6"/>
      <c r="Y49" s="9"/>
      <c r="Z49" s="8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9"/>
      <c r="AL49" s="8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7"/>
      <c r="AX49" s="98"/>
      <c r="AY49" s="98"/>
      <c r="AZ49" s="98"/>
      <c r="BA49" s="98"/>
      <c r="BB49" s="98"/>
      <c r="BC49" s="98"/>
      <c r="BD49" s="98"/>
      <c r="BE49" s="98"/>
      <c r="BF49" s="98"/>
      <c r="BG49" s="98"/>
      <c r="BH49" s="98"/>
      <c r="BI49" s="98"/>
      <c r="BJ49" s="8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9"/>
    </row>
    <row r="50" spans="1:73" x14ac:dyDescent="0.3">
      <c r="A50" s="56"/>
      <c r="B50" s="8"/>
      <c r="C50" s="6"/>
      <c r="D50" s="6"/>
      <c r="E50" s="6"/>
      <c r="F50" s="6"/>
      <c r="G50" s="6"/>
      <c r="H50" s="6"/>
      <c r="I50" s="6"/>
      <c r="J50" s="6"/>
      <c r="K50" s="6"/>
      <c r="L50" s="6"/>
      <c r="M50" s="9"/>
      <c r="N50" s="8"/>
      <c r="O50" s="6"/>
      <c r="P50" s="6"/>
      <c r="Q50" s="6"/>
      <c r="R50" s="6"/>
      <c r="S50" s="6"/>
      <c r="T50" s="6"/>
      <c r="U50" s="6"/>
      <c r="V50" s="6"/>
      <c r="W50" s="6"/>
      <c r="X50" s="6"/>
      <c r="Y50" s="9"/>
      <c r="Z50" s="8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9"/>
      <c r="AL50" s="8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7"/>
      <c r="AX50" s="98"/>
      <c r="AY50" s="98"/>
      <c r="AZ50" s="98"/>
      <c r="BA50" s="98"/>
      <c r="BB50" s="98"/>
      <c r="BC50" s="98"/>
      <c r="BD50" s="98"/>
      <c r="BE50" s="98"/>
      <c r="BF50" s="98"/>
      <c r="BG50" s="98"/>
      <c r="BH50" s="98"/>
      <c r="BI50" s="98"/>
      <c r="BJ50" s="8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9"/>
    </row>
    <row r="51" spans="1:73" x14ac:dyDescent="0.3">
      <c r="A51" s="56"/>
      <c r="B51" s="8"/>
      <c r="C51" s="6"/>
      <c r="D51" s="6"/>
      <c r="E51" s="6"/>
      <c r="F51" s="6"/>
      <c r="G51" s="6"/>
      <c r="H51" s="6"/>
      <c r="I51" s="6"/>
      <c r="J51" s="6"/>
      <c r="K51" s="6"/>
      <c r="L51" s="6"/>
      <c r="M51" s="9"/>
      <c r="N51" s="8"/>
      <c r="O51" s="6"/>
      <c r="P51" s="6"/>
      <c r="Q51" s="6"/>
      <c r="R51" s="6"/>
      <c r="S51" s="6"/>
      <c r="T51" s="6"/>
      <c r="U51" s="6"/>
      <c r="V51" s="6"/>
      <c r="W51" s="6"/>
      <c r="X51" s="6"/>
      <c r="Y51" s="9"/>
      <c r="Z51" s="8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9"/>
      <c r="AL51" s="8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7"/>
      <c r="AX51" s="98"/>
      <c r="AY51" s="98"/>
      <c r="AZ51" s="98"/>
      <c r="BA51" s="98"/>
      <c r="BB51" s="98"/>
      <c r="BC51" s="98"/>
      <c r="BD51" s="98"/>
      <c r="BE51" s="98"/>
      <c r="BF51" s="98"/>
      <c r="BG51" s="98"/>
      <c r="BH51" s="98"/>
      <c r="BI51" s="98"/>
      <c r="BJ51" s="8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9"/>
    </row>
    <row r="52" spans="1:73" x14ac:dyDescent="0.3">
      <c r="A52" s="56"/>
      <c r="B52" s="8"/>
      <c r="C52" s="6"/>
      <c r="D52" s="6"/>
      <c r="E52" s="6"/>
      <c r="F52" s="6"/>
      <c r="G52" s="6"/>
      <c r="H52" s="6"/>
      <c r="I52" s="6"/>
      <c r="J52" s="6"/>
      <c r="K52" s="6"/>
      <c r="L52" s="6"/>
      <c r="M52" s="9"/>
      <c r="N52" s="8"/>
      <c r="O52" s="6"/>
      <c r="P52" s="6"/>
      <c r="Q52" s="6"/>
      <c r="R52" s="6"/>
      <c r="S52" s="6"/>
      <c r="T52" s="6"/>
      <c r="U52" s="6"/>
      <c r="V52" s="6"/>
      <c r="W52" s="6"/>
      <c r="X52" s="6"/>
      <c r="Y52" s="9"/>
      <c r="Z52" s="8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9"/>
      <c r="AL52" s="8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7"/>
      <c r="AX52" s="98"/>
      <c r="AY52" s="98"/>
      <c r="AZ52" s="98"/>
      <c r="BA52" s="98"/>
      <c r="BB52" s="98"/>
      <c r="BC52" s="98"/>
      <c r="BD52" s="98"/>
      <c r="BE52" s="98"/>
      <c r="BF52" s="98"/>
      <c r="BG52" s="98"/>
      <c r="BH52" s="98"/>
      <c r="BI52" s="98"/>
      <c r="BJ52" s="8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9"/>
    </row>
    <row r="53" spans="1:73" x14ac:dyDescent="0.3">
      <c r="A53" s="56"/>
      <c r="B53" s="8"/>
      <c r="C53" s="6"/>
      <c r="D53" s="6"/>
      <c r="E53" s="6"/>
      <c r="F53" s="6"/>
      <c r="G53" s="6"/>
      <c r="H53" s="6"/>
      <c r="I53" s="6"/>
      <c r="J53" s="6"/>
      <c r="K53" s="6"/>
      <c r="L53" s="6"/>
      <c r="M53" s="9"/>
      <c r="N53" s="8"/>
      <c r="O53" s="6"/>
      <c r="P53" s="6"/>
      <c r="Q53" s="6"/>
      <c r="R53" s="6"/>
      <c r="S53" s="6"/>
      <c r="T53" s="6"/>
      <c r="U53" s="6"/>
      <c r="V53" s="6"/>
      <c r="W53" s="6"/>
      <c r="X53" s="6"/>
      <c r="Y53" s="9"/>
      <c r="Z53" s="8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9"/>
      <c r="AL53" s="8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7"/>
      <c r="AX53" s="98"/>
      <c r="AY53" s="98"/>
      <c r="AZ53" s="98"/>
      <c r="BA53" s="98"/>
      <c r="BB53" s="98"/>
      <c r="BC53" s="98"/>
      <c r="BD53" s="98"/>
      <c r="BE53" s="98"/>
      <c r="BF53" s="98"/>
      <c r="BG53" s="98"/>
      <c r="BH53" s="98"/>
      <c r="BI53" s="98"/>
      <c r="BJ53" s="8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9"/>
    </row>
    <row r="54" spans="1:73" x14ac:dyDescent="0.3">
      <c r="A54" s="56"/>
      <c r="B54" s="8"/>
      <c r="C54" s="6"/>
      <c r="D54" s="6"/>
      <c r="E54" s="6"/>
      <c r="F54" s="6"/>
      <c r="G54" s="6"/>
      <c r="H54" s="6"/>
      <c r="I54" s="6"/>
      <c r="J54" s="6"/>
      <c r="K54" s="6"/>
      <c r="L54" s="6"/>
      <c r="M54" s="9"/>
      <c r="N54" s="8"/>
      <c r="O54" s="6"/>
      <c r="P54" s="6"/>
      <c r="Q54" s="6"/>
      <c r="R54" s="6"/>
      <c r="S54" s="6"/>
      <c r="T54" s="6"/>
      <c r="U54" s="6"/>
      <c r="V54" s="6"/>
      <c r="W54" s="6"/>
      <c r="X54" s="6"/>
      <c r="Y54" s="9"/>
      <c r="Z54" s="8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9"/>
      <c r="AL54" s="8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7"/>
      <c r="AX54" s="98"/>
      <c r="AY54" s="98"/>
      <c r="AZ54" s="98"/>
      <c r="BA54" s="98"/>
      <c r="BB54" s="98"/>
      <c r="BC54" s="98"/>
      <c r="BD54" s="98"/>
      <c r="BE54" s="98"/>
      <c r="BF54" s="98"/>
      <c r="BG54" s="98"/>
      <c r="BH54" s="98"/>
      <c r="BI54" s="98"/>
      <c r="BJ54" s="8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9"/>
    </row>
    <row r="55" spans="1:73" x14ac:dyDescent="0.3">
      <c r="A55" s="56"/>
      <c r="B55" s="8"/>
      <c r="C55" s="6"/>
      <c r="D55" s="6"/>
      <c r="E55" s="6"/>
      <c r="F55" s="6"/>
      <c r="G55" s="6"/>
      <c r="H55" s="6"/>
      <c r="I55" s="6"/>
      <c r="J55" s="6"/>
      <c r="K55" s="6"/>
      <c r="L55" s="6"/>
      <c r="M55" s="9"/>
      <c r="N55" s="8"/>
      <c r="O55" s="6"/>
      <c r="P55" s="6"/>
      <c r="Q55" s="6"/>
      <c r="R55" s="6"/>
      <c r="S55" s="6"/>
      <c r="T55" s="6"/>
      <c r="U55" s="6"/>
      <c r="V55" s="6"/>
      <c r="W55" s="6"/>
      <c r="X55" s="6"/>
      <c r="Y55" s="9"/>
      <c r="Z55" s="8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9"/>
      <c r="AL55" s="8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7"/>
      <c r="AX55" s="98"/>
      <c r="AY55" s="98"/>
      <c r="AZ55" s="98"/>
      <c r="BA55" s="98"/>
      <c r="BB55" s="98"/>
      <c r="BC55" s="98"/>
      <c r="BD55" s="98"/>
      <c r="BE55" s="98"/>
      <c r="BF55" s="98"/>
      <c r="BG55" s="98"/>
      <c r="BH55" s="98"/>
      <c r="BI55" s="98"/>
      <c r="BJ55" s="8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9"/>
    </row>
    <row r="56" spans="1:73" x14ac:dyDescent="0.3">
      <c r="A56" s="56"/>
      <c r="B56" s="8"/>
      <c r="C56" s="6"/>
      <c r="D56" s="6"/>
      <c r="E56" s="6"/>
      <c r="F56" s="6"/>
      <c r="G56" s="6"/>
      <c r="H56" s="6"/>
      <c r="I56" s="6"/>
      <c r="J56" s="6"/>
      <c r="K56" s="6"/>
      <c r="L56" s="6"/>
      <c r="M56" s="9"/>
      <c r="N56" s="8"/>
      <c r="O56" s="6"/>
      <c r="P56" s="6"/>
      <c r="Q56" s="6"/>
      <c r="R56" s="6"/>
      <c r="S56" s="6"/>
      <c r="T56" s="6"/>
      <c r="U56" s="6"/>
      <c r="V56" s="6"/>
      <c r="W56" s="6"/>
      <c r="X56" s="6"/>
      <c r="Y56" s="9"/>
      <c r="Z56" s="8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9"/>
      <c r="AL56" s="8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7"/>
      <c r="AX56" s="98"/>
      <c r="AY56" s="98"/>
      <c r="AZ56" s="98"/>
      <c r="BA56" s="98"/>
      <c r="BB56" s="98"/>
      <c r="BC56" s="98"/>
      <c r="BD56" s="98"/>
      <c r="BE56" s="98"/>
      <c r="BF56" s="98"/>
      <c r="BG56" s="98"/>
      <c r="BH56" s="98"/>
      <c r="BI56" s="98"/>
      <c r="BJ56" s="8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9"/>
    </row>
    <row r="57" spans="1:73" x14ac:dyDescent="0.3">
      <c r="A57" s="56"/>
      <c r="B57" s="8"/>
      <c r="C57" s="6"/>
      <c r="D57" s="6"/>
      <c r="E57" s="6"/>
      <c r="F57" s="6"/>
      <c r="G57" s="6"/>
      <c r="H57" s="6"/>
      <c r="I57" s="6"/>
      <c r="J57" s="6"/>
      <c r="K57" s="6"/>
      <c r="L57" s="6"/>
      <c r="M57" s="9"/>
      <c r="N57" s="8"/>
      <c r="O57" s="6"/>
      <c r="P57" s="6"/>
      <c r="Q57" s="6"/>
      <c r="R57" s="6"/>
      <c r="S57" s="6"/>
      <c r="T57" s="6"/>
      <c r="U57" s="6"/>
      <c r="V57" s="6"/>
      <c r="W57" s="6"/>
      <c r="X57" s="6"/>
      <c r="Y57" s="9"/>
      <c r="Z57" s="8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9"/>
      <c r="AL57" s="8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7"/>
      <c r="AX57" s="98"/>
      <c r="AY57" s="98"/>
      <c r="AZ57" s="98"/>
      <c r="BA57" s="98"/>
      <c r="BB57" s="98"/>
      <c r="BC57" s="98"/>
      <c r="BD57" s="98"/>
      <c r="BE57" s="98"/>
      <c r="BF57" s="98"/>
      <c r="BG57" s="98"/>
      <c r="BH57" s="98"/>
      <c r="BI57" s="98"/>
      <c r="BJ57" s="8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9"/>
    </row>
    <row r="58" spans="1:73" x14ac:dyDescent="0.3">
      <c r="A58" s="56"/>
      <c r="B58" s="8"/>
      <c r="C58" s="6"/>
      <c r="D58" s="6"/>
      <c r="E58" s="6"/>
      <c r="F58" s="6"/>
      <c r="G58" s="6"/>
      <c r="H58" s="6"/>
      <c r="I58" s="6"/>
      <c r="J58" s="6"/>
      <c r="K58" s="6"/>
      <c r="L58" s="6"/>
      <c r="M58" s="9"/>
      <c r="N58" s="8"/>
      <c r="O58" s="6"/>
      <c r="P58" s="6"/>
      <c r="Q58" s="6"/>
      <c r="R58" s="6"/>
      <c r="S58" s="6"/>
      <c r="T58" s="6"/>
      <c r="U58" s="6"/>
      <c r="V58" s="6"/>
      <c r="W58" s="6"/>
      <c r="X58" s="6"/>
      <c r="Y58" s="9"/>
      <c r="Z58" s="8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9"/>
      <c r="AL58" s="8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7"/>
      <c r="AX58" s="98"/>
      <c r="AY58" s="98"/>
      <c r="AZ58" s="98"/>
      <c r="BA58" s="98"/>
      <c r="BB58" s="98"/>
      <c r="BC58" s="98"/>
      <c r="BD58" s="98"/>
      <c r="BE58" s="98"/>
      <c r="BF58" s="98"/>
      <c r="BG58" s="98"/>
      <c r="BH58" s="98"/>
      <c r="BI58" s="98"/>
      <c r="BJ58" s="8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9"/>
    </row>
  </sheetData>
  <mergeCells count="42">
    <mergeCell ref="N9:Y9"/>
    <mergeCell ref="Z9:AK9"/>
    <mergeCell ref="L10:M10"/>
    <mergeCell ref="B9:M9"/>
    <mergeCell ref="B10:C10"/>
    <mergeCell ref="D10:E10"/>
    <mergeCell ref="F10:G10"/>
    <mergeCell ref="H10:I10"/>
    <mergeCell ref="J10:K10"/>
    <mergeCell ref="AH10:AI10"/>
    <mergeCell ref="AJ10:AK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  <mergeCell ref="AR10:AS10"/>
    <mergeCell ref="AT10:AU10"/>
    <mergeCell ref="AV10:AW10"/>
    <mergeCell ref="BJ9:BU9"/>
    <mergeCell ref="BJ10:BK10"/>
    <mergeCell ref="BL10:BM10"/>
    <mergeCell ref="BN10:BO10"/>
    <mergeCell ref="BP10:BQ10"/>
    <mergeCell ref="BR10:BS10"/>
    <mergeCell ref="BT10:BU10"/>
    <mergeCell ref="AL9:AW9"/>
    <mergeCell ref="AL10:AM10"/>
    <mergeCell ref="AN10:AO10"/>
    <mergeCell ref="AP10:AQ10"/>
    <mergeCell ref="AX9:BI9"/>
    <mergeCell ref="AX10:AY10"/>
    <mergeCell ref="AZ10:BA10"/>
    <mergeCell ref="BB10:BC10"/>
    <mergeCell ref="BD10:BE10"/>
    <mergeCell ref="BF10:BG10"/>
    <mergeCell ref="BH10:BI10"/>
  </mergeCells>
  <phoneticPr fontId="2" type="noConversion"/>
  <pageMargins left="0.25" right="0.25" top="0.75" bottom="0.75" header="0.3" footer="0.3"/>
  <pageSetup paperSize="9" scale="31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I20"/>
  <sheetViews>
    <sheetView zoomScale="104" zoomScaleNormal="100" workbookViewId="0">
      <selection activeCell="D3" sqref="D3"/>
    </sheetView>
  </sheetViews>
  <sheetFormatPr defaultRowHeight="14.4" x14ac:dyDescent="0.3"/>
  <cols>
    <col min="1" max="1" width="21" style="7" bestFit="1" customWidth="1"/>
    <col min="2" max="2" width="12.33203125" style="8" bestFit="1" customWidth="1"/>
    <col min="3" max="5" width="8.88671875" style="6"/>
    <col min="6" max="6" width="8.88671875" style="9"/>
    <col min="7" max="7" width="8.88671875" style="8"/>
    <col min="8" max="10" width="8.88671875" style="6"/>
    <col min="11" max="11" width="8.88671875" style="9"/>
    <col min="12" max="12" width="8.88671875" style="8"/>
    <col min="13" max="15" width="8.88671875" style="6"/>
    <col min="16" max="16" width="8.88671875" style="9"/>
    <col min="17" max="17" width="8.88671875" style="8"/>
    <col min="18" max="20" width="8.88671875" style="6"/>
    <col min="21" max="21" width="8.88671875" style="9"/>
    <col min="22" max="22" width="8.88671875" style="8"/>
    <col min="23" max="25" width="8.88671875" style="6"/>
    <col min="26" max="26" width="8.88671875" style="9"/>
    <col min="27" max="27" width="8.88671875" style="8"/>
    <col min="28" max="30" width="8.88671875" style="6"/>
    <col min="31" max="31" width="8.88671875" style="9"/>
  </cols>
  <sheetData>
    <row r="1" spans="1:35" ht="15" thickBot="1" x14ac:dyDescent="0.35">
      <c r="A1" s="7" t="s">
        <v>11</v>
      </c>
      <c r="B1" s="12" t="s">
        <v>0</v>
      </c>
      <c r="C1" s="12" t="s">
        <v>0</v>
      </c>
      <c r="D1" s="12" t="s">
        <v>0</v>
      </c>
      <c r="E1" s="12" t="s">
        <v>0</v>
      </c>
      <c r="F1" s="12" t="s">
        <v>0</v>
      </c>
      <c r="G1" s="12" t="s">
        <v>1</v>
      </c>
      <c r="H1" s="12" t="s">
        <v>1</v>
      </c>
      <c r="I1" s="12" t="s">
        <v>1</v>
      </c>
      <c r="J1" s="12" t="s">
        <v>1</v>
      </c>
      <c r="K1" s="12" t="s">
        <v>1</v>
      </c>
      <c r="L1" s="12" t="s">
        <v>2</v>
      </c>
      <c r="M1" s="12" t="s">
        <v>2</v>
      </c>
      <c r="N1" s="12" t="s">
        <v>2</v>
      </c>
      <c r="O1" s="12" t="s">
        <v>2</v>
      </c>
      <c r="P1" s="12" t="s">
        <v>2</v>
      </c>
      <c r="Q1" s="12" t="s">
        <v>3</v>
      </c>
      <c r="R1" s="12" t="s">
        <v>3</v>
      </c>
      <c r="S1" s="12" t="s">
        <v>3</v>
      </c>
      <c r="T1" s="12" t="s">
        <v>3</v>
      </c>
      <c r="U1" s="12" t="s">
        <v>3</v>
      </c>
      <c r="V1" s="12" t="s">
        <v>9</v>
      </c>
      <c r="W1" s="12" t="s">
        <v>9</v>
      </c>
      <c r="X1" s="12" t="s">
        <v>9</v>
      </c>
      <c r="Y1" s="12" t="s">
        <v>9</v>
      </c>
      <c r="Z1" s="12" t="s">
        <v>9</v>
      </c>
      <c r="AA1" s="12" t="s">
        <v>10</v>
      </c>
      <c r="AB1" s="12" t="s">
        <v>10</v>
      </c>
      <c r="AC1" s="12" t="s">
        <v>10</v>
      </c>
      <c r="AD1" s="12" t="s">
        <v>10</v>
      </c>
      <c r="AE1" s="12" t="s">
        <v>10</v>
      </c>
    </row>
    <row r="2" spans="1:35" ht="15" thickBot="1" x14ac:dyDescent="0.35">
      <c r="A2" s="12" t="str" cm="1">
        <f t="array" ref="A2:A20">'[1]ST1 Result'!$B$1:INDEX('[1]ST1 Result'!$B:$B,COUNTA('[1]ST1 Result'!$B:$B))</f>
        <v>Admission No. (Roll No.)</v>
      </c>
      <c r="B2" s="4" t="s">
        <v>4</v>
      </c>
      <c r="C2" s="1" t="s">
        <v>5</v>
      </c>
      <c r="D2" s="13" t="s">
        <v>6</v>
      </c>
      <c r="E2" s="1" t="s">
        <v>7</v>
      </c>
      <c r="F2" s="2" t="s">
        <v>8</v>
      </c>
      <c r="G2" s="4" t="s">
        <v>4</v>
      </c>
      <c r="H2" s="1" t="s">
        <v>5</v>
      </c>
      <c r="I2" s="13" t="s">
        <v>6</v>
      </c>
      <c r="J2" s="1" t="s">
        <v>7</v>
      </c>
      <c r="K2" s="2" t="s">
        <v>8</v>
      </c>
      <c r="L2" s="4" t="s">
        <v>4</v>
      </c>
      <c r="M2" s="1" t="s">
        <v>5</v>
      </c>
      <c r="N2" s="13" t="s">
        <v>6</v>
      </c>
      <c r="O2" s="1" t="s">
        <v>7</v>
      </c>
      <c r="P2" s="2" t="s">
        <v>8</v>
      </c>
      <c r="Q2" s="4" t="s">
        <v>4</v>
      </c>
      <c r="R2" s="1" t="s">
        <v>5</v>
      </c>
      <c r="S2" s="13" t="s">
        <v>6</v>
      </c>
      <c r="T2" s="1" t="s">
        <v>7</v>
      </c>
      <c r="U2" s="2" t="s">
        <v>8</v>
      </c>
      <c r="V2" s="4" t="s">
        <v>4</v>
      </c>
      <c r="W2" s="1" t="s">
        <v>5</v>
      </c>
      <c r="X2" s="13" t="s">
        <v>6</v>
      </c>
      <c r="Y2" s="1" t="s">
        <v>7</v>
      </c>
      <c r="Z2" s="2" t="s">
        <v>8</v>
      </c>
      <c r="AA2" s="4" t="s">
        <v>4</v>
      </c>
      <c r="AB2" s="1" t="s">
        <v>5</v>
      </c>
      <c r="AC2" s="13" t="s">
        <v>6</v>
      </c>
      <c r="AD2" s="1" t="s">
        <v>7</v>
      </c>
      <c r="AE2" s="2" t="s">
        <v>8</v>
      </c>
      <c r="AH2" t="s">
        <v>23</v>
      </c>
      <c r="AI2" t="s">
        <v>24</v>
      </c>
    </row>
    <row r="3" spans="1:35" x14ac:dyDescent="0.3">
      <c r="A3" s="10">
        <v>2010990089</v>
      </c>
      <c r="B3" s="11" cm="1">
        <f t="array" ref="B3:B20">'[1]ST1 Student MO CO Score'!$B$2:INDEX('[1]ST1 Student MO CO Score'!$B:$B,COUNTA('[1]ST1 Student MO CO Score'!$B:$B))</f>
        <v>36</v>
      </c>
      <c r="C3" s="5" cm="1">
        <f t="array" ref="C3:C20">'[1]ST1 Student Attained CO Score'!$B$2:INDEX('[1]ST1 Student Attained CO Score'!$B:$B,COUNTA('[1]ST1 Student Attained CO Score'!$B:$B))</f>
        <v>14</v>
      </c>
      <c r="D3" s="5" cm="1">
        <f t="array" ref="D3:D20">IFERROR(ROUND('[1]ST1 Student Attainment percent'!$B$2:INDEX('[1]ST1 Student Attainment percent'!$B:$B,COUNTA('[1]ST1 Student Attainment percent'!$B:$B)),2),"NA")</f>
        <v>38.89</v>
      </c>
      <c r="E3" s="5" cm="1">
        <f t="array" ref="E3:E20">'[1]ST1 CO Attainment Score'!$B$2:INDEX('[1]ST1 CO Attainment Score'!$B:$B,COUNTA('[1]ST1 CO Attainment Score'!$B:$B))</f>
        <v>0</v>
      </c>
      <c r="F3" s="9" t="str" cm="1">
        <f t="array" ref="F3:F20">'[1]ST1 Target Attained'!$B$2:INDEX('[1]ST1 Target Attained'!$B:$B,COUNTA('[1]ST1 Target Attained'!$B:$B))</f>
        <v>N</v>
      </c>
      <c r="G3" s="11" cm="1">
        <f t="array" ref="G3:G20">'[1]ST1 Student MO CO Score'!$C$2:INDEX('[1]ST1 Student MO CO Score'!$C:$C,COUNTA('[1]ST1 Student MO CO Score'!$C:$C))</f>
        <v>22</v>
      </c>
      <c r="H3" s="5" cm="1">
        <f t="array" ref="H3:H20">'[1]ST1 Student Attained CO Score'!$C$2:INDEX('[1]ST1 Student Attained CO Score'!$C:$C,COUNTA('[1]ST1 Student Attained CO Score'!$C:$C))</f>
        <v>8</v>
      </c>
      <c r="I3" s="5" cm="1">
        <f t="array" ref="I3:I20">IFERROR(ROUND('[1]ST1 Student Attainment percent'!$C$2:INDEX('[1]ST1 Student Attainment percent'!$C:$C,COUNTA('[1]ST1 Student Attainment percent'!$C:$C)),2),"NA")</f>
        <v>36.36</v>
      </c>
      <c r="J3" s="5" cm="1">
        <f t="array" ref="J3:J20">'[1]ST1 CO Attainment Score'!$C$2:INDEX('[1]ST1 CO Attainment Score'!$C:$C,COUNTA('[1]ST1 CO Attainment Score'!$C:$C))</f>
        <v>0</v>
      </c>
      <c r="K3" s="9" t="str" cm="1">
        <f t="array" ref="K3:K20">'[1]ST1 Target Attained'!$C$2:INDEX('[1]ST1 Target Attained'!$C:$C,COUNTA('[1]ST1 Target Attained'!$C:$C))</f>
        <v>N</v>
      </c>
      <c r="L3" s="11" cm="1">
        <f t="array" ref="L3:L20">'[1]ST1 Student MO CO Score'!$D$2:INDEX('[1]ST1 Student MO CO Score'!$D:$D,COUNTA('[1]ST1 Student MO CO Score'!$D:$D))</f>
        <v>17</v>
      </c>
      <c r="M3" s="5" cm="1">
        <f t="array" ref="M3:M20">'[1]ST1 Student Attained CO Score'!$D$2:INDEX('[1]ST1 Student Attained CO Score'!$D:$D,COUNTA('[1]ST1 Student Attained CO Score'!$D:$D))</f>
        <v>6</v>
      </c>
      <c r="N3" s="5" cm="1">
        <f t="array" ref="N3:N20">IFERROR(ROUND('[1]ST1 Student Attainment percent'!$D$2:INDEX('[1]ST1 Student Attainment percent'!$D:$D,COUNTA('[1]ST1 Student Attainment percent'!$D:$D)),2),"NA")</f>
        <v>35.29</v>
      </c>
      <c r="O3" s="5" cm="1">
        <f t="array" ref="O3:O20">'[1]ST1 CO Attainment Score'!$D$2:INDEX('[1]ST1 CO Attainment Score'!$D:$D,COUNTA('[1]ST1 CO Attainment Score'!$D:$D))</f>
        <v>0</v>
      </c>
      <c r="P3" s="9" t="str" cm="1">
        <f t="array" ref="P3:P20">'[1]ST1 Target Attained'!$D$2:INDEX('[1]ST1 Target Attained'!$D:$D,COUNTA('[1]ST1 Target Attained'!$D:$D))</f>
        <v>N</v>
      </c>
      <c r="Q3" s="11" cm="1">
        <f t="array" ref="Q3:Q20">'[1]ST1 Student MO CO Score'!$E$2:INDEX('[1]ST1 Student MO CO Score'!$E:$E,COUNTA('[1]ST1 Student MO CO Score'!$E:$E))</f>
        <v>22</v>
      </c>
      <c r="R3" s="5" cm="1">
        <f t="array" ref="R3:R20">'[1]ST1 Student Attained CO Score'!$E$2:INDEX('[1]ST1 Student Attained CO Score'!$E:$E,COUNTA('[1]ST1 Student Attained CO Score'!$E:$E))</f>
        <v>10</v>
      </c>
      <c r="S3" s="5" cm="1">
        <f t="array" ref="S3:S20">IFERROR(ROUND('[1]ST1 Student Attainment percent'!$E$2:INDEX('[1]ST1 Student Attainment percent'!$E:$E,COUNTA('[1]ST1 Student Attainment percent'!$E:$E)),2),"NA")</f>
        <v>45.45</v>
      </c>
      <c r="T3" s="5" cm="1">
        <f t="array" ref="T3:T20">'[1]ST1 CO Attainment Score'!$E$2:INDEX('[1]ST1 CO Attainment Score'!$E:$E,COUNTA('[1]ST1 CO Attainment Score'!$E:$E))</f>
        <v>0</v>
      </c>
      <c r="U3" s="9" t="str" cm="1">
        <f t="array" ref="U3:U20">'[1]ST1 Target Attained'!$E$2:INDEX('[1]ST1 Target Attained'!$E:$E,COUNTA('[1]ST1 Target Attained'!$E:$E))</f>
        <v>N</v>
      </c>
      <c r="V3" s="11" cm="1">
        <f t="array" ref="V3:V20">'[1]ST1 Student MO CO Score'!$F$2:INDEX('[1]ST1 Student MO CO Score'!$F:$F,COUNTA('[1]ST1 Student MO CO Score'!$F:$F))</f>
        <v>0</v>
      </c>
      <c r="W3" s="5" cm="1">
        <f t="array" ref="W3:W20">'[1]ST1 Student Attained CO Score'!$F$2:INDEX('[1]ST1 Student Attained CO Score'!$F:$F,COUNTA('[1]ST1 Student Attained CO Score'!$F:$F))</f>
        <v>0</v>
      </c>
      <c r="X3" s="5" t="str" cm="1">
        <f t="array" ref="X3:X20">IFERROR(ROUND('[1]ST1 Student Attainment percent'!$F$2:INDEX('[1]ST1 Student Attainment percent'!$F:$F,COUNTA('[1]ST1 Student Attainment percent'!$F:$F)),2),"NA")</f>
        <v>NA</v>
      </c>
      <c r="Y3" s="5" t="str" cm="1">
        <f t="array" ref="Y3:Y20">'[1]ST1 CO Attainment Score'!$F$2:INDEX('[1]ST1 CO Attainment Score'!$F:$F,COUNTA('[1]ST1 CO Attainment Score'!$F:$F))</f>
        <v>NA</v>
      </c>
      <c r="Z3" s="9" t="str" cm="1">
        <f t="array" ref="Z3:Z20">'[1]ST1 Target Attained'!$F$2:INDEX('[1]ST1 Target Attained'!$F:$F,COUNTA('[1]ST1 Target Attained'!$F:$F))</f>
        <v>NA</v>
      </c>
      <c r="AA3" s="11" cm="1">
        <f t="array" ref="AA3:AA20">'[1]ST1 Student MO CO Score'!$G$2:INDEX('[1]ST1 Student MO CO Score'!$G:$G,COUNTA('[1]ST1 Student MO CO Score'!$G:$G))</f>
        <v>15</v>
      </c>
      <c r="AB3" s="5" cm="1">
        <f t="array" ref="AB3:AB20">'[1]ST1 Student Attained CO Score'!$G$2:INDEX('[1]ST1 Student Attained CO Score'!$G:$G,COUNTA('[1]ST1 Student Attained CO Score'!$G:$G))</f>
        <v>8</v>
      </c>
      <c r="AC3" s="5" cm="1">
        <f t="array" ref="AC3:AC20">IFERROR(ROUND('[1]ST1 Student Attainment percent'!$G$2:INDEX('[1]ST1 Student Attainment percent'!$G:$G,COUNTA('[1]ST1 Student Attainment percent'!$G:$G)),2),"NA")</f>
        <v>53.33</v>
      </c>
      <c r="AD3" s="5" cm="1">
        <f t="array" ref="AD3:AD20">'[1]ST1 CO Attainment Score'!$G$2:INDEX('[1]ST1 CO Attainment Score'!$G:$G,COUNTA('[1]ST1 CO Attainment Score'!$G:$G))</f>
        <v>0</v>
      </c>
      <c r="AE3" s="9" t="str" cm="1">
        <f t="array" ref="AE3:AE20">'[1]ST1 Target Attained'!$G$2:INDEX('[1]ST1 Target Attained'!$G:$G,COUNTA('[1]ST1 Target Attained'!$G:$G))</f>
        <v>N</v>
      </c>
      <c r="AH3" t="s">
        <v>0</v>
      </c>
      <c r="AI3">
        <f>Averages!E3</f>
        <v>3</v>
      </c>
    </row>
    <row r="4" spans="1:35" x14ac:dyDescent="0.3">
      <c r="A4" s="7">
        <v>2010992002</v>
      </c>
      <c r="B4" s="8">
        <v>36</v>
      </c>
      <c r="C4" s="6">
        <v>34</v>
      </c>
      <c r="D4" s="6">
        <v>94.44</v>
      </c>
      <c r="E4" s="6">
        <v>3</v>
      </c>
      <c r="F4" s="9" t="str">
        <v>Y</v>
      </c>
      <c r="G4" s="8">
        <v>22</v>
      </c>
      <c r="H4" s="6">
        <v>21</v>
      </c>
      <c r="I4" s="6">
        <v>95.45</v>
      </c>
      <c r="J4" s="6">
        <v>3</v>
      </c>
      <c r="K4" s="9" t="str">
        <v>Y</v>
      </c>
      <c r="L4" s="8">
        <v>17</v>
      </c>
      <c r="M4" s="6">
        <v>17</v>
      </c>
      <c r="N4" s="6">
        <v>100</v>
      </c>
      <c r="O4" s="6">
        <v>3</v>
      </c>
      <c r="P4" s="9" t="str">
        <v>Y</v>
      </c>
      <c r="Q4" s="8">
        <v>22</v>
      </c>
      <c r="R4" s="6">
        <v>20</v>
      </c>
      <c r="S4" s="6">
        <v>90.91</v>
      </c>
      <c r="T4" s="6">
        <v>3</v>
      </c>
      <c r="U4" s="9" t="str">
        <v>Y</v>
      </c>
      <c r="V4" s="8">
        <v>0</v>
      </c>
      <c r="W4" s="6">
        <v>0</v>
      </c>
      <c r="X4" s="6" t="str">
        <v>NA</v>
      </c>
      <c r="Y4" s="6" t="str">
        <v>NA</v>
      </c>
      <c r="Z4" s="9" t="str">
        <v>NA</v>
      </c>
      <c r="AA4" s="8">
        <v>15</v>
      </c>
      <c r="AB4" s="6">
        <v>14</v>
      </c>
      <c r="AC4" s="6">
        <v>93.33</v>
      </c>
      <c r="AD4" s="6">
        <v>3</v>
      </c>
      <c r="AE4" s="9" t="str">
        <v>Y</v>
      </c>
      <c r="AH4" t="s">
        <v>1</v>
      </c>
      <c r="AI4">
        <f>Averages!I3</f>
        <v>3</v>
      </c>
    </row>
    <row r="5" spans="1:35" x14ac:dyDescent="0.3">
      <c r="A5" s="7">
        <v>2010992004</v>
      </c>
      <c r="B5" s="8">
        <v>40</v>
      </c>
      <c r="C5" s="6">
        <v>28</v>
      </c>
      <c r="D5" s="6">
        <v>70</v>
      </c>
      <c r="E5" s="6">
        <v>3</v>
      </c>
      <c r="F5" s="9" t="str">
        <v>Y</v>
      </c>
      <c r="G5" s="8">
        <v>26</v>
      </c>
      <c r="H5" s="6">
        <v>18</v>
      </c>
      <c r="I5" s="6">
        <v>69.23</v>
      </c>
      <c r="J5" s="6">
        <v>3</v>
      </c>
      <c r="K5" s="9" t="str">
        <v>Y</v>
      </c>
      <c r="L5" s="8">
        <v>17</v>
      </c>
      <c r="M5" s="6">
        <v>12</v>
      </c>
      <c r="N5" s="6">
        <v>70.59</v>
      </c>
      <c r="O5" s="6">
        <v>3</v>
      </c>
      <c r="P5" s="9" t="str">
        <v>Y</v>
      </c>
      <c r="Q5" s="8">
        <v>22</v>
      </c>
      <c r="R5" s="6">
        <v>15</v>
      </c>
      <c r="S5" s="6">
        <v>68.180000000000007</v>
      </c>
      <c r="T5" s="6">
        <v>3</v>
      </c>
      <c r="U5" s="9" t="str">
        <v>Y</v>
      </c>
      <c r="V5" s="8">
        <v>2</v>
      </c>
      <c r="W5" s="6">
        <v>2</v>
      </c>
      <c r="X5" s="6">
        <v>100</v>
      </c>
      <c r="Y5" s="6">
        <v>3</v>
      </c>
      <c r="Z5" s="9" t="str">
        <v>Y</v>
      </c>
      <c r="AA5" s="8">
        <v>15</v>
      </c>
      <c r="AB5" s="6">
        <v>10</v>
      </c>
      <c r="AC5" s="6">
        <v>66.67</v>
      </c>
      <c r="AD5" s="6">
        <v>3</v>
      </c>
      <c r="AE5" s="9" t="str">
        <v>Y</v>
      </c>
      <c r="AH5" t="s">
        <v>2</v>
      </c>
      <c r="AI5">
        <f>Averages!M3</f>
        <v>2</v>
      </c>
    </row>
    <row r="6" spans="1:35" x14ac:dyDescent="0.3">
      <c r="A6" s="7">
        <v>2010992005</v>
      </c>
      <c r="B6" s="8">
        <v>36</v>
      </c>
      <c r="C6" s="6">
        <v>25</v>
      </c>
      <c r="D6" s="6">
        <v>69.44</v>
      </c>
      <c r="E6" s="6">
        <v>3</v>
      </c>
      <c r="F6" s="9" t="str">
        <v>Y</v>
      </c>
      <c r="G6" s="8">
        <v>22</v>
      </c>
      <c r="H6" s="6">
        <v>16</v>
      </c>
      <c r="I6" s="6">
        <v>72.73</v>
      </c>
      <c r="J6" s="6">
        <v>3</v>
      </c>
      <c r="K6" s="9" t="str">
        <v>Y</v>
      </c>
      <c r="L6" s="8">
        <v>17</v>
      </c>
      <c r="M6" s="6">
        <v>13</v>
      </c>
      <c r="N6" s="6">
        <v>76.47</v>
      </c>
      <c r="O6" s="6">
        <v>3</v>
      </c>
      <c r="P6" s="9" t="str">
        <v>Y</v>
      </c>
      <c r="Q6" s="8">
        <v>22</v>
      </c>
      <c r="R6" s="6">
        <v>16</v>
      </c>
      <c r="S6" s="6">
        <v>72.73</v>
      </c>
      <c r="T6" s="6">
        <v>3</v>
      </c>
      <c r="U6" s="9" t="str">
        <v>Y</v>
      </c>
      <c r="V6" s="8">
        <v>0</v>
      </c>
      <c r="W6" s="6">
        <v>0</v>
      </c>
      <c r="X6" s="6" t="str">
        <v>NA</v>
      </c>
      <c r="Y6" s="6" t="str">
        <v>NA</v>
      </c>
      <c r="Z6" s="9" t="str">
        <v>NA</v>
      </c>
      <c r="AA6" s="8">
        <v>15</v>
      </c>
      <c r="AB6" s="6">
        <v>11</v>
      </c>
      <c r="AC6" s="6">
        <v>73.33</v>
      </c>
      <c r="AD6" s="6">
        <v>3</v>
      </c>
      <c r="AE6" s="9" t="str">
        <v>Y</v>
      </c>
      <c r="AH6" t="s">
        <v>3</v>
      </c>
      <c r="AI6">
        <f>Averages!Q3</f>
        <v>3</v>
      </c>
    </row>
    <row r="7" spans="1:35" x14ac:dyDescent="0.3">
      <c r="A7" s="7">
        <v>2010992006</v>
      </c>
      <c r="B7" s="8">
        <v>40</v>
      </c>
      <c r="C7" s="6">
        <v>28</v>
      </c>
      <c r="D7" s="6">
        <v>70</v>
      </c>
      <c r="E7" s="6">
        <v>3</v>
      </c>
      <c r="F7" s="9" t="str">
        <v>Y</v>
      </c>
      <c r="G7" s="8">
        <v>26</v>
      </c>
      <c r="H7" s="6">
        <v>18</v>
      </c>
      <c r="I7" s="6">
        <v>69.23</v>
      </c>
      <c r="J7" s="6">
        <v>3</v>
      </c>
      <c r="K7" s="9" t="str">
        <v>Y</v>
      </c>
      <c r="L7" s="8">
        <v>17</v>
      </c>
      <c r="M7" s="6">
        <v>12</v>
      </c>
      <c r="N7" s="6">
        <v>70.59</v>
      </c>
      <c r="O7" s="6">
        <v>3</v>
      </c>
      <c r="P7" s="9" t="str">
        <v>Y</v>
      </c>
      <c r="Q7" s="8">
        <v>22</v>
      </c>
      <c r="R7" s="6">
        <v>15</v>
      </c>
      <c r="S7" s="6">
        <v>68.180000000000007</v>
      </c>
      <c r="T7" s="6">
        <v>3</v>
      </c>
      <c r="U7" s="9" t="str">
        <v>Y</v>
      </c>
      <c r="V7" s="8">
        <v>2</v>
      </c>
      <c r="W7" s="6">
        <v>2</v>
      </c>
      <c r="X7" s="6">
        <v>100</v>
      </c>
      <c r="Y7" s="6">
        <v>3</v>
      </c>
      <c r="Z7" s="9" t="str">
        <v>Y</v>
      </c>
      <c r="AA7" s="8">
        <v>15</v>
      </c>
      <c r="AB7" s="6">
        <v>10</v>
      </c>
      <c r="AC7" s="6">
        <v>66.67</v>
      </c>
      <c r="AD7" s="6">
        <v>3</v>
      </c>
      <c r="AE7" s="9" t="str">
        <v>Y</v>
      </c>
      <c r="AH7" t="s">
        <v>9</v>
      </c>
      <c r="AI7">
        <f>Averages!U3</f>
        <v>0</v>
      </c>
    </row>
    <row r="8" spans="1:35" x14ac:dyDescent="0.3">
      <c r="A8" s="7">
        <v>2010992008</v>
      </c>
      <c r="B8" s="8">
        <v>40</v>
      </c>
      <c r="C8" s="6">
        <v>29</v>
      </c>
      <c r="D8" s="6">
        <v>72.5</v>
      </c>
      <c r="E8" s="6">
        <v>3</v>
      </c>
      <c r="F8" s="9" t="str">
        <v>Y</v>
      </c>
      <c r="G8" s="8">
        <v>26</v>
      </c>
      <c r="H8" s="6">
        <v>19</v>
      </c>
      <c r="I8" s="6">
        <v>73.08</v>
      </c>
      <c r="J8" s="6">
        <v>3</v>
      </c>
      <c r="K8" s="9" t="str">
        <v>Y</v>
      </c>
      <c r="L8" s="8">
        <v>17</v>
      </c>
      <c r="M8" s="6">
        <v>12</v>
      </c>
      <c r="N8" s="6">
        <v>70.59</v>
      </c>
      <c r="O8" s="6">
        <v>3</v>
      </c>
      <c r="P8" s="9" t="str">
        <v>Y</v>
      </c>
      <c r="Q8" s="8">
        <v>22</v>
      </c>
      <c r="R8" s="6">
        <v>16</v>
      </c>
      <c r="S8" s="6">
        <v>72.73</v>
      </c>
      <c r="T8" s="6">
        <v>3</v>
      </c>
      <c r="U8" s="9" t="str">
        <v>Y</v>
      </c>
      <c r="V8" s="8">
        <v>2</v>
      </c>
      <c r="W8" s="6">
        <v>2</v>
      </c>
      <c r="X8" s="6">
        <v>100</v>
      </c>
      <c r="Y8" s="6">
        <v>3</v>
      </c>
      <c r="Z8" s="9" t="str">
        <v>Y</v>
      </c>
      <c r="AA8" s="8">
        <v>15</v>
      </c>
      <c r="AB8" s="6">
        <v>11</v>
      </c>
      <c r="AC8" s="6">
        <v>73.33</v>
      </c>
      <c r="AD8" s="6">
        <v>3</v>
      </c>
      <c r="AE8" s="9" t="str">
        <v>Y</v>
      </c>
      <c r="AH8" t="s">
        <v>10</v>
      </c>
      <c r="AI8">
        <f>Averages!Y3</f>
        <v>3</v>
      </c>
    </row>
    <row r="9" spans="1:35" x14ac:dyDescent="0.3">
      <c r="A9" s="7">
        <v>2010992009</v>
      </c>
      <c r="B9" s="8">
        <v>40</v>
      </c>
      <c r="C9" s="6">
        <v>28</v>
      </c>
      <c r="D9" s="6">
        <v>70</v>
      </c>
      <c r="E9" s="6">
        <v>3</v>
      </c>
      <c r="F9" s="9" t="str">
        <v>Y</v>
      </c>
      <c r="G9" s="8">
        <v>26</v>
      </c>
      <c r="H9" s="6">
        <v>18</v>
      </c>
      <c r="I9" s="6">
        <v>69.23</v>
      </c>
      <c r="J9" s="6">
        <v>3</v>
      </c>
      <c r="K9" s="9" t="str">
        <v>Y</v>
      </c>
      <c r="L9" s="8">
        <v>17</v>
      </c>
      <c r="M9" s="6">
        <v>14</v>
      </c>
      <c r="N9" s="6">
        <v>82.35</v>
      </c>
      <c r="O9" s="6">
        <v>3</v>
      </c>
      <c r="P9" s="9" t="str">
        <v>Y</v>
      </c>
      <c r="Q9" s="8">
        <v>22</v>
      </c>
      <c r="R9" s="6">
        <v>16</v>
      </c>
      <c r="S9" s="6">
        <v>72.73</v>
      </c>
      <c r="T9" s="6">
        <v>3</v>
      </c>
      <c r="U9" s="9" t="str">
        <v>Y</v>
      </c>
      <c r="V9" s="8">
        <v>2</v>
      </c>
      <c r="W9" s="6">
        <v>1</v>
      </c>
      <c r="X9" s="6">
        <v>50</v>
      </c>
      <c r="Y9" s="6">
        <v>0</v>
      </c>
      <c r="Z9" s="9" t="str">
        <v>N</v>
      </c>
      <c r="AA9" s="8">
        <v>15</v>
      </c>
      <c r="AB9" s="6">
        <v>11</v>
      </c>
      <c r="AC9" s="6">
        <v>73.33</v>
      </c>
      <c r="AD9" s="6">
        <v>3</v>
      </c>
      <c r="AE9" s="9" t="str">
        <v>Y</v>
      </c>
      <c r="AH9" t="s">
        <v>25</v>
      </c>
    </row>
    <row r="10" spans="1:35" x14ac:dyDescent="0.3">
      <c r="A10" s="7">
        <v>2010992010</v>
      </c>
      <c r="B10" s="8">
        <v>40</v>
      </c>
      <c r="C10" s="6">
        <v>29</v>
      </c>
      <c r="D10" s="6">
        <v>72.5</v>
      </c>
      <c r="E10" s="6">
        <v>3</v>
      </c>
      <c r="F10" s="9" t="str">
        <v>Y</v>
      </c>
      <c r="G10" s="8">
        <v>26</v>
      </c>
      <c r="H10" s="6">
        <v>19</v>
      </c>
      <c r="I10" s="6">
        <v>73.08</v>
      </c>
      <c r="J10" s="6">
        <v>3</v>
      </c>
      <c r="K10" s="9" t="str">
        <v>Y</v>
      </c>
      <c r="L10" s="8">
        <v>17</v>
      </c>
      <c r="M10" s="6">
        <v>13</v>
      </c>
      <c r="N10" s="6">
        <v>76.47</v>
      </c>
      <c r="O10" s="6">
        <v>3</v>
      </c>
      <c r="P10" s="9" t="str">
        <v>Y</v>
      </c>
      <c r="Q10" s="8">
        <v>22</v>
      </c>
      <c r="R10" s="6">
        <v>17</v>
      </c>
      <c r="S10" s="6">
        <v>77.27</v>
      </c>
      <c r="T10" s="6">
        <v>3</v>
      </c>
      <c r="U10" s="9" t="str">
        <v>Y</v>
      </c>
      <c r="V10" s="8">
        <v>2</v>
      </c>
      <c r="W10" s="6">
        <v>1</v>
      </c>
      <c r="X10" s="6">
        <v>50</v>
      </c>
      <c r="Y10" s="6">
        <v>0</v>
      </c>
      <c r="Z10" s="9" t="str">
        <v>N</v>
      </c>
      <c r="AA10" s="8">
        <v>15</v>
      </c>
      <c r="AB10" s="6">
        <v>12</v>
      </c>
      <c r="AC10" s="6">
        <v>80</v>
      </c>
      <c r="AD10" s="6">
        <v>3</v>
      </c>
      <c r="AE10" s="9" t="str">
        <v>Y</v>
      </c>
    </row>
    <row r="11" spans="1:35" x14ac:dyDescent="0.3">
      <c r="A11" s="7">
        <v>2010992011</v>
      </c>
      <c r="B11" s="8">
        <v>40</v>
      </c>
      <c r="C11" s="6">
        <v>28</v>
      </c>
      <c r="D11" s="6">
        <v>70</v>
      </c>
      <c r="E11" s="6">
        <v>3</v>
      </c>
      <c r="F11" s="9" t="str">
        <v>Y</v>
      </c>
      <c r="G11" s="8">
        <v>26</v>
      </c>
      <c r="H11" s="6">
        <v>19</v>
      </c>
      <c r="I11" s="6">
        <v>73.08</v>
      </c>
      <c r="J11" s="6">
        <v>3</v>
      </c>
      <c r="K11" s="9" t="str">
        <v>Y</v>
      </c>
      <c r="L11" s="8">
        <v>17</v>
      </c>
      <c r="M11" s="6">
        <v>12</v>
      </c>
      <c r="N11" s="6">
        <v>70.59</v>
      </c>
      <c r="O11" s="6">
        <v>3</v>
      </c>
      <c r="P11" s="9" t="str">
        <v>Y</v>
      </c>
      <c r="Q11" s="8">
        <v>22</v>
      </c>
      <c r="R11" s="6">
        <v>17</v>
      </c>
      <c r="S11" s="6">
        <v>77.27</v>
      </c>
      <c r="T11" s="6">
        <v>3</v>
      </c>
      <c r="U11" s="9" t="str">
        <v>Y</v>
      </c>
      <c r="V11" s="8">
        <v>2</v>
      </c>
      <c r="W11" s="6">
        <v>1</v>
      </c>
      <c r="X11" s="6">
        <v>50</v>
      </c>
      <c r="Y11" s="6">
        <v>0</v>
      </c>
      <c r="Z11" s="9" t="str">
        <v>N</v>
      </c>
      <c r="AA11" s="8">
        <v>15</v>
      </c>
      <c r="AB11" s="6">
        <v>12</v>
      </c>
      <c r="AC11" s="6">
        <v>80</v>
      </c>
      <c r="AD11" s="6">
        <v>3</v>
      </c>
      <c r="AE11" s="9" t="str">
        <v>Y</v>
      </c>
    </row>
    <row r="12" spans="1:35" x14ac:dyDescent="0.3">
      <c r="A12" s="7">
        <v>2010992012</v>
      </c>
      <c r="B12" s="8">
        <v>40</v>
      </c>
      <c r="C12" s="6">
        <v>26</v>
      </c>
      <c r="D12" s="6">
        <v>65</v>
      </c>
      <c r="E12" s="6">
        <v>3</v>
      </c>
      <c r="F12" s="9" t="str">
        <v>Y</v>
      </c>
      <c r="G12" s="8">
        <v>26</v>
      </c>
      <c r="H12" s="6">
        <v>17</v>
      </c>
      <c r="I12" s="6">
        <v>65.38</v>
      </c>
      <c r="J12" s="6">
        <v>3</v>
      </c>
      <c r="K12" s="9" t="str">
        <v>Y</v>
      </c>
      <c r="L12" s="8">
        <v>17</v>
      </c>
      <c r="M12" s="6">
        <v>10</v>
      </c>
      <c r="N12" s="6">
        <v>58.82</v>
      </c>
      <c r="O12" s="6">
        <v>0</v>
      </c>
      <c r="P12" s="9" t="str">
        <v>N</v>
      </c>
      <c r="Q12" s="8">
        <v>22</v>
      </c>
      <c r="R12" s="6">
        <v>15</v>
      </c>
      <c r="S12" s="6">
        <v>68.180000000000007</v>
      </c>
      <c r="T12" s="6">
        <v>3</v>
      </c>
      <c r="U12" s="9" t="str">
        <v>Y</v>
      </c>
      <c r="V12" s="8">
        <v>2</v>
      </c>
      <c r="W12" s="6">
        <v>1</v>
      </c>
      <c r="X12" s="6">
        <v>50</v>
      </c>
      <c r="Y12" s="6">
        <v>0</v>
      </c>
      <c r="Z12" s="9" t="str">
        <v>N</v>
      </c>
      <c r="AA12" s="8">
        <v>15</v>
      </c>
      <c r="AB12" s="6">
        <v>10</v>
      </c>
      <c r="AC12" s="6">
        <v>66.67</v>
      </c>
      <c r="AD12" s="6">
        <v>3</v>
      </c>
      <c r="AE12" s="9" t="str">
        <v>Y</v>
      </c>
    </row>
    <row r="13" spans="1:35" x14ac:dyDescent="0.3">
      <c r="A13" s="7">
        <v>2010992014</v>
      </c>
      <c r="B13" s="8">
        <v>40</v>
      </c>
      <c r="C13" s="6">
        <v>29</v>
      </c>
      <c r="D13" s="6">
        <v>72.5</v>
      </c>
      <c r="E13" s="6">
        <v>3</v>
      </c>
      <c r="F13" s="9" t="str">
        <v>Y</v>
      </c>
      <c r="G13" s="8">
        <v>26</v>
      </c>
      <c r="H13" s="6">
        <v>19</v>
      </c>
      <c r="I13" s="6">
        <v>73.08</v>
      </c>
      <c r="J13" s="6">
        <v>3</v>
      </c>
      <c r="K13" s="9" t="str">
        <v>Y</v>
      </c>
      <c r="L13" s="8">
        <v>17</v>
      </c>
      <c r="M13" s="6">
        <v>13</v>
      </c>
      <c r="N13" s="6">
        <v>76.47</v>
      </c>
      <c r="O13" s="6">
        <v>3</v>
      </c>
      <c r="P13" s="9" t="str">
        <v>Y</v>
      </c>
      <c r="Q13" s="8">
        <v>22</v>
      </c>
      <c r="R13" s="6">
        <v>17</v>
      </c>
      <c r="S13" s="6">
        <v>77.27</v>
      </c>
      <c r="T13" s="6">
        <v>3</v>
      </c>
      <c r="U13" s="9" t="str">
        <v>Y</v>
      </c>
      <c r="V13" s="8">
        <v>2</v>
      </c>
      <c r="W13" s="6">
        <v>1</v>
      </c>
      <c r="X13" s="6">
        <v>50</v>
      </c>
      <c r="Y13" s="6">
        <v>0</v>
      </c>
      <c r="Z13" s="9" t="str">
        <v>N</v>
      </c>
      <c r="AA13" s="8">
        <v>15</v>
      </c>
      <c r="AB13" s="6">
        <v>12</v>
      </c>
      <c r="AC13" s="6">
        <v>80</v>
      </c>
      <c r="AD13" s="6">
        <v>3</v>
      </c>
      <c r="AE13" s="9" t="str">
        <v>Y</v>
      </c>
    </row>
    <row r="14" spans="1:35" x14ac:dyDescent="0.3">
      <c r="A14" s="7">
        <v>2010992015</v>
      </c>
      <c r="B14" s="8">
        <v>35</v>
      </c>
      <c r="C14" s="6">
        <v>23</v>
      </c>
      <c r="D14" s="6">
        <v>65.709999999999994</v>
      </c>
      <c r="E14" s="6">
        <v>3</v>
      </c>
      <c r="F14" s="9" t="str">
        <v>Y</v>
      </c>
      <c r="G14" s="8">
        <v>21</v>
      </c>
      <c r="H14" s="6">
        <v>14</v>
      </c>
      <c r="I14" s="6">
        <v>66.67</v>
      </c>
      <c r="J14" s="6">
        <v>3</v>
      </c>
      <c r="K14" s="9" t="str">
        <v>Y</v>
      </c>
      <c r="L14" s="8">
        <v>17</v>
      </c>
      <c r="M14" s="6">
        <v>12</v>
      </c>
      <c r="N14" s="6">
        <v>70.59</v>
      </c>
      <c r="O14" s="6">
        <v>3</v>
      </c>
      <c r="P14" s="9" t="str">
        <v>Y</v>
      </c>
      <c r="Q14" s="8">
        <v>22</v>
      </c>
      <c r="R14" s="6">
        <v>15</v>
      </c>
      <c r="S14" s="6">
        <v>68.180000000000007</v>
      </c>
      <c r="T14" s="6">
        <v>3</v>
      </c>
      <c r="U14" s="9" t="str">
        <v>Y</v>
      </c>
      <c r="V14" s="8">
        <v>2</v>
      </c>
      <c r="W14" s="6">
        <v>1</v>
      </c>
      <c r="X14" s="6">
        <v>50</v>
      </c>
      <c r="Y14" s="6">
        <v>0</v>
      </c>
      <c r="Z14" s="9" t="str">
        <v>N</v>
      </c>
      <c r="AA14" s="8">
        <v>15</v>
      </c>
      <c r="AB14" s="6">
        <v>10</v>
      </c>
      <c r="AC14" s="6">
        <v>66.67</v>
      </c>
      <c r="AD14" s="6">
        <v>3</v>
      </c>
      <c r="AE14" s="9" t="str">
        <v>Y</v>
      </c>
    </row>
    <row r="15" spans="1:35" x14ac:dyDescent="0.3">
      <c r="A15" s="7">
        <v>2010992016</v>
      </c>
      <c r="B15" s="8">
        <v>40</v>
      </c>
      <c r="C15" s="6">
        <v>21</v>
      </c>
      <c r="D15" s="6">
        <v>52.5</v>
      </c>
      <c r="E15" s="6">
        <v>0</v>
      </c>
      <c r="F15" s="9" t="str">
        <v>N</v>
      </c>
      <c r="G15" s="8">
        <v>26</v>
      </c>
      <c r="H15" s="6">
        <v>15</v>
      </c>
      <c r="I15" s="6">
        <v>57.69</v>
      </c>
      <c r="J15" s="6">
        <v>0</v>
      </c>
      <c r="K15" s="9" t="str">
        <v>N</v>
      </c>
      <c r="L15" s="8">
        <v>17</v>
      </c>
      <c r="M15" s="6">
        <v>8</v>
      </c>
      <c r="N15" s="6">
        <v>47.06</v>
      </c>
      <c r="O15" s="6">
        <v>0</v>
      </c>
      <c r="P15" s="9" t="str">
        <v>N</v>
      </c>
      <c r="Q15" s="8">
        <v>22</v>
      </c>
      <c r="R15" s="6">
        <v>11</v>
      </c>
      <c r="S15" s="6">
        <v>50</v>
      </c>
      <c r="T15" s="6">
        <v>0</v>
      </c>
      <c r="U15" s="9" t="str">
        <v>N</v>
      </c>
      <c r="V15" s="8">
        <v>2</v>
      </c>
      <c r="W15" s="6">
        <v>1</v>
      </c>
      <c r="X15" s="6">
        <v>50</v>
      </c>
      <c r="Y15" s="6">
        <v>0</v>
      </c>
      <c r="Z15" s="9" t="str">
        <v>N</v>
      </c>
      <c r="AA15" s="8">
        <v>15</v>
      </c>
      <c r="AB15" s="6">
        <v>7</v>
      </c>
      <c r="AC15" s="6">
        <v>46.67</v>
      </c>
      <c r="AD15" s="6">
        <v>0</v>
      </c>
      <c r="AE15" s="9" t="str">
        <v>N</v>
      </c>
    </row>
    <row r="16" spans="1:35" x14ac:dyDescent="0.3">
      <c r="A16" s="7">
        <v>2010992017</v>
      </c>
      <c r="B16" s="8">
        <v>40</v>
      </c>
      <c r="C16" s="6">
        <v>31</v>
      </c>
      <c r="D16" s="6">
        <v>77.5</v>
      </c>
      <c r="E16" s="6">
        <v>3</v>
      </c>
      <c r="F16" s="9" t="str">
        <v>Y</v>
      </c>
      <c r="G16" s="8">
        <v>26</v>
      </c>
      <c r="H16" s="6">
        <v>20</v>
      </c>
      <c r="I16" s="6">
        <v>76.92</v>
      </c>
      <c r="J16" s="6">
        <v>3</v>
      </c>
      <c r="K16" s="9" t="str">
        <v>Y</v>
      </c>
      <c r="L16" s="8">
        <v>17</v>
      </c>
      <c r="M16" s="6">
        <v>13</v>
      </c>
      <c r="N16" s="6">
        <v>76.47</v>
      </c>
      <c r="O16" s="6">
        <v>3</v>
      </c>
      <c r="P16" s="9" t="str">
        <v>Y</v>
      </c>
      <c r="Q16" s="8">
        <v>22</v>
      </c>
      <c r="R16" s="6">
        <v>17</v>
      </c>
      <c r="S16" s="6">
        <v>77.27</v>
      </c>
      <c r="T16" s="6">
        <v>3</v>
      </c>
      <c r="U16" s="9" t="str">
        <v>Y</v>
      </c>
      <c r="V16" s="8">
        <v>2</v>
      </c>
      <c r="W16" s="6">
        <v>2</v>
      </c>
      <c r="X16" s="6">
        <v>100</v>
      </c>
      <c r="Y16" s="6">
        <v>3</v>
      </c>
      <c r="Z16" s="9" t="str">
        <v>Y</v>
      </c>
      <c r="AA16" s="8">
        <v>15</v>
      </c>
      <c r="AB16" s="6">
        <v>12</v>
      </c>
      <c r="AC16" s="6">
        <v>80</v>
      </c>
      <c r="AD16" s="6">
        <v>3</v>
      </c>
      <c r="AE16" s="9" t="str">
        <v>Y</v>
      </c>
    </row>
    <row r="17" spans="1:31" x14ac:dyDescent="0.3">
      <c r="A17" s="7">
        <v>2010992018</v>
      </c>
      <c r="B17" s="8">
        <v>40</v>
      </c>
      <c r="C17" s="6">
        <v>26</v>
      </c>
      <c r="D17" s="6">
        <v>65</v>
      </c>
      <c r="E17" s="6">
        <v>3</v>
      </c>
      <c r="F17" s="9" t="str">
        <v>Y</v>
      </c>
      <c r="G17" s="8">
        <v>26</v>
      </c>
      <c r="H17" s="6">
        <v>17</v>
      </c>
      <c r="I17" s="6">
        <v>65.38</v>
      </c>
      <c r="J17" s="6">
        <v>3</v>
      </c>
      <c r="K17" s="9" t="str">
        <v>Y</v>
      </c>
      <c r="L17" s="8">
        <v>17</v>
      </c>
      <c r="M17" s="6">
        <v>13</v>
      </c>
      <c r="N17" s="6">
        <v>76.47</v>
      </c>
      <c r="O17" s="6">
        <v>3</v>
      </c>
      <c r="P17" s="9" t="str">
        <v>Y</v>
      </c>
      <c r="Q17" s="8">
        <v>22</v>
      </c>
      <c r="R17" s="6">
        <v>16</v>
      </c>
      <c r="S17" s="6">
        <v>72.73</v>
      </c>
      <c r="T17" s="6">
        <v>3</v>
      </c>
      <c r="U17" s="9" t="str">
        <v>Y</v>
      </c>
      <c r="V17" s="8">
        <v>2</v>
      </c>
      <c r="W17" s="6">
        <v>1</v>
      </c>
      <c r="X17" s="6">
        <v>50</v>
      </c>
      <c r="Y17" s="6">
        <v>0</v>
      </c>
      <c r="Z17" s="9" t="str">
        <v>N</v>
      </c>
      <c r="AA17" s="8">
        <v>15</v>
      </c>
      <c r="AB17" s="6">
        <v>11</v>
      </c>
      <c r="AC17" s="6">
        <v>73.33</v>
      </c>
      <c r="AD17" s="6">
        <v>3</v>
      </c>
      <c r="AE17" s="9" t="str">
        <v>Y</v>
      </c>
    </row>
    <row r="18" spans="1:31" x14ac:dyDescent="0.3">
      <c r="A18" s="7">
        <v>2010992019</v>
      </c>
      <c r="B18" s="8">
        <v>40</v>
      </c>
      <c r="C18" s="6">
        <v>22</v>
      </c>
      <c r="D18" s="6">
        <v>55</v>
      </c>
      <c r="E18" s="6">
        <v>0</v>
      </c>
      <c r="F18" s="9" t="str">
        <v>N</v>
      </c>
      <c r="G18" s="8">
        <v>26</v>
      </c>
      <c r="H18" s="6">
        <v>13</v>
      </c>
      <c r="I18" s="6">
        <v>50</v>
      </c>
      <c r="J18" s="6">
        <v>0</v>
      </c>
      <c r="K18" s="9" t="str">
        <v>N</v>
      </c>
      <c r="L18" s="8">
        <v>17</v>
      </c>
      <c r="M18" s="6">
        <v>9</v>
      </c>
      <c r="N18" s="6">
        <v>52.94</v>
      </c>
      <c r="O18" s="6">
        <v>0</v>
      </c>
      <c r="P18" s="9" t="str">
        <v>N</v>
      </c>
      <c r="Q18" s="8">
        <v>22</v>
      </c>
      <c r="R18" s="6">
        <v>13</v>
      </c>
      <c r="S18" s="6">
        <v>59.09</v>
      </c>
      <c r="T18" s="6">
        <v>3</v>
      </c>
      <c r="U18" s="9" t="str">
        <v>N</v>
      </c>
      <c r="V18" s="8">
        <v>2</v>
      </c>
      <c r="W18" s="6">
        <v>1</v>
      </c>
      <c r="X18" s="6">
        <v>50</v>
      </c>
      <c r="Y18" s="6">
        <v>0</v>
      </c>
      <c r="Z18" s="9" t="str">
        <v>N</v>
      </c>
      <c r="AA18" s="8">
        <v>15</v>
      </c>
      <c r="AB18" s="6">
        <v>9</v>
      </c>
      <c r="AC18" s="6">
        <v>60</v>
      </c>
      <c r="AD18" s="6">
        <v>3</v>
      </c>
      <c r="AE18" s="9" t="str">
        <v>Y</v>
      </c>
    </row>
    <row r="19" spans="1:31" x14ac:dyDescent="0.3">
      <c r="A19" s="7">
        <v>2010992163</v>
      </c>
      <c r="B19" s="8">
        <v>40</v>
      </c>
      <c r="C19" s="6">
        <v>31</v>
      </c>
      <c r="D19" s="6">
        <v>77.5</v>
      </c>
      <c r="E19" s="6">
        <v>3</v>
      </c>
      <c r="F19" s="9" t="str">
        <v>Y</v>
      </c>
      <c r="G19" s="8">
        <v>26</v>
      </c>
      <c r="H19" s="6">
        <v>21</v>
      </c>
      <c r="I19" s="6">
        <v>80.77</v>
      </c>
      <c r="J19" s="6">
        <v>3</v>
      </c>
      <c r="K19" s="9" t="str">
        <v>Y</v>
      </c>
      <c r="L19" s="8">
        <v>17</v>
      </c>
      <c r="M19" s="6">
        <v>14</v>
      </c>
      <c r="N19" s="6">
        <v>82.35</v>
      </c>
      <c r="O19" s="6">
        <v>3</v>
      </c>
      <c r="P19" s="9" t="str">
        <v>Y</v>
      </c>
      <c r="Q19" s="8">
        <v>22</v>
      </c>
      <c r="R19" s="6">
        <v>18</v>
      </c>
      <c r="S19" s="6">
        <v>81.819999999999993</v>
      </c>
      <c r="T19" s="6">
        <v>3</v>
      </c>
      <c r="U19" s="9" t="str">
        <v>Y</v>
      </c>
      <c r="V19" s="8">
        <v>2</v>
      </c>
      <c r="W19" s="6">
        <v>2</v>
      </c>
      <c r="X19" s="6">
        <v>100</v>
      </c>
      <c r="Y19" s="6">
        <v>3</v>
      </c>
      <c r="Z19" s="9" t="str">
        <v>Y</v>
      </c>
      <c r="AA19" s="8">
        <v>15</v>
      </c>
      <c r="AB19" s="6">
        <v>13</v>
      </c>
      <c r="AC19" s="6">
        <v>86.67</v>
      </c>
      <c r="AD19" s="6">
        <v>3</v>
      </c>
      <c r="AE19" s="9" t="str">
        <v>Y</v>
      </c>
    </row>
    <row r="20" spans="1:31" x14ac:dyDescent="0.3">
      <c r="A20" s="7">
        <v>2010992202</v>
      </c>
      <c r="B20" s="8">
        <v>40</v>
      </c>
      <c r="C20" s="6">
        <v>30</v>
      </c>
      <c r="D20" s="6">
        <v>75</v>
      </c>
      <c r="E20" s="6">
        <v>3</v>
      </c>
      <c r="F20" s="9" t="str">
        <v>Y</v>
      </c>
      <c r="G20" s="8">
        <v>26</v>
      </c>
      <c r="H20" s="6">
        <v>20</v>
      </c>
      <c r="I20" s="6">
        <v>76.92</v>
      </c>
      <c r="J20" s="6">
        <v>3</v>
      </c>
      <c r="K20" s="9" t="str">
        <v>Y</v>
      </c>
      <c r="L20" s="8">
        <v>17</v>
      </c>
      <c r="M20" s="6">
        <v>13</v>
      </c>
      <c r="N20" s="6">
        <v>76.47</v>
      </c>
      <c r="O20" s="6">
        <v>3</v>
      </c>
      <c r="P20" s="9" t="str">
        <v>Y</v>
      </c>
      <c r="Q20" s="8">
        <v>22</v>
      </c>
      <c r="R20" s="6">
        <v>17</v>
      </c>
      <c r="S20" s="6">
        <v>77.27</v>
      </c>
      <c r="T20" s="6">
        <v>3</v>
      </c>
      <c r="U20" s="9" t="str">
        <v>Y</v>
      </c>
      <c r="V20" s="8">
        <v>2</v>
      </c>
      <c r="W20" s="6">
        <v>2</v>
      </c>
      <c r="X20" s="6">
        <v>100</v>
      </c>
      <c r="Y20" s="6">
        <v>3</v>
      </c>
      <c r="Z20" s="9" t="str">
        <v>Y</v>
      </c>
      <c r="AA20" s="8">
        <v>15</v>
      </c>
      <c r="AB20" s="6">
        <v>12</v>
      </c>
      <c r="AC20" s="6">
        <v>80</v>
      </c>
      <c r="AD20" s="6">
        <v>3</v>
      </c>
      <c r="AE20" s="9" t="str">
        <v>Y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30674-00D3-43D5-AE2F-25932BDF8F24}">
  <dimension ref="A1:AE20"/>
  <sheetViews>
    <sheetView zoomScale="56" workbookViewId="0">
      <selection activeCell="Z11" sqref="Z11"/>
    </sheetView>
  </sheetViews>
  <sheetFormatPr defaultRowHeight="14.4" x14ac:dyDescent="0.3"/>
  <cols>
    <col min="1" max="1" width="21" style="7" bestFit="1" customWidth="1"/>
    <col min="2" max="2" width="12.33203125" style="8" bestFit="1" customWidth="1"/>
    <col min="3" max="5" width="8.88671875" style="6"/>
    <col min="6" max="6" width="8.88671875" style="9"/>
    <col min="7" max="7" width="8.88671875" style="8"/>
    <col min="8" max="10" width="8.88671875" style="6"/>
    <col min="11" max="11" width="8.88671875" style="9"/>
    <col min="12" max="12" width="8.88671875" style="8"/>
    <col min="13" max="15" width="8.88671875" style="6"/>
    <col min="16" max="16" width="8.88671875" style="9"/>
    <col min="17" max="17" width="8.88671875" style="8"/>
    <col min="18" max="20" width="8.88671875" style="6"/>
    <col min="21" max="21" width="8.88671875" style="9"/>
    <col min="22" max="22" width="8.88671875" style="8"/>
    <col min="23" max="25" width="8.88671875" style="6"/>
    <col min="26" max="26" width="8.88671875" style="9"/>
    <col min="27" max="27" width="8.88671875" style="8"/>
    <col min="28" max="30" width="8.88671875" style="6"/>
    <col min="31" max="31" width="8.88671875" style="9"/>
  </cols>
  <sheetData>
    <row r="1" spans="1:31" ht="15" thickBot="1" x14ac:dyDescent="0.35">
      <c r="A1" s="7" t="s">
        <v>11</v>
      </c>
      <c r="B1" s="4" t="s">
        <v>0</v>
      </c>
      <c r="C1" s="1" t="s">
        <v>0</v>
      </c>
      <c r="D1" s="1" t="s">
        <v>0</v>
      </c>
      <c r="E1" s="1" t="s">
        <v>0</v>
      </c>
      <c r="F1" s="2" t="s">
        <v>0</v>
      </c>
      <c r="G1" s="4" t="s">
        <v>1</v>
      </c>
      <c r="H1" s="1" t="s">
        <v>1</v>
      </c>
      <c r="I1" s="3" t="s">
        <v>1</v>
      </c>
      <c r="J1" s="1" t="s">
        <v>1</v>
      </c>
      <c r="K1" s="2" t="s">
        <v>1</v>
      </c>
      <c r="L1" s="4" t="s">
        <v>2</v>
      </c>
      <c r="M1" s="1" t="s">
        <v>2</v>
      </c>
      <c r="N1" s="1" t="s">
        <v>2</v>
      </c>
      <c r="O1" s="1" t="s">
        <v>2</v>
      </c>
      <c r="P1" s="2" t="s">
        <v>2</v>
      </c>
      <c r="Q1" s="4" t="s">
        <v>3</v>
      </c>
      <c r="R1" s="1" t="s">
        <v>3</v>
      </c>
      <c r="S1" s="1" t="s">
        <v>3</v>
      </c>
      <c r="T1" s="1" t="s">
        <v>3</v>
      </c>
      <c r="U1" s="2" t="s">
        <v>3</v>
      </c>
      <c r="V1" s="4" t="s">
        <v>9</v>
      </c>
      <c r="W1" s="1" t="s">
        <v>9</v>
      </c>
      <c r="X1" s="1" t="s">
        <v>9</v>
      </c>
      <c r="Y1" s="1" t="s">
        <v>9</v>
      </c>
      <c r="Z1" s="2" t="s">
        <v>9</v>
      </c>
      <c r="AA1" s="4" t="s">
        <v>10</v>
      </c>
      <c r="AB1" s="1" t="s">
        <v>10</v>
      </c>
      <c r="AC1" s="1" t="s">
        <v>10</v>
      </c>
      <c r="AD1" s="1" t="s">
        <v>10</v>
      </c>
      <c r="AE1" s="2" t="s">
        <v>10</v>
      </c>
    </row>
    <row r="2" spans="1:31" ht="15" thickBot="1" x14ac:dyDescent="0.35">
      <c r="A2" s="12" t="str" cm="1">
        <f t="array" ref="A2:A20">'[1]ST2 Result'!$B$1:INDEX('[1]ST2 Result'!$B:$B,COUNTA('[1]ST2 Result'!$B:$B))</f>
        <v>Admission No. (Roll No.)</v>
      </c>
      <c r="B2" s="4" t="s">
        <v>4</v>
      </c>
      <c r="C2" s="1" t="s">
        <v>5</v>
      </c>
      <c r="D2" s="13" t="s">
        <v>6</v>
      </c>
      <c r="E2" s="1" t="s">
        <v>7</v>
      </c>
      <c r="F2" s="2" t="s">
        <v>8</v>
      </c>
      <c r="G2" s="4" t="s">
        <v>4</v>
      </c>
      <c r="H2" s="1" t="s">
        <v>5</v>
      </c>
      <c r="I2" s="13" t="s">
        <v>6</v>
      </c>
      <c r="J2" s="1" t="s">
        <v>7</v>
      </c>
      <c r="K2" s="2" t="s">
        <v>8</v>
      </c>
      <c r="L2" s="4" t="s">
        <v>4</v>
      </c>
      <c r="M2" s="1" t="s">
        <v>5</v>
      </c>
      <c r="N2" s="13" t="s">
        <v>6</v>
      </c>
      <c r="O2" s="1" t="s">
        <v>7</v>
      </c>
      <c r="P2" s="2" t="s">
        <v>8</v>
      </c>
      <c r="Q2" s="4" t="s">
        <v>4</v>
      </c>
      <c r="R2" s="1" t="s">
        <v>5</v>
      </c>
      <c r="S2" s="13" t="s">
        <v>6</v>
      </c>
      <c r="T2" s="1" t="s">
        <v>7</v>
      </c>
      <c r="U2" s="2" t="s">
        <v>8</v>
      </c>
      <c r="V2" s="4" t="s">
        <v>4</v>
      </c>
      <c r="W2" s="1" t="s">
        <v>5</v>
      </c>
      <c r="X2" s="13" t="s">
        <v>6</v>
      </c>
      <c r="Y2" s="1" t="s">
        <v>7</v>
      </c>
      <c r="Z2" s="2" t="s">
        <v>8</v>
      </c>
      <c r="AA2" s="4" t="s">
        <v>4</v>
      </c>
      <c r="AB2" s="1" t="s">
        <v>5</v>
      </c>
      <c r="AC2" s="13" t="s">
        <v>6</v>
      </c>
      <c r="AD2" s="1" t="s">
        <v>7</v>
      </c>
      <c r="AE2" s="2" t="s">
        <v>8</v>
      </c>
    </row>
    <row r="3" spans="1:31" x14ac:dyDescent="0.3">
      <c r="A3" s="10">
        <v>2010990089</v>
      </c>
      <c r="B3" s="11" cm="1">
        <f t="array" ref="B3:B20">'[1]ST2 Student MO CO Score'!$B$2:INDEX('[1]ST2 Student MO CO Score'!$B:$B,COUNTA('[1]ST2 Student MO CO Score'!$B:$B))</f>
        <v>0</v>
      </c>
      <c r="C3" s="5" cm="1">
        <f t="array" ref="C3:C20">'[1]ST2 Student Attained CO Score'!$B$2:INDEX('[1]ST2 Student Attained CO Score'!$B:$B,COUNTA('[1]ST2 Student Attained CO Score'!$B:$B))</f>
        <v>0</v>
      </c>
      <c r="D3" s="5" t="str" cm="1">
        <f t="array" ref="D3:D20">IFERROR(ROUND('[1]ST2 Student Attainment percent'!$B$2:INDEX('[1]ST2 Student Attainment percent'!$B:$B,COUNTA('[1]ST2 Student Attainment percent'!$B:$B)),2),"NA")</f>
        <v>NA</v>
      </c>
      <c r="E3" s="5" t="str" cm="1">
        <f t="array" ref="E3:E20">'[1]ST2 CO Attainment Score'!$B$2:INDEX('[1]ST2 CO Attainment Score'!$B:$B,COUNTA('[1]ST2 CO Attainment Score'!$B:$B))</f>
        <v>NA</v>
      </c>
      <c r="F3" s="9" t="str" cm="1">
        <f t="array" ref="F3:F20">'[1]ST2 Target Attained'!$B$2:INDEX('[1]ST2 Target Attained'!$B:$B,COUNTA('[1]ST2 Target Attained'!$B:$B))</f>
        <v>Y</v>
      </c>
      <c r="G3" s="11" cm="1">
        <f t="array" ref="G3:G20">'[1]ST2 Student MO CO Score'!$C$2:INDEX('[1]ST2 Student MO CO Score'!$C:$C,COUNTA('[1]ST2 Student MO CO Score'!$C:$C))</f>
        <v>0</v>
      </c>
      <c r="H3" s="5" cm="1">
        <f t="array" ref="H3:H20">'[1]ST2 Student Attained CO Score'!$C$2:INDEX('[1]ST2 Student Attained CO Score'!$C:$C,COUNTA('[1]ST2 Student Attained CO Score'!$C:$C))</f>
        <v>0</v>
      </c>
      <c r="I3" s="5" t="str" cm="1">
        <f t="array" ref="I3:I20">IFERROR(ROUND('[1]ST2 Student Attainment percent'!$C$2:INDEX('[1]ST2 Student Attainment percent'!$C:$C,COUNTA('[1]ST2 Student Attainment percent'!$C:$C)),2),"NA")</f>
        <v>NA</v>
      </c>
      <c r="J3" s="5" t="str" cm="1">
        <f t="array" ref="J3:J20">'[1]ST2 CO Attainment Score'!$C$2:INDEX('[1]ST2 CO Attainment Score'!$C:$C,COUNTA('[1]ST2 CO Attainment Score'!$C:$C))</f>
        <v>NA</v>
      </c>
      <c r="K3" s="9" t="str" cm="1">
        <f t="array" ref="K3:K20">'[1]ST2 Target Attained'!$C$2:INDEX('[1]ST2 Target Attained'!$C:$C,COUNTA('[1]ST2 Target Attained'!$C:$C))</f>
        <v>NA</v>
      </c>
      <c r="L3" s="11" cm="1">
        <f t="array" ref="L3:L20">'[1]ST2 Student MO CO Score'!$D$2:INDEX('[1]ST2 Student MO CO Score'!$D:$D,COUNTA('[1]ST2 Student MO CO Score'!$D:$D))</f>
        <v>0</v>
      </c>
      <c r="M3" s="5" cm="1">
        <f t="array" ref="M3:M20">'[1]ST2 Student Attained CO Score'!$D$2:INDEX('[1]ST2 Student Attained CO Score'!$D:$D,COUNTA('[1]ST2 Student Attained CO Score'!$D:$D))</f>
        <v>0</v>
      </c>
      <c r="N3" s="5" t="str" cm="1">
        <f t="array" ref="N3:N20">IFERROR(ROUND('[1]ST2 Student Attainment percent'!$D$2:INDEX('[1]ST2 Student Attainment percent'!$D:$D,COUNTA('[1]ST2 Student Attainment percent'!$D:$D)),2),"NA")</f>
        <v>NA</v>
      </c>
      <c r="O3" s="5" t="str" cm="1">
        <f t="array" ref="O3:O20">'[1]ST2 CO Attainment Score'!$D$2:INDEX('[1]ST2 CO Attainment Score'!$D:$D,COUNTA('[1]ST2 CO Attainment Score'!$D:$D))</f>
        <v>NA</v>
      </c>
      <c r="P3" s="9" t="str" cm="1">
        <f t="array" ref="P3:P20">'[1]ST2 Target Attained'!$D$2:INDEX('[1]ST2 Target Attained'!$D:$D,COUNTA('[1]ST2 Target Attained'!$D:$D))</f>
        <v>NA</v>
      </c>
      <c r="Q3" s="11" cm="1">
        <f t="array" ref="Q3:Q20">'[1]ST2 Student MO CO Score'!$E$2:INDEX('[1]ST2 Student MO CO Score'!$E:$E,COUNTA('[1]ST2 Student MO CO Score'!$E:$E))</f>
        <v>0</v>
      </c>
      <c r="R3" s="5" cm="1">
        <f t="array" ref="R3:R20">'[1]ST2 Student Attained CO Score'!$E$2:INDEX('[1]ST2 Student Attained CO Score'!$E:$E,COUNTA('[1]ST2 Student Attained CO Score'!$E:$E))</f>
        <v>0</v>
      </c>
      <c r="S3" s="5" t="str" cm="1">
        <f t="array" ref="S3:S20">IFERROR(ROUND('[1]ST2 Student Attainment percent'!$E$2:INDEX('[1]ST2 Student Attainment percent'!$E:$E,COUNTA('[1]ST2 Student Attainment percent'!$E:$E)),2),"NA")</f>
        <v>NA</v>
      </c>
      <c r="T3" s="5" t="str" cm="1">
        <f t="array" ref="T3:T20">'[1]ST2 CO Attainment Score'!$E$2:INDEX('[1]ST2 CO Attainment Score'!$E:$E,COUNTA('[1]ST2 CO Attainment Score'!$E:$E))</f>
        <v>NA</v>
      </c>
      <c r="U3" s="9" t="str" cm="1">
        <f t="array" ref="U3:U20">'[1]ST2 Target Attained'!$E$2:INDEX('[1]ST2 Target Attained'!$E:$E,COUNTA('[1]ST2 Target Attained'!$E:$E))</f>
        <v>NA</v>
      </c>
      <c r="V3" s="11" cm="1">
        <f t="array" ref="V3:V20">'[1]ST2 Student MO CO Score'!$F$2:INDEX('[1]ST2 Student MO CO Score'!$F:$F,COUNTA('[1]ST2 Student MO CO Score'!$F:$F))</f>
        <v>0</v>
      </c>
      <c r="W3" s="5" cm="1">
        <f t="array" ref="W3:W20">'[1]ST2 Student Attained CO Score'!$F$2:INDEX('[1]ST2 Student Attained CO Score'!$F:$F,COUNTA('[1]ST2 Student Attained CO Score'!$F:$F))</f>
        <v>0</v>
      </c>
      <c r="X3" s="5" t="str" cm="1">
        <f t="array" ref="X3:X20">IFERROR(ROUND('[1]ST2 Student Attainment percent'!$F$2:INDEX('[1]ST2 Student Attainment percent'!$F:$F,COUNTA('[1]ST2 Student Attainment percent'!$F:$F)),2),"NA")</f>
        <v>NA</v>
      </c>
      <c r="Y3" s="5" t="str" cm="1">
        <f t="array" ref="Y3:Y20">'[1]ST2 CO Attainment Score'!$F$2:INDEX('[1]ST2 CO Attainment Score'!$F:$F,COUNTA('[1]ST2 CO Attainment Score'!$F:$F))</f>
        <v>NA</v>
      </c>
      <c r="Z3" s="9" t="str" cm="1">
        <f t="array" ref="Z3:Z20">'[1]ST2 Target Attained'!$F$2:INDEX('[1]ST2 Target Attained'!$F:$F,COUNTA('[1]ST2 Target Attained'!$F:$F))</f>
        <v>NA</v>
      </c>
      <c r="AA3" s="11" cm="1">
        <f t="array" ref="AA3:AA20">'[1]ST2 Student MO CO Score'!$G$2:INDEX('[1]ST2 Student MO CO Score'!$G:$G,COUNTA('[1]ST2 Student MO CO Score'!$G:$G))</f>
        <v>0</v>
      </c>
      <c r="AB3" s="5" cm="1">
        <f t="array" ref="AB3:AB20">'[1]ST2 Student Attained CO Score'!$G$2:INDEX('[1]ST2 Student Attained CO Score'!$G:$G,COUNTA('[1]ST2 Student Attained CO Score'!$G:$G))</f>
        <v>0</v>
      </c>
      <c r="AC3" s="5" t="str" cm="1">
        <f t="array" ref="AC3:AC20">IFERROR(ROUND('[1]ST2 Student Attainment percent'!$G$2:INDEX('[1]ST2 Student Attainment percent'!$G:$G,COUNTA('[1]ST2 Student Attainment percent'!$G:$G)),2),"NA")</f>
        <v>NA</v>
      </c>
      <c r="AD3" s="5" t="str" cm="1">
        <f t="array" ref="AD3:AD20">'[1]ST2 CO Attainment Score'!$G$2:INDEX('[1]ST2 CO Attainment Score'!$G:$G,COUNTA('[1]ST2 CO Attainment Score'!$G:$G))</f>
        <v>NA</v>
      </c>
      <c r="AE3" s="9" t="str" cm="1">
        <f t="array" ref="AE3:AE20">'[1]ST2 Target Attained'!$G$2:INDEX('[1]ST2 Target Attained'!$G:$G,COUNTA('[1]ST2 Target Attained'!$G:$G))</f>
        <v>NA</v>
      </c>
    </row>
    <row r="4" spans="1:31" x14ac:dyDescent="0.3">
      <c r="A4" s="7">
        <v>2010992002</v>
      </c>
      <c r="B4" s="8">
        <v>0</v>
      </c>
      <c r="C4" s="6">
        <v>0</v>
      </c>
      <c r="D4" s="6" t="str">
        <v>NA</v>
      </c>
      <c r="E4" s="6" t="str">
        <v>NA</v>
      </c>
      <c r="F4" s="9" t="str">
        <v>Y</v>
      </c>
      <c r="G4" s="8">
        <v>0</v>
      </c>
      <c r="H4" s="6">
        <v>0</v>
      </c>
      <c r="I4" s="6" t="str">
        <v>NA</v>
      </c>
      <c r="J4" s="6" t="str">
        <v>NA</v>
      </c>
      <c r="K4" s="9" t="str">
        <v>NA</v>
      </c>
      <c r="L4" s="8">
        <v>0</v>
      </c>
      <c r="M4" s="6">
        <v>0</v>
      </c>
      <c r="N4" s="6" t="str">
        <v>NA</v>
      </c>
      <c r="O4" s="6" t="str">
        <v>NA</v>
      </c>
      <c r="P4" s="9" t="str">
        <v>NA</v>
      </c>
      <c r="Q4" s="8">
        <v>0</v>
      </c>
      <c r="R4" s="6">
        <v>0</v>
      </c>
      <c r="S4" s="6" t="str">
        <v>NA</v>
      </c>
      <c r="T4" s="6" t="str">
        <v>NA</v>
      </c>
      <c r="U4" s="9" t="str">
        <v>NA</v>
      </c>
      <c r="V4" s="8">
        <v>0</v>
      </c>
      <c r="W4" s="6">
        <v>0</v>
      </c>
      <c r="X4" s="6" t="str">
        <v>NA</v>
      </c>
      <c r="Y4" s="6" t="str">
        <v>NA</v>
      </c>
      <c r="Z4" s="9" t="str">
        <v>NA</v>
      </c>
      <c r="AA4" s="8">
        <v>0</v>
      </c>
      <c r="AB4" s="6">
        <v>0</v>
      </c>
      <c r="AC4" s="6" t="str">
        <v>NA</v>
      </c>
      <c r="AD4" s="6" t="str">
        <v>NA</v>
      </c>
      <c r="AE4" s="9" t="str">
        <v>NA</v>
      </c>
    </row>
    <row r="5" spans="1:31" x14ac:dyDescent="0.3">
      <c r="A5" s="7">
        <v>2010992004</v>
      </c>
      <c r="B5" s="8">
        <v>0</v>
      </c>
      <c r="C5" s="6">
        <v>0</v>
      </c>
      <c r="D5" s="6" t="str">
        <v>NA</v>
      </c>
      <c r="E5" s="6" t="str">
        <v>NA</v>
      </c>
      <c r="F5" s="9" t="str">
        <v>Y</v>
      </c>
      <c r="G5" s="8">
        <v>0</v>
      </c>
      <c r="H5" s="6">
        <v>0</v>
      </c>
      <c r="I5" s="6" t="str">
        <v>NA</v>
      </c>
      <c r="J5" s="6" t="str">
        <v>NA</v>
      </c>
      <c r="K5" s="9" t="str">
        <v>NA</v>
      </c>
      <c r="L5" s="8">
        <v>0</v>
      </c>
      <c r="M5" s="6">
        <v>0</v>
      </c>
      <c r="N5" s="6" t="str">
        <v>NA</v>
      </c>
      <c r="O5" s="6" t="str">
        <v>NA</v>
      </c>
      <c r="P5" s="9" t="str">
        <v>NA</v>
      </c>
      <c r="Q5" s="8">
        <v>0</v>
      </c>
      <c r="R5" s="6">
        <v>0</v>
      </c>
      <c r="S5" s="6" t="str">
        <v>NA</v>
      </c>
      <c r="T5" s="6" t="str">
        <v>NA</v>
      </c>
      <c r="U5" s="9" t="str">
        <v>NA</v>
      </c>
      <c r="V5" s="8">
        <v>0</v>
      </c>
      <c r="W5" s="6">
        <v>0</v>
      </c>
      <c r="X5" s="6" t="str">
        <v>NA</v>
      </c>
      <c r="Y5" s="6" t="str">
        <v>NA</v>
      </c>
      <c r="Z5" s="9" t="str">
        <v>NA</v>
      </c>
      <c r="AA5" s="8">
        <v>0</v>
      </c>
      <c r="AB5" s="6">
        <v>0</v>
      </c>
      <c r="AC5" s="6" t="str">
        <v>NA</v>
      </c>
      <c r="AD5" s="6" t="str">
        <v>NA</v>
      </c>
      <c r="AE5" s="9" t="str">
        <v>NA</v>
      </c>
    </row>
    <row r="6" spans="1:31" x14ac:dyDescent="0.3">
      <c r="A6" s="7">
        <v>2010992005</v>
      </c>
      <c r="B6" s="8">
        <v>0</v>
      </c>
      <c r="C6" s="6">
        <v>0</v>
      </c>
      <c r="D6" s="6" t="str">
        <v>NA</v>
      </c>
      <c r="E6" s="6" t="str">
        <v>NA</v>
      </c>
      <c r="F6" s="9" t="str">
        <v>Y</v>
      </c>
      <c r="G6" s="8">
        <v>0</v>
      </c>
      <c r="H6" s="6">
        <v>0</v>
      </c>
      <c r="I6" s="6" t="str">
        <v>NA</v>
      </c>
      <c r="J6" s="6" t="str">
        <v>NA</v>
      </c>
      <c r="K6" s="9" t="str">
        <v>NA</v>
      </c>
      <c r="L6" s="8">
        <v>0</v>
      </c>
      <c r="M6" s="6">
        <v>0</v>
      </c>
      <c r="N6" s="6" t="str">
        <v>NA</v>
      </c>
      <c r="O6" s="6" t="str">
        <v>NA</v>
      </c>
      <c r="P6" s="9" t="str">
        <v>NA</v>
      </c>
      <c r="Q6" s="8">
        <v>0</v>
      </c>
      <c r="R6" s="6">
        <v>0</v>
      </c>
      <c r="S6" s="6" t="str">
        <v>NA</v>
      </c>
      <c r="T6" s="6" t="str">
        <v>NA</v>
      </c>
      <c r="U6" s="9" t="str">
        <v>NA</v>
      </c>
      <c r="V6" s="8">
        <v>0</v>
      </c>
      <c r="W6" s="6">
        <v>0</v>
      </c>
      <c r="X6" s="6" t="str">
        <v>NA</v>
      </c>
      <c r="Y6" s="6" t="str">
        <v>NA</v>
      </c>
      <c r="Z6" s="9" t="str">
        <v>NA</v>
      </c>
      <c r="AA6" s="8">
        <v>0</v>
      </c>
      <c r="AB6" s="6">
        <v>0</v>
      </c>
      <c r="AC6" s="6" t="str">
        <v>NA</v>
      </c>
      <c r="AD6" s="6" t="str">
        <v>NA</v>
      </c>
      <c r="AE6" s="9" t="str">
        <v>NA</v>
      </c>
    </row>
    <row r="7" spans="1:31" x14ac:dyDescent="0.3">
      <c r="A7" s="7">
        <v>2010992006</v>
      </c>
      <c r="B7" s="8">
        <v>0</v>
      </c>
      <c r="C7" s="6">
        <v>0</v>
      </c>
      <c r="D7" s="6" t="str">
        <v>NA</v>
      </c>
      <c r="E7" s="6" t="str">
        <v>NA</v>
      </c>
      <c r="F7" s="9" t="str">
        <v>Y</v>
      </c>
      <c r="G7" s="8">
        <v>0</v>
      </c>
      <c r="H7" s="6">
        <v>0</v>
      </c>
      <c r="I7" s="6" t="str">
        <v>NA</v>
      </c>
      <c r="J7" s="6" t="str">
        <v>NA</v>
      </c>
      <c r="K7" s="9" t="str">
        <v>NA</v>
      </c>
      <c r="L7" s="8">
        <v>0</v>
      </c>
      <c r="M7" s="6">
        <v>0</v>
      </c>
      <c r="N7" s="6" t="str">
        <v>NA</v>
      </c>
      <c r="O7" s="6" t="str">
        <v>NA</v>
      </c>
      <c r="P7" s="9" t="str">
        <v>NA</v>
      </c>
      <c r="Q7" s="8">
        <v>0</v>
      </c>
      <c r="R7" s="6">
        <v>0</v>
      </c>
      <c r="S7" s="6" t="str">
        <v>NA</v>
      </c>
      <c r="T7" s="6" t="str">
        <v>NA</v>
      </c>
      <c r="U7" s="9" t="str">
        <v>NA</v>
      </c>
      <c r="V7" s="8">
        <v>0</v>
      </c>
      <c r="W7" s="6">
        <v>0</v>
      </c>
      <c r="X7" s="6" t="str">
        <v>NA</v>
      </c>
      <c r="Y7" s="6" t="str">
        <v>NA</v>
      </c>
      <c r="Z7" s="9" t="str">
        <v>NA</v>
      </c>
      <c r="AA7" s="8">
        <v>0</v>
      </c>
      <c r="AB7" s="6">
        <v>0</v>
      </c>
      <c r="AC7" s="6" t="str">
        <v>NA</v>
      </c>
      <c r="AD7" s="6" t="str">
        <v>NA</v>
      </c>
      <c r="AE7" s="9" t="str">
        <v>NA</v>
      </c>
    </row>
    <row r="8" spans="1:31" x14ac:dyDescent="0.3">
      <c r="A8" s="7">
        <v>2010992008</v>
      </c>
      <c r="B8" s="8">
        <v>0</v>
      </c>
      <c r="C8" s="6">
        <v>0</v>
      </c>
      <c r="D8" s="6" t="str">
        <v>NA</v>
      </c>
      <c r="E8" s="6" t="str">
        <v>NA</v>
      </c>
      <c r="F8" s="9" t="str">
        <v>Y</v>
      </c>
      <c r="G8" s="8">
        <v>0</v>
      </c>
      <c r="H8" s="6">
        <v>0</v>
      </c>
      <c r="I8" s="6" t="str">
        <v>NA</v>
      </c>
      <c r="J8" s="6" t="str">
        <v>NA</v>
      </c>
      <c r="K8" s="9" t="str">
        <v>NA</v>
      </c>
      <c r="L8" s="8">
        <v>0</v>
      </c>
      <c r="M8" s="6">
        <v>0</v>
      </c>
      <c r="N8" s="6" t="str">
        <v>NA</v>
      </c>
      <c r="O8" s="6" t="str">
        <v>NA</v>
      </c>
      <c r="P8" s="9" t="str">
        <v>NA</v>
      </c>
      <c r="Q8" s="8">
        <v>0</v>
      </c>
      <c r="R8" s="6">
        <v>0</v>
      </c>
      <c r="S8" s="6" t="str">
        <v>NA</v>
      </c>
      <c r="T8" s="6" t="str">
        <v>NA</v>
      </c>
      <c r="U8" s="9" t="str">
        <v>NA</v>
      </c>
      <c r="V8" s="8">
        <v>0</v>
      </c>
      <c r="W8" s="6">
        <v>0</v>
      </c>
      <c r="X8" s="6" t="str">
        <v>NA</v>
      </c>
      <c r="Y8" s="6" t="str">
        <v>NA</v>
      </c>
      <c r="Z8" s="9" t="str">
        <v>NA</v>
      </c>
      <c r="AA8" s="8">
        <v>0</v>
      </c>
      <c r="AB8" s="6">
        <v>0</v>
      </c>
      <c r="AC8" s="6" t="str">
        <v>NA</v>
      </c>
      <c r="AD8" s="6" t="str">
        <v>NA</v>
      </c>
      <c r="AE8" s="9" t="str">
        <v>NA</v>
      </c>
    </row>
    <row r="9" spans="1:31" x14ac:dyDescent="0.3">
      <c r="A9" s="7">
        <v>2010992009</v>
      </c>
      <c r="B9" s="8">
        <v>0</v>
      </c>
      <c r="C9" s="6">
        <v>0</v>
      </c>
      <c r="D9" s="6" t="str">
        <v>NA</v>
      </c>
      <c r="E9" s="6" t="str">
        <v>NA</v>
      </c>
      <c r="F9" s="9" t="str">
        <v>Y</v>
      </c>
      <c r="G9" s="8">
        <v>0</v>
      </c>
      <c r="H9" s="6">
        <v>0</v>
      </c>
      <c r="I9" s="6" t="str">
        <v>NA</v>
      </c>
      <c r="J9" s="6" t="str">
        <v>NA</v>
      </c>
      <c r="K9" s="9" t="str">
        <v>NA</v>
      </c>
      <c r="L9" s="8">
        <v>0</v>
      </c>
      <c r="M9" s="6">
        <v>0</v>
      </c>
      <c r="N9" s="6" t="str">
        <v>NA</v>
      </c>
      <c r="O9" s="6" t="str">
        <v>NA</v>
      </c>
      <c r="P9" s="9" t="str">
        <v>NA</v>
      </c>
      <c r="Q9" s="8">
        <v>0</v>
      </c>
      <c r="R9" s="6">
        <v>0</v>
      </c>
      <c r="S9" s="6" t="str">
        <v>NA</v>
      </c>
      <c r="T9" s="6" t="str">
        <v>NA</v>
      </c>
      <c r="U9" s="9" t="str">
        <v>NA</v>
      </c>
      <c r="V9" s="8">
        <v>0</v>
      </c>
      <c r="W9" s="6">
        <v>0</v>
      </c>
      <c r="X9" s="6" t="str">
        <v>NA</v>
      </c>
      <c r="Y9" s="6" t="str">
        <v>NA</v>
      </c>
      <c r="Z9" s="9" t="str">
        <v>NA</v>
      </c>
      <c r="AA9" s="8">
        <v>0</v>
      </c>
      <c r="AB9" s="6">
        <v>0</v>
      </c>
      <c r="AC9" s="6" t="str">
        <v>NA</v>
      </c>
      <c r="AD9" s="6" t="str">
        <v>NA</v>
      </c>
      <c r="AE9" s="9" t="str">
        <v>NA</v>
      </c>
    </row>
    <row r="10" spans="1:31" x14ac:dyDescent="0.3">
      <c r="A10" s="7">
        <v>2010992010</v>
      </c>
      <c r="B10" s="8">
        <v>0</v>
      </c>
      <c r="C10" s="6">
        <v>0</v>
      </c>
      <c r="D10" s="6" t="str">
        <v>NA</v>
      </c>
      <c r="E10" s="6" t="str">
        <v>NA</v>
      </c>
      <c r="F10" s="9" t="str">
        <v>Y</v>
      </c>
      <c r="G10" s="8">
        <v>0</v>
      </c>
      <c r="H10" s="6">
        <v>0</v>
      </c>
      <c r="I10" s="6" t="str">
        <v>NA</v>
      </c>
      <c r="J10" s="6" t="str">
        <v>NA</v>
      </c>
      <c r="K10" s="9" t="str">
        <v>NA</v>
      </c>
      <c r="L10" s="8">
        <v>0</v>
      </c>
      <c r="M10" s="6">
        <v>0</v>
      </c>
      <c r="N10" s="6" t="str">
        <v>NA</v>
      </c>
      <c r="O10" s="6" t="str">
        <v>NA</v>
      </c>
      <c r="P10" s="9" t="str">
        <v>NA</v>
      </c>
      <c r="Q10" s="8">
        <v>0</v>
      </c>
      <c r="R10" s="6">
        <v>0</v>
      </c>
      <c r="S10" s="6" t="str">
        <v>NA</v>
      </c>
      <c r="T10" s="6" t="str">
        <v>NA</v>
      </c>
      <c r="U10" s="9" t="str">
        <v>NA</v>
      </c>
      <c r="V10" s="8">
        <v>0</v>
      </c>
      <c r="W10" s="6">
        <v>0</v>
      </c>
      <c r="X10" s="6" t="str">
        <v>NA</v>
      </c>
      <c r="Y10" s="6" t="str">
        <v>NA</v>
      </c>
      <c r="Z10" s="9" t="str">
        <v>NA</v>
      </c>
      <c r="AA10" s="8">
        <v>0</v>
      </c>
      <c r="AB10" s="6">
        <v>0</v>
      </c>
      <c r="AC10" s="6" t="str">
        <v>NA</v>
      </c>
      <c r="AD10" s="6" t="str">
        <v>NA</v>
      </c>
      <c r="AE10" s="9" t="str">
        <v>NA</v>
      </c>
    </row>
    <row r="11" spans="1:31" x14ac:dyDescent="0.3">
      <c r="A11" s="7">
        <v>2010992011</v>
      </c>
      <c r="B11" s="8">
        <v>0</v>
      </c>
      <c r="C11" s="6">
        <v>0</v>
      </c>
      <c r="D11" s="6" t="str">
        <v>NA</v>
      </c>
      <c r="E11" s="6" t="str">
        <v>NA</v>
      </c>
      <c r="F11" s="9" t="str">
        <v>Y</v>
      </c>
      <c r="G11" s="8">
        <v>0</v>
      </c>
      <c r="H11" s="6">
        <v>0</v>
      </c>
      <c r="I11" s="6" t="str">
        <v>NA</v>
      </c>
      <c r="J11" s="6" t="str">
        <v>NA</v>
      </c>
      <c r="K11" s="9" t="str">
        <v>NA</v>
      </c>
      <c r="L11" s="8">
        <v>0</v>
      </c>
      <c r="M11" s="6">
        <v>0</v>
      </c>
      <c r="N11" s="6" t="str">
        <v>NA</v>
      </c>
      <c r="O11" s="6" t="str">
        <v>NA</v>
      </c>
      <c r="P11" s="9" t="str">
        <v>NA</v>
      </c>
      <c r="Q11" s="8">
        <v>0</v>
      </c>
      <c r="R11" s="6">
        <v>0</v>
      </c>
      <c r="S11" s="6" t="str">
        <v>NA</v>
      </c>
      <c r="T11" s="6" t="str">
        <v>NA</v>
      </c>
      <c r="U11" s="9" t="str">
        <v>NA</v>
      </c>
      <c r="V11" s="8">
        <v>0</v>
      </c>
      <c r="W11" s="6">
        <v>0</v>
      </c>
      <c r="X11" s="6" t="str">
        <v>NA</v>
      </c>
      <c r="Y11" s="6" t="str">
        <v>NA</v>
      </c>
      <c r="Z11" s="9" t="str">
        <v>NA</v>
      </c>
      <c r="AA11" s="8">
        <v>0</v>
      </c>
      <c r="AB11" s="6">
        <v>0</v>
      </c>
      <c r="AC11" s="6" t="str">
        <v>NA</v>
      </c>
      <c r="AD11" s="6" t="str">
        <v>NA</v>
      </c>
      <c r="AE11" s="9" t="str">
        <v>NA</v>
      </c>
    </row>
    <row r="12" spans="1:31" x14ac:dyDescent="0.3">
      <c r="A12" s="7">
        <v>2010992012</v>
      </c>
      <c r="B12" s="8">
        <v>0</v>
      </c>
      <c r="C12" s="6">
        <v>0</v>
      </c>
      <c r="D12" s="6" t="str">
        <v>NA</v>
      </c>
      <c r="E12" s="6" t="str">
        <v>NA</v>
      </c>
      <c r="F12" s="9" t="str">
        <v>Y</v>
      </c>
      <c r="G12" s="8">
        <v>0</v>
      </c>
      <c r="H12" s="6">
        <v>0</v>
      </c>
      <c r="I12" s="6" t="str">
        <v>NA</v>
      </c>
      <c r="J12" s="6" t="str">
        <v>NA</v>
      </c>
      <c r="K12" s="9" t="str">
        <v>NA</v>
      </c>
      <c r="L12" s="8">
        <v>0</v>
      </c>
      <c r="M12" s="6">
        <v>0</v>
      </c>
      <c r="N12" s="6" t="str">
        <v>NA</v>
      </c>
      <c r="O12" s="6" t="str">
        <v>NA</v>
      </c>
      <c r="P12" s="9" t="str">
        <v>NA</v>
      </c>
      <c r="Q12" s="8">
        <v>0</v>
      </c>
      <c r="R12" s="6">
        <v>0</v>
      </c>
      <c r="S12" s="6" t="str">
        <v>NA</v>
      </c>
      <c r="T12" s="6" t="str">
        <v>NA</v>
      </c>
      <c r="U12" s="9" t="str">
        <v>NA</v>
      </c>
      <c r="V12" s="8">
        <v>0</v>
      </c>
      <c r="W12" s="6">
        <v>0</v>
      </c>
      <c r="X12" s="6" t="str">
        <v>NA</v>
      </c>
      <c r="Y12" s="6" t="str">
        <v>NA</v>
      </c>
      <c r="Z12" s="9" t="str">
        <v>NA</v>
      </c>
      <c r="AA12" s="8">
        <v>0</v>
      </c>
      <c r="AB12" s="6">
        <v>0</v>
      </c>
      <c r="AC12" s="6" t="str">
        <v>NA</v>
      </c>
      <c r="AD12" s="6" t="str">
        <v>NA</v>
      </c>
      <c r="AE12" s="9" t="str">
        <v>NA</v>
      </c>
    </row>
    <row r="13" spans="1:31" x14ac:dyDescent="0.3">
      <c r="A13" s="7">
        <v>2010992014</v>
      </c>
      <c r="B13" s="8">
        <v>0</v>
      </c>
      <c r="C13" s="6">
        <v>0</v>
      </c>
      <c r="D13" s="6" t="str">
        <v>NA</v>
      </c>
      <c r="E13" s="6" t="str">
        <v>NA</v>
      </c>
      <c r="F13" s="9" t="str">
        <v>Y</v>
      </c>
      <c r="G13" s="8">
        <v>0</v>
      </c>
      <c r="H13" s="6">
        <v>0</v>
      </c>
      <c r="I13" s="6" t="str">
        <v>NA</v>
      </c>
      <c r="J13" s="6" t="str">
        <v>NA</v>
      </c>
      <c r="K13" s="9" t="str">
        <v>NA</v>
      </c>
      <c r="L13" s="8">
        <v>0</v>
      </c>
      <c r="M13" s="6">
        <v>0</v>
      </c>
      <c r="N13" s="6" t="str">
        <v>NA</v>
      </c>
      <c r="O13" s="6" t="str">
        <v>NA</v>
      </c>
      <c r="P13" s="9" t="str">
        <v>NA</v>
      </c>
      <c r="Q13" s="8">
        <v>0</v>
      </c>
      <c r="R13" s="6">
        <v>0</v>
      </c>
      <c r="S13" s="6" t="str">
        <v>NA</v>
      </c>
      <c r="T13" s="6" t="str">
        <v>NA</v>
      </c>
      <c r="U13" s="9" t="str">
        <v>NA</v>
      </c>
      <c r="V13" s="8">
        <v>0</v>
      </c>
      <c r="W13" s="6">
        <v>0</v>
      </c>
      <c r="X13" s="6" t="str">
        <v>NA</v>
      </c>
      <c r="Y13" s="6" t="str">
        <v>NA</v>
      </c>
      <c r="Z13" s="9" t="str">
        <v>NA</v>
      </c>
      <c r="AA13" s="8">
        <v>0</v>
      </c>
      <c r="AB13" s="6">
        <v>0</v>
      </c>
      <c r="AC13" s="6" t="str">
        <v>NA</v>
      </c>
      <c r="AD13" s="6" t="str">
        <v>NA</v>
      </c>
      <c r="AE13" s="9" t="str">
        <v>NA</v>
      </c>
    </row>
    <row r="14" spans="1:31" x14ac:dyDescent="0.3">
      <c r="A14" s="7">
        <v>2010992015</v>
      </c>
      <c r="B14" s="8">
        <v>0</v>
      </c>
      <c r="C14" s="6">
        <v>0</v>
      </c>
      <c r="D14" s="6" t="str">
        <v>NA</v>
      </c>
      <c r="E14" s="6" t="str">
        <v>NA</v>
      </c>
      <c r="F14" s="9" t="str">
        <v>Y</v>
      </c>
      <c r="G14" s="8">
        <v>0</v>
      </c>
      <c r="H14" s="6">
        <v>0</v>
      </c>
      <c r="I14" s="6" t="str">
        <v>NA</v>
      </c>
      <c r="J14" s="6" t="str">
        <v>NA</v>
      </c>
      <c r="K14" s="9" t="str">
        <v>NA</v>
      </c>
      <c r="L14" s="8">
        <v>0</v>
      </c>
      <c r="M14" s="6">
        <v>0</v>
      </c>
      <c r="N14" s="6" t="str">
        <v>NA</v>
      </c>
      <c r="O14" s="6" t="str">
        <v>NA</v>
      </c>
      <c r="P14" s="9" t="str">
        <v>NA</v>
      </c>
      <c r="Q14" s="8">
        <v>0</v>
      </c>
      <c r="R14" s="6">
        <v>0</v>
      </c>
      <c r="S14" s="6" t="str">
        <v>NA</v>
      </c>
      <c r="T14" s="6" t="str">
        <v>NA</v>
      </c>
      <c r="U14" s="9" t="str">
        <v>NA</v>
      </c>
      <c r="V14" s="8">
        <v>0</v>
      </c>
      <c r="W14" s="6">
        <v>0</v>
      </c>
      <c r="X14" s="6" t="str">
        <v>NA</v>
      </c>
      <c r="Y14" s="6" t="str">
        <v>NA</v>
      </c>
      <c r="Z14" s="9" t="str">
        <v>NA</v>
      </c>
      <c r="AA14" s="8">
        <v>0</v>
      </c>
      <c r="AB14" s="6">
        <v>0</v>
      </c>
      <c r="AC14" s="6" t="str">
        <v>NA</v>
      </c>
      <c r="AD14" s="6" t="str">
        <v>NA</v>
      </c>
      <c r="AE14" s="9" t="str">
        <v>NA</v>
      </c>
    </row>
    <row r="15" spans="1:31" x14ac:dyDescent="0.3">
      <c r="A15" s="7">
        <v>2010992016</v>
      </c>
      <c r="B15" s="8">
        <v>0</v>
      </c>
      <c r="C15" s="6">
        <v>0</v>
      </c>
      <c r="D15" s="6" t="str">
        <v>NA</v>
      </c>
      <c r="E15" s="6" t="str">
        <v>NA</v>
      </c>
      <c r="F15" s="9" t="str">
        <v>Y</v>
      </c>
      <c r="G15" s="8">
        <v>0</v>
      </c>
      <c r="H15" s="6">
        <v>0</v>
      </c>
      <c r="I15" s="6" t="str">
        <v>NA</v>
      </c>
      <c r="J15" s="6" t="str">
        <v>NA</v>
      </c>
      <c r="K15" s="9" t="str">
        <v>NA</v>
      </c>
      <c r="L15" s="8">
        <v>0</v>
      </c>
      <c r="M15" s="6">
        <v>0</v>
      </c>
      <c r="N15" s="6" t="str">
        <v>NA</v>
      </c>
      <c r="O15" s="6" t="str">
        <v>NA</v>
      </c>
      <c r="P15" s="9" t="str">
        <v>NA</v>
      </c>
      <c r="Q15" s="8">
        <v>0</v>
      </c>
      <c r="R15" s="6">
        <v>0</v>
      </c>
      <c r="S15" s="6" t="str">
        <v>NA</v>
      </c>
      <c r="T15" s="6" t="str">
        <v>NA</v>
      </c>
      <c r="U15" s="9" t="str">
        <v>NA</v>
      </c>
      <c r="V15" s="8">
        <v>0</v>
      </c>
      <c r="W15" s="6">
        <v>0</v>
      </c>
      <c r="X15" s="6" t="str">
        <v>NA</v>
      </c>
      <c r="Y15" s="6" t="str">
        <v>NA</v>
      </c>
      <c r="Z15" s="9" t="str">
        <v>NA</v>
      </c>
      <c r="AA15" s="8">
        <v>0</v>
      </c>
      <c r="AB15" s="6">
        <v>0</v>
      </c>
      <c r="AC15" s="6" t="str">
        <v>NA</v>
      </c>
      <c r="AD15" s="6" t="str">
        <v>NA</v>
      </c>
      <c r="AE15" s="9" t="str">
        <v>NA</v>
      </c>
    </row>
    <row r="16" spans="1:31" x14ac:dyDescent="0.3">
      <c r="A16" s="7">
        <v>2010992017</v>
      </c>
      <c r="B16" s="8">
        <v>0</v>
      </c>
      <c r="C16" s="6">
        <v>0</v>
      </c>
      <c r="D16" s="6" t="str">
        <v>NA</v>
      </c>
      <c r="E16" s="6" t="str">
        <v>NA</v>
      </c>
      <c r="F16" s="9" t="str">
        <v>Y</v>
      </c>
      <c r="G16" s="8">
        <v>0</v>
      </c>
      <c r="H16" s="6">
        <v>0</v>
      </c>
      <c r="I16" s="6" t="str">
        <v>NA</v>
      </c>
      <c r="J16" s="6" t="str">
        <v>NA</v>
      </c>
      <c r="K16" s="9" t="str">
        <v>NA</v>
      </c>
      <c r="L16" s="8">
        <v>0</v>
      </c>
      <c r="M16" s="6">
        <v>0</v>
      </c>
      <c r="N16" s="6" t="str">
        <v>NA</v>
      </c>
      <c r="O16" s="6" t="str">
        <v>NA</v>
      </c>
      <c r="P16" s="9" t="str">
        <v>NA</v>
      </c>
      <c r="Q16" s="8">
        <v>0</v>
      </c>
      <c r="R16" s="6">
        <v>0</v>
      </c>
      <c r="S16" s="6" t="str">
        <v>NA</v>
      </c>
      <c r="T16" s="6" t="str">
        <v>NA</v>
      </c>
      <c r="U16" s="9" t="str">
        <v>NA</v>
      </c>
      <c r="V16" s="8">
        <v>0</v>
      </c>
      <c r="W16" s="6">
        <v>0</v>
      </c>
      <c r="X16" s="6" t="str">
        <v>NA</v>
      </c>
      <c r="Y16" s="6" t="str">
        <v>NA</v>
      </c>
      <c r="Z16" s="9" t="str">
        <v>NA</v>
      </c>
      <c r="AA16" s="8">
        <v>0</v>
      </c>
      <c r="AB16" s="6">
        <v>0</v>
      </c>
      <c r="AC16" s="6" t="str">
        <v>NA</v>
      </c>
      <c r="AD16" s="6" t="str">
        <v>NA</v>
      </c>
      <c r="AE16" s="9" t="str">
        <v>NA</v>
      </c>
    </row>
    <row r="17" spans="1:31" x14ac:dyDescent="0.3">
      <c r="A17" s="7">
        <v>2010992018</v>
      </c>
      <c r="B17" s="8">
        <v>0</v>
      </c>
      <c r="C17" s="6">
        <v>0</v>
      </c>
      <c r="D17" s="6" t="str">
        <v>NA</v>
      </c>
      <c r="E17" s="6" t="str">
        <v>NA</v>
      </c>
      <c r="F17" s="9" t="str">
        <v>Y</v>
      </c>
      <c r="G17" s="8">
        <v>0</v>
      </c>
      <c r="H17" s="6">
        <v>0</v>
      </c>
      <c r="I17" s="6" t="str">
        <v>NA</v>
      </c>
      <c r="J17" s="6" t="str">
        <v>NA</v>
      </c>
      <c r="K17" s="9" t="str">
        <v>NA</v>
      </c>
      <c r="L17" s="8">
        <v>0</v>
      </c>
      <c r="M17" s="6">
        <v>0</v>
      </c>
      <c r="N17" s="6" t="str">
        <v>NA</v>
      </c>
      <c r="O17" s="6" t="str">
        <v>NA</v>
      </c>
      <c r="P17" s="9" t="str">
        <v>NA</v>
      </c>
      <c r="Q17" s="8">
        <v>0</v>
      </c>
      <c r="R17" s="6">
        <v>0</v>
      </c>
      <c r="S17" s="6" t="str">
        <v>NA</v>
      </c>
      <c r="T17" s="6" t="str">
        <v>NA</v>
      </c>
      <c r="U17" s="9" t="str">
        <v>NA</v>
      </c>
      <c r="V17" s="8">
        <v>0</v>
      </c>
      <c r="W17" s="6">
        <v>0</v>
      </c>
      <c r="X17" s="6" t="str">
        <v>NA</v>
      </c>
      <c r="Y17" s="6" t="str">
        <v>NA</v>
      </c>
      <c r="Z17" s="9" t="str">
        <v>NA</v>
      </c>
      <c r="AA17" s="8">
        <v>0</v>
      </c>
      <c r="AB17" s="6">
        <v>0</v>
      </c>
      <c r="AC17" s="6" t="str">
        <v>NA</v>
      </c>
      <c r="AD17" s="6" t="str">
        <v>NA</v>
      </c>
      <c r="AE17" s="9" t="str">
        <v>NA</v>
      </c>
    </row>
    <row r="18" spans="1:31" x14ac:dyDescent="0.3">
      <c r="A18" s="7">
        <v>2010992019</v>
      </c>
      <c r="B18" s="8">
        <v>0</v>
      </c>
      <c r="C18" s="6">
        <v>0</v>
      </c>
      <c r="D18" s="6" t="str">
        <v>NA</v>
      </c>
      <c r="E18" s="6" t="str">
        <v>NA</v>
      </c>
      <c r="F18" s="9" t="str">
        <v>Y</v>
      </c>
      <c r="G18" s="8">
        <v>0</v>
      </c>
      <c r="H18" s="6">
        <v>0</v>
      </c>
      <c r="I18" s="6" t="str">
        <v>NA</v>
      </c>
      <c r="J18" s="6" t="str">
        <v>NA</v>
      </c>
      <c r="K18" s="9" t="str">
        <v>NA</v>
      </c>
      <c r="L18" s="8">
        <v>0</v>
      </c>
      <c r="M18" s="6">
        <v>0</v>
      </c>
      <c r="N18" s="6" t="str">
        <v>NA</v>
      </c>
      <c r="O18" s="6" t="str">
        <v>NA</v>
      </c>
      <c r="P18" s="9" t="str">
        <v>NA</v>
      </c>
      <c r="Q18" s="8">
        <v>0</v>
      </c>
      <c r="R18" s="6">
        <v>0</v>
      </c>
      <c r="S18" s="6" t="str">
        <v>NA</v>
      </c>
      <c r="T18" s="6" t="str">
        <v>NA</v>
      </c>
      <c r="U18" s="9" t="str">
        <v>NA</v>
      </c>
      <c r="V18" s="8">
        <v>0</v>
      </c>
      <c r="W18" s="6">
        <v>0</v>
      </c>
      <c r="X18" s="6" t="str">
        <v>NA</v>
      </c>
      <c r="Y18" s="6" t="str">
        <v>NA</v>
      </c>
      <c r="Z18" s="9" t="str">
        <v>NA</v>
      </c>
      <c r="AA18" s="8">
        <v>0</v>
      </c>
      <c r="AB18" s="6">
        <v>0</v>
      </c>
      <c r="AC18" s="6" t="str">
        <v>NA</v>
      </c>
      <c r="AD18" s="6" t="str">
        <v>NA</v>
      </c>
      <c r="AE18" s="9" t="str">
        <v>NA</v>
      </c>
    </row>
    <row r="19" spans="1:31" x14ac:dyDescent="0.3">
      <c r="A19" s="7">
        <v>2010992163</v>
      </c>
      <c r="B19" s="8">
        <v>0</v>
      </c>
      <c r="C19" s="6">
        <v>0</v>
      </c>
      <c r="D19" s="6" t="str">
        <v>NA</v>
      </c>
      <c r="E19" s="6" t="str">
        <v>NA</v>
      </c>
      <c r="F19" s="9" t="str">
        <v>Y</v>
      </c>
      <c r="G19" s="8">
        <v>0</v>
      </c>
      <c r="H19" s="6">
        <v>0</v>
      </c>
      <c r="I19" s="6" t="str">
        <v>NA</v>
      </c>
      <c r="J19" s="6" t="str">
        <v>NA</v>
      </c>
      <c r="K19" s="9" t="str">
        <v>NA</v>
      </c>
      <c r="L19" s="8">
        <v>0</v>
      </c>
      <c r="M19" s="6">
        <v>0</v>
      </c>
      <c r="N19" s="6" t="str">
        <v>NA</v>
      </c>
      <c r="O19" s="6" t="str">
        <v>NA</v>
      </c>
      <c r="P19" s="9" t="str">
        <v>NA</v>
      </c>
      <c r="Q19" s="8">
        <v>0</v>
      </c>
      <c r="R19" s="6">
        <v>0</v>
      </c>
      <c r="S19" s="6" t="str">
        <v>NA</v>
      </c>
      <c r="T19" s="6" t="str">
        <v>NA</v>
      </c>
      <c r="U19" s="9" t="str">
        <v>NA</v>
      </c>
      <c r="V19" s="8">
        <v>0</v>
      </c>
      <c r="W19" s="6">
        <v>0</v>
      </c>
      <c r="X19" s="6" t="str">
        <v>NA</v>
      </c>
      <c r="Y19" s="6" t="str">
        <v>NA</v>
      </c>
      <c r="Z19" s="9" t="str">
        <v>NA</v>
      </c>
      <c r="AA19" s="8">
        <v>0</v>
      </c>
      <c r="AB19" s="6">
        <v>0</v>
      </c>
      <c r="AC19" s="6" t="str">
        <v>NA</v>
      </c>
      <c r="AD19" s="6" t="str">
        <v>NA</v>
      </c>
      <c r="AE19" s="9" t="str">
        <v>NA</v>
      </c>
    </row>
    <row r="20" spans="1:31" x14ac:dyDescent="0.3">
      <c r="A20" s="7">
        <v>2010992202</v>
      </c>
      <c r="B20" s="8">
        <v>0</v>
      </c>
      <c r="C20" s="6">
        <v>0</v>
      </c>
      <c r="D20" s="6" t="str">
        <v>NA</v>
      </c>
      <c r="E20" s="6" t="str">
        <v>NA</v>
      </c>
      <c r="F20" s="9" t="str">
        <v>Y</v>
      </c>
      <c r="G20" s="8">
        <v>0</v>
      </c>
      <c r="H20" s="6">
        <v>0</v>
      </c>
      <c r="I20" s="6" t="str">
        <v>NA</v>
      </c>
      <c r="J20" s="6" t="str">
        <v>NA</v>
      </c>
      <c r="K20" s="9" t="str">
        <v>NA</v>
      </c>
      <c r="L20" s="8">
        <v>0</v>
      </c>
      <c r="M20" s="6">
        <v>0</v>
      </c>
      <c r="N20" s="6" t="str">
        <v>NA</v>
      </c>
      <c r="O20" s="6" t="str">
        <v>NA</v>
      </c>
      <c r="P20" s="9" t="str">
        <v>NA</v>
      </c>
      <c r="Q20" s="8">
        <v>0</v>
      </c>
      <c r="R20" s="6">
        <v>0</v>
      </c>
      <c r="S20" s="6" t="str">
        <v>NA</v>
      </c>
      <c r="T20" s="6" t="str">
        <v>NA</v>
      </c>
      <c r="U20" s="9" t="str">
        <v>NA</v>
      </c>
      <c r="V20" s="8">
        <v>0</v>
      </c>
      <c r="W20" s="6">
        <v>0</v>
      </c>
      <c r="X20" s="6" t="str">
        <v>NA</v>
      </c>
      <c r="Y20" s="6" t="str">
        <v>NA</v>
      </c>
      <c r="Z20" s="9" t="str">
        <v>NA</v>
      </c>
      <c r="AA20" s="8">
        <v>0</v>
      </c>
      <c r="AB20" s="6">
        <v>0</v>
      </c>
      <c r="AC20" s="6" t="str">
        <v>NA</v>
      </c>
      <c r="AD20" s="6" t="str">
        <v>NA</v>
      </c>
      <c r="AE20" s="9" t="str">
        <v>NA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22463-6078-4F99-AF09-A7271E113703}">
  <dimension ref="A1:AE20"/>
  <sheetViews>
    <sheetView topLeftCell="P2" workbookViewId="0">
      <selection activeCell="Y22" sqref="Y21:Y22"/>
    </sheetView>
  </sheetViews>
  <sheetFormatPr defaultRowHeight="14.4" x14ac:dyDescent="0.3"/>
  <cols>
    <col min="1" max="1" width="21" style="7" bestFit="1" customWidth="1"/>
    <col min="2" max="2" width="12.33203125" style="8" bestFit="1" customWidth="1"/>
    <col min="3" max="5" width="9.109375" style="6"/>
    <col min="6" max="6" width="9.109375" style="9"/>
    <col min="7" max="7" width="9.109375" style="8"/>
    <col min="8" max="10" width="9.109375" style="6"/>
    <col min="11" max="11" width="9.109375" style="9"/>
    <col min="12" max="12" width="9.109375" style="8"/>
    <col min="13" max="15" width="9.109375" style="6"/>
    <col min="16" max="16" width="9.109375" style="9"/>
    <col min="17" max="17" width="9.109375" style="8"/>
    <col min="18" max="20" width="9.109375" style="6"/>
    <col min="21" max="21" width="9.109375" style="9"/>
    <col min="22" max="22" width="9.109375" style="8"/>
    <col min="23" max="25" width="9.109375" style="6"/>
    <col min="26" max="26" width="9.109375" style="9"/>
    <col min="27" max="27" width="9.109375" style="8"/>
    <col min="28" max="30" width="9.109375" style="6"/>
    <col min="31" max="31" width="9.109375" style="9"/>
  </cols>
  <sheetData>
    <row r="1" spans="1:31" ht="15" thickBot="1" x14ac:dyDescent="0.35">
      <c r="A1" s="7" t="s">
        <v>11</v>
      </c>
      <c r="B1" s="4" t="s">
        <v>0</v>
      </c>
      <c r="C1" s="1" t="s">
        <v>0</v>
      </c>
      <c r="D1" s="1" t="s">
        <v>0</v>
      </c>
      <c r="E1" s="1" t="s">
        <v>0</v>
      </c>
      <c r="F1" s="2" t="s">
        <v>0</v>
      </c>
      <c r="G1" s="4" t="s">
        <v>1</v>
      </c>
      <c r="H1" s="1" t="s">
        <v>1</v>
      </c>
      <c r="I1" s="3" t="s">
        <v>1</v>
      </c>
      <c r="J1" s="1" t="s">
        <v>1</v>
      </c>
      <c r="K1" s="2" t="s">
        <v>1</v>
      </c>
      <c r="L1" s="4" t="s">
        <v>2</v>
      </c>
      <c r="M1" s="1" t="s">
        <v>2</v>
      </c>
      <c r="N1" s="1" t="s">
        <v>2</v>
      </c>
      <c r="O1" s="1" t="s">
        <v>2</v>
      </c>
      <c r="P1" s="2" t="s">
        <v>2</v>
      </c>
      <c r="Q1" s="4" t="s">
        <v>3</v>
      </c>
      <c r="R1" s="1" t="s">
        <v>3</v>
      </c>
      <c r="S1" s="1" t="s">
        <v>3</v>
      </c>
      <c r="T1" s="1" t="s">
        <v>3</v>
      </c>
      <c r="U1" s="2" t="s">
        <v>3</v>
      </c>
      <c r="V1" s="4" t="s">
        <v>9</v>
      </c>
      <c r="W1" s="1" t="s">
        <v>9</v>
      </c>
      <c r="X1" s="1" t="s">
        <v>9</v>
      </c>
      <c r="Y1" s="1" t="s">
        <v>9</v>
      </c>
      <c r="Z1" s="2" t="s">
        <v>9</v>
      </c>
      <c r="AA1" s="4" t="s">
        <v>10</v>
      </c>
      <c r="AB1" s="1" t="s">
        <v>10</v>
      </c>
      <c r="AC1" s="1" t="s">
        <v>10</v>
      </c>
      <c r="AD1" s="1" t="s">
        <v>10</v>
      </c>
      <c r="AE1" s="2" t="s">
        <v>10</v>
      </c>
    </row>
    <row r="2" spans="1:31" ht="15" thickBot="1" x14ac:dyDescent="0.35">
      <c r="A2" s="12" t="str" cm="1">
        <f t="array" ref="A2:A20">'[1]ST3 Result'!$B$1:INDEX('[1]ST3 Result'!$B:$B,COUNTA('[1]ST3 Result'!$B:$B))</f>
        <v>Admission No. (Roll No.)</v>
      </c>
      <c r="B2" s="4" t="s">
        <v>4</v>
      </c>
      <c r="C2" s="1" t="s">
        <v>5</v>
      </c>
      <c r="D2" s="13" t="s">
        <v>6</v>
      </c>
      <c r="E2" s="1" t="s">
        <v>7</v>
      </c>
      <c r="F2" s="2" t="s">
        <v>8</v>
      </c>
      <c r="G2" s="4" t="s">
        <v>4</v>
      </c>
      <c r="H2" s="1" t="s">
        <v>5</v>
      </c>
      <c r="I2" s="13" t="s">
        <v>6</v>
      </c>
      <c r="J2" s="1" t="s">
        <v>7</v>
      </c>
      <c r="K2" s="2" t="s">
        <v>8</v>
      </c>
      <c r="L2" s="4" t="s">
        <v>4</v>
      </c>
      <c r="M2" s="1" t="s">
        <v>5</v>
      </c>
      <c r="N2" s="13" t="s">
        <v>6</v>
      </c>
      <c r="O2" s="1" t="s">
        <v>7</v>
      </c>
      <c r="P2" s="2" t="s">
        <v>8</v>
      </c>
      <c r="Q2" s="4" t="s">
        <v>4</v>
      </c>
      <c r="R2" s="1" t="s">
        <v>5</v>
      </c>
      <c r="S2" s="13" t="s">
        <v>6</v>
      </c>
      <c r="T2" s="1" t="s">
        <v>7</v>
      </c>
      <c r="U2" s="2" t="s">
        <v>8</v>
      </c>
      <c r="V2" s="4" t="s">
        <v>4</v>
      </c>
      <c r="W2" s="1" t="s">
        <v>5</v>
      </c>
      <c r="X2" s="13" t="s">
        <v>6</v>
      </c>
      <c r="Y2" s="1" t="s">
        <v>7</v>
      </c>
      <c r="Z2" s="2" t="s">
        <v>8</v>
      </c>
      <c r="AA2" s="4" t="s">
        <v>4</v>
      </c>
      <c r="AB2" s="1" t="s">
        <v>5</v>
      </c>
      <c r="AC2" s="13" t="s">
        <v>6</v>
      </c>
      <c r="AD2" s="1" t="s">
        <v>7</v>
      </c>
      <c r="AE2" s="2" t="s">
        <v>8</v>
      </c>
    </row>
    <row r="3" spans="1:31" x14ac:dyDescent="0.3">
      <c r="A3" s="10">
        <v>2010990089</v>
      </c>
      <c r="B3" s="11" cm="1">
        <f t="array" ref="B3:B20">'[1]ST3 Student MO CO Score'!$B$2:INDEX('[1]ST3 Student MO CO Score'!$B:$B,COUNTA('[1]ST3 Student MO CO Score'!$B:$B))</f>
        <v>0</v>
      </c>
      <c r="C3" s="5" cm="1">
        <f t="array" ref="C3:C20">'[1]ST3 Student Attained CO Score'!$B$2:INDEX('[1]ST3 Student Attained CO Score'!$B:$B,COUNTA('[1]ST3 Student Attained CO Score'!$B:$B))</f>
        <v>0</v>
      </c>
      <c r="D3" s="5" t="str" cm="1">
        <f t="array" ref="D3:D20">IFERROR(ROUND('[1]ST3 Student Attainment percent'!$B$2:INDEX('[1]ST3 Student Attainment percent'!$B:$B,COUNTA('[1]ST3 Student Attainment percent'!$B:$B)),2),"NA")</f>
        <v>NA</v>
      </c>
      <c r="E3" s="5" t="str" cm="1">
        <f t="array" ref="E3:E20">'[1]ST3 CO Attainment Score'!$B$2:INDEX('[1]ST3 CO Attainment Score'!$B:$B,COUNTA('[1]ST3 CO Attainment Score'!$B:$B))</f>
        <v>NA</v>
      </c>
      <c r="F3" s="9" t="str" cm="1">
        <f t="array" ref="F3:F20">'[1]ST3 Target Attained'!$B$2:INDEX('[1]ST3 Target Attained'!$B:$B,COUNTA('[1]ST3 Target Attained'!$B:$B))</f>
        <v>NA</v>
      </c>
      <c r="G3" s="11" cm="1">
        <f t="array" ref="G3:G20">'[1]ST3 Student MO CO Score'!$C$2:INDEX('[1]ST3 Student MO CO Score'!$C:$C,COUNTA('[1]ST3 Student MO CO Score'!$C:$C))</f>
        <v>0</v>
      </c>
      <c r="H3" s="5" cm="1">
        <f t="array" ref="H3:H20">'[1]ST3 Student Attained CO Score'!$C$2:INDEX('[1]ST3 Student Attained CO Score'!$C:$C,COUNTA('[1]ST3 Student Attained CO Score'!$C:$C))</f>
        <v>0</v>
      </c>
      <c r="I3" s="5" t="str" cm="1">
        <f t="array" ref="I3:I20">IFERROR(ROUND('[1]ST3 Student Attainment percent'!$C$2:INDEX('[1]ST3 Student Attainment percent'!$C:$C,COUNTA('[1]ST3 Student Attainment percent'!$C:$C)),2),"NA")</f>
        <v>NA</v>
      </c>
      <c r="J3" s="5" t="str" cm="1">
        <f t="array" ref="J3:J20">'[1]ST3 CO Attainment Score'!$C$2:INDEX('[1]ST3 CO Attainment Score'!$C:$C,COUNTA('[1]ST3 CO Attainment Score'!$C:$C))</f>
        <v>NA</v>
      </c>
      <c r="K3" s="9" t="str" cm="1">
        <f t="array" ref="K3:K20">'[1]ST3 Target Attained'!$C$2:INDEX('[1]ST3 Target Attained'!$C:$C,COUNTA('[1]ST3 Target Attained'!$C:$C))</f>
        <v>NA</v>
      </c>
      <c r="L3" s="11" cm="1">
        <f t="array" ref="L3:L20">'[1]ST3 Student MO CO Score'!$D$2:INDEX('[1]ST3 Student MO CO Score'!$D:$D,COUNTA('[1]ST3 Student MO CO Score'!$D:$D))</f>
        <v>0</v>
      </c>
      <c r="M3" s="5" cm="1">
        <f t="array" ref="M3:M20">'[1]ST3 Student Attained CO Score'!$D$2:INDEX('[1]ST3 Student Attained CO Score'!$D:$D,COUNTA('[1]ST3 Student Attained CO Score'!$D:$D))</f>
        <v>0</v>
      </c>
      <c r="N3" s="5" t="str" cm="1">
        <f t="array" ref="N3:N20">IFERROR(ROUND('[1]ST3 Student Attainment percent'!$D$2:INDEX('[1]ST3 Student Attainment percent'!$D:$D,COUNTA('[1]ST3 Student Attainment percent'!$D:$D)),2),"NA")</f>
        <v>NA</v>
      </c>
      <c r="O3" s="5" t="str" cm="1">
        <f t="array" ref="O3:O20">'[1]ST3 CO Attainment Score'!$D$2:INDEX('[1]ST3 CO Attainment Score'!$D:$D,COUNTA('[1]ST3 CO Attainment Score'!$D:$D))</f>
        <v>NA</v>
      </c>
      <c r="P3" s="9" t="str" cm="1">
        <f t="array" ref="P3:P20">'[1]ST3 Target Attained'!$D$2:INDEX('[1]ST3 Target Attained'!$D:$D,COUNTA('[1]ST3 Target Attained'!$D:$D))</f>
        <v>NA</v>
      </c>
      <c r="Q3" s="11" cm="1">
        <f t="array" ref="Q3:Q20">'[1]ST3 Student MO CO Score'!$E$2:INDEX('[1]ST3 Student MO CO Score'!$E:$E,COUNTA('[1]ST3 Student MO CO Score'!$E:$E))</f>
        <v>0</v>
      </c>
      <c r="R3" s="5" cm="1">
        <f t="array" ref="R3:R20">'[1]ST3 Student Attained CO Score'!$E$2:INDEX('[1]ST3 Student Attained CO Score'!$E:$E,COUNTA('[1]ST3 Student Attained CO Score'!$E:$E))</f>
        <v>0</v>
      </c>
      <c r="S3" s="5" t="str" cm="1">
        <f t="array" ref="S3:S20">IFERROR(ROUND('[1]ST3 Student Attainment percent'!$E$2:INDEX('[1]ST3 Student Attainment percent'!$E:$E,COUNTA('[1]ST3 Student Attainment percent'!$E:$E)),2),"NA")</f>
        <v>NA</v>
      </c>
      <c r="T3" s="5" t="str" cm="1">
        <f t="array" ref="T3:T20">'[1]ST3 CO Attainment Score'!$E$2:INDEX('[1]ST3 CO Attainment Score'!$E:$E,COUNTA('[1]ST3 CO Attainment Score'!$E:$E))</f>
        <v>NA</v>
      </c>
      <c r="U3" s="9" t="str" cm="1">
        <f t="array" ref="U3:U20">'[1]ST3 Target Attained'!$E$2:INDEX('[1]ST3 Target Attained'!$E:$E,COUNTA('[1]ST3 Target Attained'!$E:$E))</f>
        <v>NA</v>
      </c>
      <c r="V3" s="11" cm="1">
        <f t="array" ref="V3:V20">'[1]ST3 Student MO CO Score'!$F$2:INDEX('[1]ST3 Student MO CO Score'!$F:$F,COUNTA('[1]ST3 Student MO CO Score'!$F:$F))</f>
        <v>0</v>
      </c>
      <c r="W3" s="5" cm="1">
        <f t="array" ref="W3:W20">'[1]ST3 Student Attained CO Score'!$F$2:INDEX('[1]ST3 Student Attained CO Score'!$F:$F,COUNTA('[1]ST3 Student Attained CO Score'!$F:$F))</f>
        <v>0</v>
      </c>
      <c r="X3" s="5" t="str" cm="1">
        <f t="array" ref="X3:X20">IFERROR(ROUND('[1]ST3 Student Attainment percent'!$F$2:INDEX('[1]ST3 Student Attainment percent'!$F:$F,COUNTA('[1]ST3 Student Attainment percent'!$F:$F)),2),"NA")</f>
        <v>NA</v>
      </c>
      <c r="Y3" s="5" t="str" cm="1">
        <f t="array" ref="Y3:Y20">'[1]ST3 CO Attainment Score'!$F$2:INDEX('[1]ST3 CO Attainment Score'!$F:$F,COUNTA('[1]ST3 CO Attainment Score'!$F:$F))</f>
        <v>NA</v>
      </c>
      <c r="Z3" s="9" t="str" cm="1">
        <f t="array" ref="Z3:Z20">'[1]ST3 Target Attained'!$F$2:INDEX('[1]ST3 Target Attained'!$F:$F,COUNTA('[1]ST3 Target Attained'!$F:$F))</f>
        <v>NA</v>
      </c>
      <c r="AA3" s="11" cm="1">
        <f t="array" ref="AA3:AA20">'[1]ST3 Student MO CO Score'!$G$2:INDEX('[1]ST3 Student MO CO Score'!$G:$G,COUNTA('[1]ST3 Student MO CO Score'!$G:$G))</f>
        <v>0</v>
      </c>
      <c r="AB3" s="5" cm="1">
        <f t="array" ref="AB3:AB20">'[1]ST3 Student Attained CO Score'!$G$2:INDEX('[1]ST3 Student Attained CO Score'!$G:$G,COUNTA('[1]ST3 Student Attained CO Score'!$G:$G))</f>
        <v>0</v>
      </c>
      <c r="AC3" s="5" t="str" cm="1">
        <f t="array" ref="AC3:AC20">IFERROR(ROUND('[1]ST3 Student Attainment percent'!$G$2:INDEX('[1]ST3 Student Attainment percent'!$G:$G,COUNTA('[1]ST3 Student Attainment percent'!$G:$G)),2),"NA")</f>
        <v>NA</v>
      </c>
      <c r="AD3" s="5" t="str" cm="1">
        <f t="array" ref="AD3:AD20">'[1]ST3 CO Attainment Score'!$G$2:INDEX('[1]ST3 CO Attainment Score'!$G:$G,COUNTA('[1]ST3 CO Attainment Score'!$G:$G))</f>
        <v>NA</v>
      </c>
      <c r="AE3" s="9" t="str" cm="1">
        <f t="array" ref="AE3:AE20">'[1]ST3 Target Attained'!$G$2:INDEX('[1]ST3 Target Attained'!$G:$G,COUNTA('[1]ST3 Target Attained'!$G:$G))</f>
        <v>NA</v>
      </c>
    </row>
    <row r="4" spans="1:31" x14ac:dyDescent="0.3">
      <c r="A4" s="7">
        <v>2010992002</v>
      </c>
      <c r="B4" s="8">
        <v>0</v>
      </c>
      <c r="C4" s="6">
        <v>0</v>
      </c>
      <c r="D4" s="6" t="str">
        <v>NA</v>
      </c>
      <c r="E4" s="6" t="str">
        <v>NA</v>
      </c>
      <c r="F4" s="9" t="str">
        <v>NA</v>
      </c>
      <c r="G4" s="8">
        <v>0</v>
      </c>
      <c r="H4" s="6">
        <v>0</v>
      </c>
      <c r="I4" s="6" t="str">
        <v>NA</v>
      </c>
      <c r="J4" s="6" t="str">
        <v>NA</v>
      </c>
      <c r="K4" s="9" t="str">
        <v>NA</v>
      </c>
      <c r="L4" s="8">
        <v>0</v>
      </c>
      <c r="M4" s="6">
        <v>0</v>
      </c>
      <c r="N4" s="6" t="str">
        <v>NA</v>
      </c>
      <c r="O4" s="6" t="str">
        <v>NA</v>
      </c>
      <c r="P4" s="9" t="str">
        <v>NA</v>
      </c>
      <c r="Q4" s="8">
        <v>0</v>
      </c>
      <c r="R4" s="6">
        <v>0</v>
      </c>
      <c r="S4" s="6" t="str">
        <v>NA</v>
      </c>
      <c r="T4" s="6" t="str">
        <v>NA</v>
      </c>
      <c r="U4" s="9" t="str">
        <v>NA</v>
      </c>
      <c r="V4" s="8">
        <v>0</v>
      </c>
      <c r="W4" s="6">
        <v>0</v>
      </c>
      <c r="X4" s="6" t="str">
        <v>NA</v>
      </c>
      <c r="Y4" s="6" t="str">
        <v>NA</v>
      </c>
      <c r="Z4" s="9" t="str">
        <v>NA</v>
      </c>
      <c r="AA4" s="8">
        <v>0</v>
      </c>
      <c r="AB4" s="6">
        <v>0</v>
      </c>
      <c r="AC4" s="6" t="str">
        <v>NA</v>
      </c>
      <c r="AD4" s="6" t="str">
        <v>NA</v>
      </c>
      <c r="AE4" s="9" t="str">
        <v>NA</v>
      </c>
    </row>
    <row r="5" spans="1:31" x14ac:dyDescent="0.3">
      <c r="A5" s="7">
        <v>2010992004</v>
      </c>
      <c r="B5" s="8">
        <v>0</v>
      </c>
      <c r="C5" s="6">
        <v>0</v>
      </c>
      <c r="D5" s="6" t="str">
        <v>NA</v>
      </c>
      <c r="E5" s="6" t="str">
        <v>NA</v>
      </c>
      <c r="F5" s="9" t="str">
        <v>NA</v>
      </c>
      <c r="G5" s="8">
        <v>0</v>
      </c>
      <c r="H5" s="6">
        <v>0</v>
      </c>
      <c r="I5" s="6" t="str">
        <v>NA</v>
      </c>
      <c r="J5" s="6" t="str">
        <v>NA</v>
      </c>
      <c r="K5" s="9" t="str">
        <v>NA</v>
      </c>
      <c r="L5" s="8">
        <v>0</v>
      </c>
      <c r="M5" s="6">
        <v>0</v>
      </c>
      <c r="N5" s="6" t="str">
        <v>NA</v>
      </c>
      <c r="O5" s="6" t="str">
        <v>NA</v>
      </c>
      <c r="P5" s="9" t="str">
        <v>NA</v>
      </c>
      <c r="Q5" s="8">
        <v>0</v>
      </c>
      <c r="R5" s="6">
        <v>0</v>
      </c>
      <c r="S5" s="6" t="str">
        <v>NA</v>
      </c>
      <c r="T5" s="6" t="str">
        <v>NA</v>
      </c>
      <c r="U5" s="9" t="str">
        <v>NA</v>
      </c>
      <c r="V5" s="8">
        <v>0</v>
      </c>
      <c r="W5" s="6">
        <v>0</v>
      </c>
      <c r="X5" s="6" t="str">
        <v>NA</v>
      </c>
      <c r="Y5" s="6" t="str">
        <v>NA</v>
      </c>
      <c r="Z5" s="9" t="str">
        <v>NA</v>
      </c>
      <c r="AA5" s="8">
        <v>0</v>
      </c>
      <c r="AB5" s="6">
        <v>0</v>
      </c>
      <c r="AC5" s="6" t="str">
        <v>NA</v>
      </c>
      <c r="AD5" s="6" t="str">
        <v>NA</v>
      </c>
      <c r="AE5" s="9" t="str">
        <v>NA</v>
      </c>
    </row>
    <row r="6" spans="1:31" x14ac:dyDescent="0.3">
      <c r="A6" s="7">
        <v>2010992005</v>
      </c>
      <c r="B6" s="8">
        <v>0</v>
      </c>
      <c r="C6" s="6">
        <v>0</v>
      </c>
      <c r="D6" s="6" t="str">
        <v>NA</v>
      </c>
      <c r="E6" s="6" t="str">
        <v>NA</v>
      </c>
      <c r="F6" s="9" t="str">
        <v>NA</v>
      </c>
      <c r="G6" s="8">
        <v>0</v>
      </c>
      <c r="H6" s="6">
        <v>0</v>
      </c>
      <c r="I6" s="6" t="str">
        <v>NA</v>
      </c>
      <c r="J6" s="6" t="str">
        <v>NA</v>
      </c>
      <c r="K6" s="9" t="str">
        <v>NA</v>
      </c>
      <c r="L6" s="8">
        <v>0</v>
      </c>
      <c r="M6" s="6">
        <v>0</v>
      </c>
      <c r="N6" s="6" t="str">
        <v>NA</v>
      </c>
      <c r="O6" s="6" t="str">
        <v>NA</v>
      </c>
      <c r="P6" s="9" t="str">
        <v>NA</v>
      </c>
      <c r="Q6" s="8">
        <v>0</v>
      </c>
      <c r="R6" s="6">
        <v>0</v>
      </c>
      <c r="S6" s="6" t="str">
        <v>NA</v>
      </c>
      <c r="T6" s="6" t="str">
        <v>NA</v>
      </c>
      <c r="U6" s="9" t="str">
        <v>NA</v>
      </c>
      <c r="V6" s="8">
        <v>0</v>
      </c>
      <c r="W6" s="6">
        <v>0</v>
      </c>
      <c r="X6" s="6" t="str">
        <v>NA</v>
      </c>
      <c r="Y6" s="6" t="str">
        <v>NA</v>
      </c>
      <c r="Z6" s="9" t="str">
        <v>NA</v>
      </c>
      <c r="AA6" s="8">
        <v>0</v>
      </c>
      <c r="AB6" s="6">
        <v>0</v>
      </c>
      <c r="AC6" s="6" t="str">
        <v>NA</v>
      </c>
      <c r="AD6" s="6" t="str">
        <v>NA</v>
      </c>
      <c r="AE6" s="9" t="str">
        <v>NA</v>
      </c>
    </row>
    <row r="7" spans="1:31" x14ac:dyDescent="0.3">
      <c r="A7" s="7">
        <v>2010992006</v>
      </c>
      <c r="B7" s="8">
        <v>0</v>
      </c>
      <c r="C7" s="6">
        <v>0</v>
      </c>
      <c r="D7" s="6" t="str">
        <v>NA</v>
      </c>
      <c r="E7" s="6" t="str">
        <v>NA</v>
      </c>
      <c r="F7" s="9" t="str">
        <v>NA</v>
      </c>
      <c r="G7" s="8">
        <v>0</v>
      </c>
      <c r="H7" s="6">
        <v>0</v>
      </c>
      <c r="I7" s="6" t="str">
        <v>NA</v>
      </c>
      <c r="J7" s="6" t="str">
        <v>NA</v>
      </c>
      <c r="K7" s="9" t="str">
        <v>NA</v>
      </c>
      <c r="L7" s="8">
        <v>0</v>
      </c>
      <c r="M7" s="6">
        <v>0</v>
      </c>
      <c r="N7" s="6" t="str">
        <v>NA</v>
      </c>
      <c r="O7" s="6" t="str">
        <v>NA</v>
      </c>
      <c r="P7" s="9" t="str">
        <v>NA</v>
      </c>
      <c r="Q7" s="8">
        <v>0</v>
      </c>
      <c r="R7" s="6">
        <v>0</v>
      </c>
      <c r="S7" s="6" t="str">
        <v>NA</v>
      </c>
      <c r="T7" s="6" t="str">
        <v>NA</v>
      </c>
      <c r="U7" s="9" t="str">
        <v>NA</v>
      </c>
      <c r="V7" s="8">
        <v>0</v>
      </c>
      <c r="W7" s="6">
        <v>0</v>
      </c>
      <c r="X7" s="6" t="str">
        <v>NA</v>
      </c>
      <c r="Y7" s="6" t="str">
        <v>NA</v>
      </c>
      <c r="Z7" s="9" t="str">
        <v>NA</v>
      </c>
      <c r="AA7" s="8">
        <v>0</v>
      </c>
      <c r="AB7" s="6">
        <v>0</v>
      </c>
      <c r="AC7" s="6" t="str">
        <v>NA</v>
      </c>
      <c r="AD7" s="6" t="str">
        <v>NA</v>
      </c>
      <c r="AE7" s="9" t="str">
        <v>NA</v>
      </c>
    </row>
    <row r="8" spans="1:31" x14ac:dyDescent="0.3">
      <c r="A8" s="7">
        <v>2010992008</v>
      </c>
      <c r="B8" s="8">
        <v>0</v>
      </c>
      <c r="C8" s="6">
        <v>0</v>
      </c>
      <c r="D8" s="6" t="str">
        <v>NA</v>
      </c>
      <c r="E8" s="6" t="str">
        <v>NA</v>
      </c>
      <c r="F8" s="9" t="str">
        <v>NA</v>
      </c>
      <c r="G8" s="8">
        <v>0</v>
      </c>
      <c r="H8" s="6">
        <v>0</v>
      </c>
      <c r="I8" s="6" t="str">
        <v>NA</v>
      </c>
      <c r="J8" s="6" t="str">
        <v>NA</v>
      </c>
      <c r="K8" s="9" t="str">
        <v>NA</v>
      </c>
      <c r="L8" s="8">
        <v>0</v>
      </c>
      <c r="M8" s="6">
        <v>0</v>
      </c>
      <c r="N8" s="6" t="str">
        <v>NA</v>
      </c>
      <c r="O8" s="6" t="str">
        <v>NA</v>
      </c>
      <c r="P8" s="9" t="str">
        <v>NA</v>
      </c>
      <c r="Q8" s="8">
        <v>0</v>
      </c>
      <c r="R8" s="6">
        <v>0</v>
      </c>
      <c r="S8" s="6" t="str">
        <v>NA</v>
      </c>
      <c r="T8" s="6" t="str">
        <v>NA</v>
      </c>
      <c r="U8" s="9" t="str">
        <v>NA</v>
      </c>
      <c r="V8" s="8">
        <v>0</v>
      </c>
      <c r="W8" s="6">
        <v>0</v>
      </c>
      <c r="X8" s="6" t="str">
        <v>NA</v>
      </c>
      <c r="Y8" s="6" t="str">
        <v>NA</v>
      </c>
      <c r="Z8" s="9" t="str">
        <v>NA</v>
      </c>
      <c r="AA8" s="8">
        <v>0</v>
      </c>
      <c r="AB8" s="6">
        <v>0</v>
      </c>
      <c r="AC8" s="6" t="str">
        <v>NA</v>
      </c>
      <c r="AD8" s="6" t="str">
        <v>NA</v>
      </c>
      <c r="AE8" s="9" t="str">
        <v>NA</v>
      </c>
    </row>
    <row r="9" spans="1:31" x14ac:dyDescent="0.3">
      <c r="A9" s="7">
        <v>2010992009</v>
      </c>
      <c r="B9" s="8">
        <v>0</v>
      </c>
      <c r="C9" s="6">
        <v>0</v>
      </c>
      <c r="D9" s="6" t="str">
        <v>NA</v>
      </c>
      <c r="E9" s="6" t="str">
        <v>NA</v>
      </c>
      <c r="F9" s="9" t="str">
        <v>NA</v>
      </c>
      <c r="G9" s="8">
        <v>0</v>
      </c>
      <c r="H9" s="6">
        <v>0</v>
      </c>
      <c r="I9" s="6" t="str">
        <v>NA</v>
      </c>
      <c r="J9" s="6" t="str">
        <v>NA</v>
      </c>
      <c r="K9" s="9" t="str">
        <v>NA</v>
      </c>
      <c r="L9" s="8">
        <v>0</v>
      </c>
      <c r="M9" s="6">
        <v>0</v>
      </c>
      <c r="N9" s="6" t="str">
        <v>NA</v>
      </c>
      <c r="O9" s="6" t="str">
        <v>NA</v>
      </c>
      <c r="P9" s="9" t="str">
        <v>NA</v>
      </c>
      <c r="Q9" s="8">
        <v>0</v>
      </c>
      <c r="R9" s="6">
        <v>0</v>
      </c>
      <c r="S9" s="6" t="str">
        <v>NA</v>
      </c>
      <c r="T9" s="6" t="str">
        <v>NA</v>
      </c>
      <c r="U9" s="9" t="str">
        <v>NA</v>
      </c>
      <c r="V9" s="8">
        <v>0</v>
      </c>
      <c r="W9" s="6">
        <v>0</v>
      </c>
      <c r="X9" s="6" t="str">
        <v>NA</v>
      </c>
      <c r="Y9" s="6" t="str">
        <v>NA</v>
      </c>
      <c r="Z9" s="9" t="str">
        <v>NA</v>
      </c>
      <c r="AA9" s="8">
        <v>0</v>
      </c>
      <c r="AB9" s="6">
        <v>0</v>
      </c>
      <c r="AC9" s="6" t="str">
        <v>NA</v>
      </c>
      <c r="AD9" s="6" t="str">
        <v>NA</v>
      </c>
      <c r="AE9" s="9" t="str">
        <v>NA</v>
      </c>
    </row>
    <row r="10" spans="1:31" x14ac:dyDescent="0.3">
      <c r="A10" s="7">
        <v>2010992010</v>
      </c>
      <c r="B10" s="8">
        <v>0</v>
      </c>
      <c r="C10" s="6">
        <v>0</v>
      </c>
      <c r="D10" s="6" t="str">
        <v>NA</v>
      </c>
      <c r="E10" s="6" t="str">
        <v>NA</v>
      </c>
      <c r="F10" s="9" t="str">
        <v>NA</v>
      </c>
      <c r="G10" s="8">
        <v>0</v>
      </c>
      <c r="H10" s="6">
        <v>0</v>
      </c>
      <c r="I10" s="6" t="str">
        <v>NA</v>
      </c>
      <c r="J10" s="6" t="str">
        <v>NA</v>
      </c>
      <c r="K10" s="9" t="str">
        <v>NA</v>
      </c>
      <c r="L10" s="8">
        <v>0</v>
      </c>
      <c r="M10" s="6">
        <v>0</v>
      </c>
      <c r="N10" s="6" t="str">
        <v>NA</v>
      </c>
      <c r="O10" s="6" t="str">
        <v>NA</v>
      </c>
      <c r="P10" s="9" t="str">
        <v>NA</v>
      </c>
      <c r="Q10" s="8">
        <v>0</v>
      </c>
      <c r="R10" s="6">
        <v>0</v>
      </c>
      <c r="S10" s="6" t="str">
        <v>NA</v>
      </c>
      <c r="T10" s="6" t="str">
        <v>NA</v>
      </c>
      <c r="U10" s="9" t="str">
        <v>NA</v>
      </c>
      <c r="V10" s="8">
        <v>0</v>
      </c>
      <c r="W10" s="6">
        <v>0</v>
      </c>
      <c r="X10" s="6" t="str">
        <v>NA</v>
      </c>
      <c r="Y10" s="6" t="str">
        <v>NA</v>
      </c>
      <c r="Z10" s="9" t="str">
        <v>NA</v>
      </c>
      <c r="AA10" s="8">
        <v>0</v>
      </c>
      <c r="AB10" s="6">
        <v>0</v>
      </c>
      <c r="AC10" s="6" t="str">
        <v>NA</v>
      </c>
      <c r="AD10" s="6" t="str">
        <v>NA</v>
      </c>
      <c r="AE10" s="9" t="str">
        <v>NA</v>
      </c>
    </row>
    <row r="11" spans="1:31" x14ac:dyDescent="0.3">
      <c r="A11" s="7">
        <v>2010992011</v>
      </c>
      <c r="B11" s="8">
        <v>0</v>
      </c>
      <c r="C11" s="6">
        <v>0</v>
      </c>
      <c r="D11" s="6" t="str">
        <v>NA</v>
      </c>
      <c r="E11" s="6" t="str">
        <v>NA</v>
      </c>
      <c r="F11" s="9" t="str">
        <v>NA</v>
      </c>
      <c r="G11" s="8">
        <v>0</v>
      </c>
      <c r="H11" s="6">
        <v>0</v>
      </c>
      <c r="I11" s="6" t="str">
        <v>NA</v>
      </c>
      <c r="J11" s="6" t="str">
        <v>NA</v>
      </c>
      <c r="K11" s="9" t="str">
        <v>NA</v>
      </c>
      <c r="L11" s="8">
        <v>0</v>
      </c>
      <c r="M11" s="6">
        <v>0</v>
      </c>
      <c r="N11" s="6" t="str">
        <v>NA</v>
      </c>
      <c r="O11" s="6" t="str">
        <v>NA</v>
      </c>
      <c r="P11" s="9" t="str">
        <v>NA</v>
      </c>
      <c r="Q11" s="8">
        <v>0</v>
      </c>
      <c r="R11" s="6">
        <v>0</v>
      </c>
      <c r="S11" s="6" t="str">
        <v>NA</v>
      </c>
      <c r="T11" s="6" t="str">
        <v>NA</v>
      </c>
      <c r="U11" s="9" t="str">
        <v>NA</v>
      </c>
      <c r="V11" s="8">
        <v>0</v>
      </c>
      <c r="W11" s="6">
        <v>0</v>
      </c>
      <c r="X11" s="6" t="str">
        <v>NA</v>
      </c>
      <c r="Y11" s="6" t="str">
        <v>NA</v>
      </c>
      <c r="Z11" s="9" t="str">
        <v>NA</v>
      </c>
      <c r="AA11" s="8">
        <v>0</v>
      </c>
      <c r="AB11" s="6">
        <v>0</v>
      </c>
      <c r="AC11" s="6" t="str">
        <v>NA</v>
      </c>
      <c r="AD11" s="6" t="str">
        <v>NA</v>
      </c>
      <c r="AE11" s="9" t="str">
        <v>NA</v>
      </c>
    </row>
    <row r="12" spans="1:31" x14ac:dyDescent="0.3">
      <c r="A12" s="7">
        <v>2010992012</v>
      </c>
      <c r="B12" s="8">
        <v>0</v>
      </c>
      <c r="C12" s="6">
        <v>0</v>
      </c>
      <c r="D12" s="6" t="str">
        <v>NA</v>
      </c>
      <c r="E12" s="6" t="str">
        <v>NA</v>
      </c>
      <c r="F12" s="9" t="str">
        <v>NA</v>
      </c>
      <c r="G12" s="8">
        <v>0</v>
      </c>
      <c r="H12" s="6">
        <v>0</v>
      </c>
      <c r="I12" s="6" t="str">
        <v>NA</v>
      </c>
      <c r="J12" s="6" t="str">
        <v>NA</v>
      </c>
      <c r="K12" s="9" t="str">
        <v>NA</v>
      </c>
      <c r="L12" s="8">
        <v>0</v>
      </c>
      <c r="M12" s="6">
        <v>0</v>
      </c>
      <c r="N12" s="6" t="str">
        <v>NA</v>
      </c>
      <c r="O12" s="6" t="str">
        <v>NA</v>
      </c>
      <c r="P12" s="9" t="str">
        <v>NA</v>
      </c>
      <c r="Q12" s="8">
        <v>0</v>
      </c>
      <c r="R12" s="6">
        <v>0</v>
      </c>
      <c r="S12" s="6" t="str">
        <v>NA</v>
      </c>
      <c r="T12" s="6" t="str">
        <v>NA</v>
      </c>
      <c r="U12" s="9" t="str">
        <v>NA</v>
      </c>
      <c r="V12" s="8">
        <v>0</v>
      </c>
      <c r="W12" s="6">
        <v>0</v>
      </c>
      <c r="X12" s="6" t="str">
        <v>NA</v>
      </c>
      <c r="Y12" s="6" t="str">
        <v>NA</v>
      </c>
      <c r="Z12" s="9" t="str">
        <v>NA</v>
      </c>
      <c r="AA12" s="8">
        <v>0</v>
      </c>
      <c r="AB12" s="6">
        <v>0</v>
      </c>
      <c r="AC12" s="6" t="str">
        <v>NA</v>
      </c>
      <c r="AD12" s="6" t="str">
        <v>NA</v>
      </c>
      <c r="AE12" s="9" t="str">
        <v>NA</v>
      </c>
    </row>
    <row r="13" spans="1:31" x14ac:dyDescent="0.3">
      <c r="A13" s="7">
        <v>2010992014</v>
      </c>
      <c r="B13" s="8">
        <v>0</v>
      </c>
      <c r="C13" s="6">
        <v>0</v>
      </c>
      <c r="D13" s="6" t="str">
        <v>NA</v>
      </c>
      <c r="E13" s="6" t="str">
        <v>NA</v>
      </c>
      <c r="F13" s="9" t="str">
        <v>NA</v>
      </c>
      <c r="G13" s="8">
        <v>0</v>
      </c>
      <c r="H13" s="6">
        <v>0</v>
      </c>
      <c r="I13" s="6" t="str">
        <v>NA</v>
      </c>
      <c r="J13" s="6" t="str">
        <v>NA</v>
      </c>
      <c r="K13" s="9" t="str">
        <v>NA</v>
      </c>
      <c r="L13" s="8">
        <v>0</v>
      </c>
      <c r="M13" s="6">
        <v>0</v>
      </c>
      <c r="N13" s="6" t="str">
        <v>NA</v>
      </c>
      <c r="O13" s="6" t="str">
        <v>NA</v>
      </c>
      <c r="P13" s="9" t="str">
        <v>NA</v>
      </c>
      <c r="Q13" s="8">
        <v>0</v>
      </c>
      <c r="R13" s="6">
        <v>0</v>
      </c>
      <c r="S13" s="6" t="str">
        <v>NA</v>
      </c>
      <c r="T13" s="6" t="str">
        <v>NA</v>
      </c>
      <c r="U13" s="9" t="str">
        <v>NA</v>
      </c>
      <c r="V13" s="8">
        <v>0</v>
      </c>
      <c r="W13" s="6">
        <v>0</v>
      </c>
      <c r="X13" s="6" t="str">
        <v>NA</v>
      </c>
      <c r="Y13" s="6" t="str">
        <v>NA</v>
      </c>
      <c r="Z13" s="9" t="str">
        <v>NA</v>
      </c>
      <c r="AA13" s="8">
        <v>0</v>
      </c>
      <c r="AB13" s="6">
        <v>0</v>
      </c>
      <c r="AC13" s="6" t="str">
        <v>NA</v>
      </c>
      <c r="AD13" s="6" t="str">
        <v>NA</v>
      </c>
      <c r="AE13" s="9" t="str">
        <v>NA</v>
      </c>
    </row>
    <row r="14" spans="1:31" x14ac:dyDescent="0.3">
      <c r="A14" s="7">
        <v>2010992015</v>
      </c>
      <c r="B14" s="8">
        <v>0</v>
      </c>
      <c r="C14" s="6">
        <v>0</v>
      </c>
      <c r="D14" s="6" t="str">
        <v>NA</v>
      </c>
      <c r="E14" s="6" t="str">
        <v>NA</v>
      </c>
      <c r="F14" s="9" t="str">
        <v>NA</v>
      </c>
      <c r="G14" s="8">
        <v>0</v>
      </c>
      <c r="H14" s="6">
        <v>0</v>
      </c>
      <c r="I14" s="6" t="str">
        <v>NA</v>
      </c>
      <c r="J14" s="6" t="str">
        <v>NA</v>
      </c>
      <c r="K14" s="9" t="str">
        <v>NA</v>
      </c>
      <c r="L14" s="8">
        <v>0</v>
      </c>
      <c r="M14" s="6">
        <v>0</v>
      </c>
      <c r="N14" s="6" t="str">
        <v>NA</v>
      </c>
      <c r="O14" s="6" t="str">
        <v>NA</v>
      </c>
      <c r="P14" s="9" t="str">
        <v>NA</v>
      </c>
      <c r="Q14" s="8">
        <v>0</v>
      </c>
      <c r="R14" s="6">
        <v>0</v>
      </c>
      <c r="S14" s="6" t="str">
        <v>NA</v>
      </c>
      <c r="T14" s="6" t="str">
        <v>NA</v>
      </c>
      <c r="U14" s="9" t="str">
        <v>NA</v>
      </c>
      <c r="V14" s="8">
        <v>0</v>
      </c>
      <c r="W14" s="6">
        <v>0</v>
      </c>
      <c r="X14" s="6" t="str">
        <v>NA</v>
      </c>
      <c r="Y14" s="6" t="str">
        <v>NA</v>
      </c>
      <c r="Z14" s="9" t="str">
        <v>NA</v>
      </c>
      <c r="AA14" s="8">
        <v>0</v>
      </c>
      <c r="AB14" s="6">
        <v>0</v>
      </c>
      <c r="AC14" s="6" t="str">
        <v>NA</v>
      </c>
      <c r="AD14" s="6" t="str">
        <v>NA</v>
      </c>
      <c r="AE14" s="9" t="str">
        <v>NA</v>
      </c>
    </row>
    <row r="15" spans="1:31" x14ac:dyDescent="0.3">
      <c r="A15" s="7">
        <v>2010992016</v>
      </c>
      <c r="B15" s="8">
        <v>0</v>
      </c>
      <c r="C15" s="6">
        <v>0</v>
      </c>
      <c r="D15" s="6" t="str">
        <v>NA</v>
      </c>
      <c r="E15" s="6" t="str">
        <v>NA</v>
      </c>
      <c r="F15" s="9" t="str">
        <v>NA</v>
      </c>
      <c r="G15" s="8">
        <v>0</v>
      </c>
      <c r="H15" s="6">
        <v>0</v>
      </c>
      <c r="I15" s="6" t="str">
        <v>NA</v>
      </c>
      <c r="J15" s="6" t="str">
        <v>NA</v>
      </c>
      <c r="K15" s="9" t="str">
        <v>NA</v>
      </c>
      <c r="L15" s="8">
        <v>0</v>
      </c>
      <c r="M15" s="6">
        <v>0</v>
      </c>
      <c r="N15" s="6" t="str">
        <v>NA</v>
      </c>
      <c r="O15" s="6" t="str">
        <v>NA</v>
      </c>
      <c r="P15" s="9" t="str">
        <v>NA</v>
      </c>
      <c r="Q15" s="8">
        <v>0</v>
      </c>
      <c r="R15" s="6">
        <v>0</v>
      </c>
      <c r="S15" s="6" t="str">
        <v>NA</v>
      </c>
      <c r="T15" s="6" t="str">
        <v>NA</v>
      </c>
      <c r="U15" s="9" t="str">
        <v>NA</v>
      </c>
      <c r="V15" s="8">
        <v>0</v>
      </c>
      <c r="W15" s="6">
        <v>0</v>
      </c>
      <c r="X15" s="6" t="str">
        <v>NA</v>
      </c>
      <c r="Y15" s="6" t="str">
        <v>NA</v>
      </c>
      <c r="Z15" s="9" t="str">
        <v>NA</v>
      </c>
      <c r="AA15" s="8">
        <v>0</v>
      </c>
      <c r="AB15" s="6">
        <v>0</v>
      </c>
      <c r="AC15" s="6" t="str">
        <v>NA</v>
      </c>
      <c r="AD15" s="6" t="str">
        <v>NA</v>
      </c>
      <c r="AE15" s="9" t="str">
        <v>NA</v>
      </c>
    </row>
    <row r="16" spans="1:31" x14ac:dyDescent="0.3">
      <c r="A16" s="7">
        <v>2010992017</v>
      </c>
      <c r="B16" s="8">
        <v>0</v>
      </c>
      <c r="C16" s="6">
        <v>0</v>
      </c>
      <c r="D16" s="6" t="str">
        <v>NA</v>
      </c>
      <c r="E16" s="6" t="str">
        <v>NA</v>
      </c>
      <c r="F16" s="9" t="str">
        <v>NA</v>
      </c>
      <c r="G16" s="8">
        <v>0</v>
      </c>
      <c r="H16" s="6">
        <v>0</v>
      </c>
      <c r="I16" s="6" t="str">
        <v>NA</v>
      </c>
      <c r="J16" s="6" t="str">
        <v>NA</v>
      </c>
      <c r="K16" s="9" t="str">
        <v>NA</v>
      </c>
      <c r="L16" s="8">
        <v>0</v>
      </c>
      <c r="M16" s="6">
        <v>0</v>
      </c>
      <c r="N16" s="6" t="str">
        <v>NA</v>
      </c>
      <c r="O16" s="6" t="str">
        <v>NA</v>
      </c>
      <c r="P16" s="9" t="str">
        <v>NA</v>
      </c>
      <c r="Q16" s="8">
        <v>0</v>
      </c>
      <c r="R16" s="6">
        <v>0</v>
      </c>
      <c r="S16" s="6" t="str">
        <v>NA</v>
      </c>
      <c r="T16" s="6" t="str">
        <v>NA</v>
      </c>
      <c r="U16" s="9" t="str">
        <v>NA</v>
      </c>
      <c r="V16" s="8">
        <v>0</v>
      </c>
      <c r="W16" s="6">
        <v>0</v>
      </c>
      <c r="X16" s="6" t="str">
        <v>NA</v>
      </c>
      <c r="Y16" s="6" t="str">
        <v>NA</v>
      </c>
      <c r="Z16" s="9" t="str">
        <v>NA</v>
      </c>
      <c r="AA16" s="8">
        <v>0</v>
      </c>
      <c r="AB16" s="6">
        <v>0</v>
      </c>
      <c r="AC16" s="6" t="str">
        <v>NA</v>
      </c>
      <c r="AD16" s="6" t="str">
        <v>NA</v>
      </c>
      <c r="AE16" s="9" t="str">
        <v>NA</v>
      </c>
    </row>
    <row r="17" spans="1:31" x14ac:dyDescent="0.3">
      <c r="A17" s="7">
        <v>2010992018</v>
      </c>
      <c r="B17" s="8">
        <v>0</v>
      </c>
      <c r="C17" s="6">
        <v>0</v>
      </c>
      <c r="D17" s="6" t="str">
        <v>NA</v>
      </c>
      <c r="E17" s="6" t="str">
        <v>NA</v>
      </c>
      <c r="F17" s="9" t="str">
        <v>NA</v>
      </c>
      <c r="G17" s="8">
        <v>0</v>
      </c>
      <c r="H17" s="6">
        <v>0</v>
      </c>
      <c r="I17" s="6" t="str">
        <v>NA</v>
      </c>
      <c r="J17" s="6" t="str">
        <v>NA</v>
      </c>
      <c r="K17" s="9" t="str">
        <v>NA</v>
      </c>
      <c r="L17" s="8">
        <v>0</v>
      </c>
      <c r="M17" s="6">
        <v>0</v>
      </c>
      <c r="N17" s="6" t="str">
        <v>NA</v>
      </c>
      <c r="O17" s="6" t="str">
        <v>NA</v>
      </c>
      <c r="P17" s="9" t="str">
        <v>NA</v>
      </c>
      <c r="Q17" s="8">
        <v>0</v>
      </c>
      <c r="R17" s="6">
        <v>0</v>
      </c>
      <c r="S17" s="6" t="str">
        <v>NA</v>
      </c>
      <c r="T17" s="6" t="str">
        <v>NA</v>
      </c>
      <c r="U17" s="9" t="str">
        <v>NA</v>
      </c>
      <c r="V17" s="8">
        <v>0</v>
      </c>
      <c r="W17" s="6">
        <v>0</v>
      </c>
      <c r="X17" s="6" t="str">
        <v>NA</v>
      </c>
      <c r="Y17" s="6" t="str">
        <v>NA</v>
      </c>
      <c r="Z17" s="9" t="str">
        <v>NA</v>
      </c>
      <c r="AA17" s="8">
        <v>0</v>
      </c>
      <c r="AB17" s="6">
        <v>0</v>
      </c>
      <c r="AC17" s="6" t="str">
        <v>NA</v>
      </c>
      <c r="AD17" s="6" t="str">
        <v>NA</v>
      </c>
      <c r="AE17" s="9" t="str">
        <v>NA</v>
      </c>
    </row>
    <row r="18" spans="1:31" x14ac:dyDescent="0.3">
      <c r="A18" s="7">
        <v>2010992019</v>
      </c>
      <c r="B18" s="8">
        <v>0</v>
      </c>
      <c r="C18" s="6">
        <v>0</v>
      </c>
      <c r="D18" s="6" t="str">
        <v>NA</v>
      </c>
      <c r="E18" s="6" t="str">
        <v>NA</v>
      </c>
      <c r="F18" s="9" t="str">
        <v>NA</v>
      </c>
      <c r="G18" s="8">
        <v>0</v>
      </c>
      <c r="H18" s="6">
        <v>0</v>
      </c>
      <c r="I18" s="6" t="str">
        <v>NA</v>
      </c>
      <c r="J18" s="6" t="str">
        <v>NA</v>
      </c>
      <c r="K18" s="9" t="str">
        <v>NA</v>
      </c>
      <c r="L18" s="8">
        <v>0</v>
      </c>
      <c r="M18" s="6">
        <v>0</v>
      </c>
      <c r="N18" s="6" t="str">
        <v>NA</v>
      </c>
      <c r="O18" s="6" t="str">
        <v>NA</v>
      </c>
      <c r="P18" s="9" t="str">
        <v>NA</v>
      </c>
      <c r="Q18" s="8">
        <v>0</v>
      </c>
      <c r="R18" s="6">
        <v>0</v>
      </c>
      <c r="S18" s="6" t="str">
        <v>NA</v>
      </c>
      <c r="T18" s="6" t="str">
        <v>NA</v>
      </c>
      <c r="U18" s="9" t="str">
        <v>NA</v>
      </c>
      <c r="V18" s="8">
        <v>0</v>
      </c>
      <c r="W18" s="6">
        <v>0</v>
      </c>
      <c r="X18" s="6" t="str">
        <v>NA</v>
      </c>
      <c r="Y18" s="6" t="str">
        <v>NA</v>
      </c>
      <c r="Z18" s="9" t="str">
        <v>NA</v>
      </c>
      <c r="AA18" s="8">
        <v>0</v>
      </c>
      <c r="AB18" s="6">
        <v>0</v>
      </c>
      <c r="AC18" s="6" t="str">
        <v>NA</v>
      </c>
      <c r="AD18" s="6" t="str">
        <v>NA</v>
      </c>
      <c r="AE18" s="9" t="str">
        <v>NA</v>
      </c>
    </row>
    <row r="19" spans="1:31" x14ac:dyDescent="0.3">
      <c r="A19" s="7">
        <v>2010992163</v>
      </c>
      <c r="B19" s="8">
        <v>0</v>
      </c>
      <c r="C19" s="6">
        <v>0</v>
      </c>
      <c r="D19" s="6" t="str">
        <v>NA</v>
      </c>
      <c r="E19" s="6" t="str">
        <v>NA</v>
      </c>
      <c r="F19" s="9" t="str">
        <v>NA</v>
      </c>
      <c r="G19" s="8">
        <v>0</v>
      </c>
      <c r="H19" s="6">
        <v>0</v>
      </c>
      <c r="I19" s="6" t="str">
        <v>NA</v>
      </c>
      <c r="J19" s="6" t="str">
        <v>NA</v>
      </c>
      <c r="K19" s="9" t="str">
        <v>NA</v>
      </c>
      <c r="L19" s="8">
        <v>0</v>
      </c>
      <c r="M19" s="6">
        <v>0</v>
      </c>
      <c r="N19" s="6" t="str">
        <v>NA</v>
      </c>
      <c r="O19" s="6" t="str">
        <v>NA</v>
      </c>
      <c r="P19" s="9" t="str">
        <v>NA</v>
      </c>
      <c r="Q19" s="8">
        <v>0</v>
      </c>
      <c r="R19" s="6">
        <v>0</v>
      </c>
      <c r="S19" s="6" t="str">
        <v>NA</v>
      </c>
      <c r="T19" s="6" t="str">
        <v>NA</v>
      </c>
      <c r="U19" s="9" t="str">
        <v>NA</v>
      </c>
      <c r="V19" s="8">
        <v>0</v>
      </c>
      <c r="W19" s="6">
        <v>0</v>
      </c>
      <c r="X19" s="6" t="str">
        <v>NA</v>
      </c>
      <c r="Y19" s="6" t="str">
        <v>NA</v>
      </c>
      <c r="Z19" s="9" t="str">
        <v>NA</v>
      </c>
      <c r="AA19" s="8">
        <v>0</v>
      </c>
      <c r="AB19" s="6">
        <v>0</v>
      </c>
      <c r="AC19" s="6" t="str">
        <v>NA</v>
      </c>
      <c r="AD19" s="6" t="str">
        <v>NA</v>
      </c>
      <c r="AE19" s="9" t="str">
        <v>NA</v>
      </c>
    </row>
    <row r="20" spans="1:31" x14ac:dyDescent="0.3">
      <c r="A20" s="7">
        <v>2010992202</v>
      </c>
      <c r="B20" s="8">
        <v>0</v>
      </c>
      <c r="C20" s="6">
        <v>0</v>
      </c>
      <c r="D20" s="6" t="str">
        <v>NA</v>
      </c>
      <c r="E20" s="6" t="str">
        <v>NA</v>
      </c>
      <c r="F20" s="9" t="str">
        <v>NA</v>
      </c>
      <c r="G20" s="8">
        <v>0</v>
      </c>
      <c r="H20" s="6">
        <v>0</v>
      </c>
      <c r="I20" s="6" t="str">
        <v>NA</v>
      </c>
      <c r="J20" s="6" t="str">
        <v>NA</v>
      </c>
      <c r="K20" s="9" t="str">
        <v>NA</v>
      </c>
      <c r="L20" s="8">
        <v>0</v>
      </c>
      <c r="M20" s="6">
        <v>0</v>
      </c>
      <c r="N20" s="6" t="str">
        <v>NA</v>
      </c>
      <c r="O20" s="6" t="str">
        <v>NA</v>
      </c>
      <c r="P20" s="9" t="str">
        <v>NA</v>
      </c>
      <c r="Q20" s="8">
        <v>0</v>
      </c>
      <c r="R20" s="6">
        <v>0</v>
      </c>
      <c r="S20" s="6" t="str">
        <v>NA</v>
      </c>
      <c r="T20" s="6" t="str">
        <v>NA</v>
      </c>
      <c r="U20" s="9" t="str">
        <v>NA</v>
      </c>
      <c r="V20" s="8">
        <v>0</v>
      </c>
      <c r="W20" s="6">
        <v>0</v>
      </c>
      <c r="X20" s="6" t="str">
        <v>NA</v>
      </c>
      <c r="Y20" s="6" t="str">
        <v>NA</v>
      </c>
      <c r="Z20" s="9" t="str">
        <v>NA</v>
      </c>
      <c r="AA20" s="8">
        <v>0</v>
      </c>
      <c r="AB20" s="6">
        <v>0</v>
      </c>
      <c r="AC20" s="6" t="str">
        <v>NA</v>
      </c>
      <c r="AD20" s="6" t="str">
        <v>NA</v>
      </c>
      <c r="AE20" s="9" t="str">
        <v>NA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FC09C-7FEB-476F-A6DB-0E86D20ADF39}">
  <dimension ref="A1:AE53"/>
  <sheetViews>
    <sheetView topLeftCell="P1" workbookViewId="0">
      <selection activeCell="AG10" sqref="AG10"/>
    </sheetView>
  </sheetViews>
  <sheetFormatPr defaultRowHeight="14.4" x14ac:dyDescent="0.3"/>
  <cols>
    <col min="1" max="1" width="21" style="7" bestFit="1" customWidth="1"/>
    <col min="2" max="2" width="12.33203125" style="8" bestFit="1" customWidth="1"/>
    <col min="3" max="5" width="8.88671875" style="6"/>
    <col min="6" max="6" width="8.88671875" style="9"/>
    <col min="7" max="7" width="8.88671875" style="8"/>
    <col min="8" max="10" width="8.88671875" style="6"/>
    <col min="11" max="11" width="8.88671875" style="9"/>
    <col min="12" max="12" width="8.88671875" style="8"/>
    <col min="13" max="15" width="8.88671875" style="6"/>
    <col min="16" max="16" width="8.88671875" style="9"/>
    <col min="17" max="17" width="8.88671875" style="8"/>
    <col min="18" max="20" width="8.88671875" style="6"/>
    <col min="21" max="21" width="8.88671875" style="9"/>
    <col min="22" max="22" width="8.88671875" style="8"/>
    <col min="23" max="25" width="8.88671875" style="6"/>
    <col min="26" max="26" width="8.88671875" style="9"/>
    <col min="27" max="27" width="8.88671875" style="8"/>
    <col min="28" max="30" width="8.88671875" style="6"/>
    <col min="31" max="31" width="8.88671875" style="9"/>
  </cols>
  <sheetData>
    <row r="1" spans="1:31" ht="15" thickBot="1" x14ac:dyDescent="0.35">
      <c r="A1" s="7" t="s">
        <v>11</v>
      </c>
      <c r="B1" s="4" t="s">
        <v>0</v>
      </c>
      <c r="C1" s="1" t="s">
        <v>0</v>
      </c>
      <c r="D1" s="1" t="s">
        <v>0</v>
      </c>
      <c r="E1" s="1" t="s">
        <v>0</v>
      </c>
      <c r="F1" s="2" t="s">
        <v>0</v>
      </c>
      <c r="G1" s="4" t="s">
        <v>1</v>
      </c>
      <c r="H1" s="1" t="s">
        <v>1</v>
      </c>
      <c r="I1" s="3" t="s">
        <v>1</v>
      </c>
      <c r="J1" s="1" t="s">
        <v>1</v>
      </c>
      <c r="K1" s="2" t="s">
        <v>1</v>
      </c>
      <c r="L1" s="4" t="s">
        <v>2</v>
      </c>
      <c r="M1" s="1" t="s">
        <v>2</v>
      </c>
      <c r="N1" s="1" t="s">
        <v>2</v>
      </c>
      <c r="O1" s="1" t="s">
        <v>2</v>
      </c>
      <c r="P1" s="2" t="s">
        <v>2</v>
      </c>
      <c r="Q1" s="4" t="s">
        <v>3</v>
      </c>
      <c r="R1" s="1" t="s">
        <v>3</v>
      </c>
      <c r="S1" s="1" t="s">
        <v>3</v>
      </c>
      <c r="T1" s="1" t="s">
        <v>3</v>
      </c>
      <c r="U1" s="2" t="s">
        <v>3</v>
      </c>
      <c r="V1" s="4" t="s">
        <v>9</v>
      </c>
      <c r="W1" s="1" t="s">
        <v>9</v>
      </c>
      <c r="X1" s="1" t="s">
        <v>9</v>
      </c>
      <c r="Y1" s="1" t="s">
        <v>9</v>
      </c>
      <c r="Z1" s="2" t="s">
        <v>9</v>
      </c>
      <c r="AA1" s="4" t="s">
        <v>10</v>
      </c>
      <c r="AB1" s="1" t="s">
        <v>10</v>
      </c>
      <c r="AC1" s="1" t="s">
        <v>10</v>
      </c>
      <c r="AD1" s="1" t="s">
        <v>10</v>
      </c>
      <c r="AE1" s="2" t="s">
        <v>10</v>
      </c>
    </row>
    <row r="2" spans="1:31" ht="15" thickBot="1" x14ac:dyDescent="0.35">
      <c r="A2" s="12" t="str" cm="1">
        <f t="array" ref="A2:A20">'[1]ETE Result'!$B$1:INDEX('[1]ETE Result'!$B:$B,COUNTA('[1]ETE Result'!$B:$B))</f>
        <v>Admission No. (Roll No.)</v>
      </c>
      <c r="B2" s="4" t="s">
        <v>4</v>
      </c>
      <c r="C2" s="1" t="s">
        <v>5</v>
      </c>
      <c r="D2" s="13" t="s">
        <v>6</v>
      </c>
      <c r="E2" s="1" t="s">
        <v>7</v>
      </c>
      <c r="F2" s="2" t="s">
        <v>8</v>
      </c>
      <c r="G2" s="4" t="s">
        <v>4</v>
      </c>
      <c r="H2" s="1" t="s">
        <v>5</v>
      </c>
      <c r="I2" s="13" t="s">
        <v>6</v>
      </c>
      <c r="J2" s="1" t="s">
        <v>7</v>
      </c>
      <c r="K2" s="2" t="s">
        <v>8</v>
      </c>
      <c r="L2" s="4" t="s">
        <v>4</v>
      </c>
      <c r="M2" s="1" t="s">
        <v>5</v>
      </c>
      <c r="N2" s="13" t="s">
        <v>6</v>
      </c>
      <c r="O2" s="1" t="s">
        <v>7</v>
      </c>
      <c r="P2" s="2" t="s">
        <v>8</v>
      </c>
      <c r="Q2" s="4" t="s">
        <v>4</v>
      </c>
      <c r="R2" s="1" t="s">
        <v>5</v>
      </c>
      <c r="S2" s="13" t="s">
        <v>6</v>
      </c>
      <c r="T2" s="1" t="s">
        <v>7</v>
      </c>
      <c r="U2" s="2" t="s">
        <v>8</v>
      </c>
      <c r="V2" s="4" t="s">
        <v>4</v>
      </c>
      <c r="W2" s="1" t="s">
        <v>5</v>
      </c>
      <c r="X2" s="13" t="s">
        <v>6</v>
      </c>
      <c r="Y2" s="1" t="s">
        <v>7</v>
      </c>
      <c r="Z2" s="2" t="s">
        <v>8</v>
      </c>
      <c r="AA2" s="4" t="s">
        <v>4</v>
      </c>
      <c r="AB2" s="1" t="s">
        <v>5</v>
      </c>
      <c r="AC2" s="13" t="s">
        <v>6</v>
      </c>
      <c r="AD2" s="1" t="s">
        <v>7</v>
      </c>
      <c r="AE2" s="2" t="s">
        <v>8</v>
      </c>
    </row>
    <row r="3" spans="1:31" x14ac:dyDescent="0.3">
      <c r="A3" s="10">
        <v>2010990089</v>
      </c>
      <c r="B3" s="11" cm="1">
        <f t="array" ref="B3:B20">'[1]ETE Student MO CO Score'!$B$2:INDEX('[1]ETE Student MO CO Score'!$B:$B,COUNTA('[1]ETE Student MO CO Score'!$B:$B))</f>
        <v>60</v>
      </c>
      <c r="C3" s="5" cm="1">
        <f t="array" ref="C3:C20">'[1]ETE Student Attained CO Score'!$B$2:INDEX('[1]ETE Student Attained CO Score'!$B:$B,COUNTA('[1]ETE Student Attained CO Score'!$B:$B))</f>
        <v>45</v>
      </c>
      <c r="D3" s="5" cm="1">
        <f t="array" ref="D3:D20">IFERROR(ROUND('[1]ETE Student Attainment percent'!$B$2:INDEX('[1]ETE Student Attainment percent'!$B:$B,COUNTA('[1]ETE Student Attainment percent'!$B:$B)),2),"NA")</f>
        <v>75</v>
      </c>
      <c r="E3" s="5" cm="1">
        <f t="array" ref="E3:E20">'[1]ETE CO Attainment Score'!$B$2:INDEX('[1]ETE CO Attainment Score'!$B:$B,COUNTA('[1]ETE CO Attainment Score'!$B:$B))</f>
        <v>3</v>
      </c>
      <c r="F3" s="9" t="str" cm="1">
        <f t="array" ref="F3:F20">'[1]ETE Target Attained'!$B$2:INDEX('[1]ETE Target Attained'!$B:$B,COUNTA('[1]ETE Target Attained'!$B:$B))</f>
        <v>Y</v>
      </c>
      <c r="G3" s="11" cm="1">
        <f t="array" ref="G3:G20">'[1]ETE Student MO CO Score'!$C$2:INDEX('[1]ETE Student MO CO Score'!$C:$C,COUNTA('[1]ETE Student MO CO Score'!$C:$C))</f>
        <v>60</v>
      </c>
      <c r="H3" s="5" cm="1">
        <f t="array" ref="H3:H20">'[1]ETE Student Attained CO Score'!$C$2:INDEX('[1]ETE Student Attained CO Score'!$C:$C,COUNTA('[1]ETE Student Attained CO Score'!$C:$C))</f>
        <v>45</v>
      </c>
      <c r="I3" s="5" cm="1">
        <f t="array" ref="I3:I20">IFERROR(ROUND('[1]ETE Student Attainment percent'!$C$2:INDEX('[1]ETE Student Attainment percent'!$C:$C,COUNTA('[1]ETE Student Attainment percent'!$C:$C)),2),"NA")</f>
        <v>75</v>
      </c>
      <c r="J3" s="5" cm="1">
        <f t="array" ref="J3:J20">'[1]ETE CO Attainment Score'!$C$2:INDEX('[1]ETE CO Attainment Score'!$C:$C,COUNTA('[1]ETE CO Attainment Score'!$C:$C))</f>
        <v>3</v>
      </c>
      <c r="K3" s="9" t="str" cm="1">
        <f t="array" ref="K3:K20">'[1]ETE Target Attained'!$C$2:INDEX('[1]ETE Target Attained'!$C:$C,COUNTA('[1]ETE Target Attained'!$C:$C))</f>
        <v>Y</v>
      </c>
      <c r="L3" s="11" cm="1">
        <f t="array" ref="L3:L20">'[1]ETE Student MO CO Score'!$D$2:INDEX('[1]ETE Student MO CO Score'!$D:$D,COUNTA('[1]ETE Student MO CO Score'!$D:$D))</f>
        <v>60</v>
      </c>
      <c r="M3" s="5" cm="1">
        <f t="array" ref="M3:M20">'[1]ETE Student Attained CO Score'!$D$2:INDEX('[1]ETE Student Attained CO Score'!$D:$D,COUNTA('[1]ETE Student Attained CO Score'!$D:$D))</f>
        <v>45</v>
      </c>
      <c r="N3" s="5" cm="1">
        <f t="array" ref="N3:N20">IFERROR(ROUND('[1]ETE Student Attainment percent'!$D$2:INDEX('[1]ETE Student Attainment percent'!$D:$D,COUNTA('[1]ETE Student Attainment percent'!$D:$D)),2),"NA")</f>
        <v>75</v>
      </c>
      <c r="O3" s="5" cm="1">
        <f t="array" ref="O3:O20">'[1]ETE CO Attainment Score'!$D$2:INDEX('[1]ETE CO Attainment Score'!$D:$D,COUNTA('[1]ETE CO Attainment Score'!$D:$D))</f>
        <v>3</v>
      </c>
      <c r="P3" s="9" t="str" cm="1">
        <f t="array" ref="P3:P20">'[1]ETE Target Attained'!$D$2:INDEX('[1]ETE Target Attained'!$D:$D,COUNTA('[1]ETE Target Attained'!$D:$D))</f>
        <v>Y</v>
      </c>
      <c r="Q3" s="11" cm="1">
        <f t="array" ref="Q3:Q20">'[1]ETE Student MO CO Score'!$E$2:INDEX('[1]ETE Student MO CO Score'!$E:$E,COUNTA('[1]ETE Student MO CO Score'!$E:$E))</f>
        <v>0</v>
      </c>
      <c r="R3" s="5" cm="1">
        <f t="array" ref="R3:R20">'[1]ETE Student Attained CO Score'!$E$2:INDEX('[1]ETE Student Attained CO Score'!$E:$E,COUNTA('[1]ETE Student Attained CO Score'!$E:$E))</f>
        <v>0</v>
      </c>
      <c r="S3" s="5" t="str" cm="1">
        <f t="array" ref="S3:S20">IFERROR(ROUND('[1]ETE Student Attainment percent'!$E$2:INDEX('[1]ETE Student Attainment percent'!$E:$E,COUNTA('[1]ETE Student Attainment percent'!$E:$E)),2),"NA")</f>
        <v>NA</v>
      </c>
      <c r="T3" s="5" cm="1">
        <f t="array" ref="T3:T20">'[1]ETE CO Attainment Score'!$E$2:INDEX('[1]ETE CO Attainment Score'!$E:$E,COUNTA('[1]ETE CO Attainment Score'!$E:$E))</f>
        <v>3</v>
      </c>
      <c r="U3" s="9" t="str" cm="1">
        <f t="array" ref="U3:U20">'[1]ETE Target Attained'!$E$2:INDEX('[1]ETE Target Attained'!$E:$E,COUNTA('[1]ETE Target Attained'!$E:$E))</f>
        <v>Y</v>
      </c>
      <c r="V3" s="11" cm="1">
        <f t="array" ref="V3:V20">'[1]ETE Student MO CO Score'!$F$2:INDEX('[1]ETE Student MO CO Score'!$F:$F,COUNTA('[1]ETE Student MO CO Score'!$F:$F))</f>
        <v>0</v>
      </c>
      <c r="W3" s="5" cm="1">
        <f t="array" ref="W3:W20">'[1]ETE Student Attained CO Score'!$F$2:INDEX('[1]ETE Student Attained CO Score'!$F:$F,COUNTA('[1]ETE Student Attained CO Score'!$F:$F))</f>
        <v>0</v>
      </c>
      <c r="X3" s="5" t="str" cm="1">
        <f t="array" ref="X3:X20">IFERROR(ROUND('[1]ETE Student Attainment percent'!$F$2:INDEX('[1]ETE Student Attainment percent'!$F:$F,COUNTA('[1]ETE Student Attainment percent'!$F:$F)),2),"NA")</f>
        <v>NA</v>
      </c>
      <c r="Y3" s="5" cm="1">
        <f t="array" ref="Y3:Y20">'[1]ETE CO Attainment Score'!$F$2:INDEX('[1]ETE CO Attainment Score'!$F:$F,COUNTA('[1]ETE CO Attainment Score'!$F:$F))</f>
        <v>3</v>
      </c>
      <c r="Z3" s="9" t="str" cm="1">
        <f t="array" ref="Z3:Z20">'[1]ETE Target Attained'!$F$2:INDEX('[1]ETE Target Attained'!$F:$F,COUNTA('[1]ETE Target Attained'!$F:$F))</f>
        <v>Y</v>
      </c>
      <c r="AA3" s="11" cm="1">
        <f t="array" ref="AA3:AA20">'[1]ETE Student MO CO Score'!$G$2:INDEX('[1]ETE Student MO CO Score'!$G:$G,COUNTA('[1]ETE Student MO CO Score'!$G:$G))</f>
        <v>0</v>
      </c>
      <c r="AB3" s="5" cm="1">
        <f t="array" ref="AB3:AB20">'[1]ETE Student Attained CO Score'!$G$2:INDEX('[1]ETE Student Attained CO Score'!$G:$G,COUNTA('[1]ETE Student Attained CO Score'!$G:$G))</f>
        <v>0</v>
      </c>
      <c r="AC3" s="5" t="str" cm="1">
        <f t="array" ref="AC3:AC20">IFERROR(ROUND('[1]ETE Student Attainment percent'!$G$2:INDEX('[1]ETE Student Attainment percent'!$G:$G,COUNTA('[1]ETE Student Attainment percent'!$G:$G)),2),"NA")</f>
        <v>NA</v>
      </c>
      <c r="AD3" s="5" cm="1">
        <f t="array" ref="AD3:AD20">'[1]ETE CO Attainment Score'!$G$2:INDEX('[1]ETE CO Attainment Score'!$G:$G,COUNTA('[1]ETE CO Attainment Score'!$G:$G))</f>
        <v>3</v>
      </c>
      <c r="AE3" s="9" t="str" cm="1">
        <f t="array" ref="AE3:AE20">'[1]ETE Target Attained'!$G$2:INDEX('[1]ETE Target Attained'!$G:$G,COUNTA('[1]ETE Target Attained'!$G:$G))</f>
        <v>Y</v>
      </c>
    </row>
    <row r="4" spans="1:31" x14ac:dyDescent="0.3">
      <c r="A4" s="7">
        <v>2010992002</v>
      </c>
      <c r="B4" s="8">
        <v>60</v>
      </c>
      <c r="C4" s="6">
        <v>47</v>
      </c>
      <c r="D4" s="6">
        <v>78.33</v>
      </c>
      <c r="E4" s="6">
        <v>3</v>
      </c>
      <c r="F4" s="9" t="str">
        <v>Y</v>
      </c>
      <c r="G4" s="8">
        <v>60</v>
      </c>
      <c r="H4" s="6">
        <v>47</v>
      </c>
      <c r="I4" s="6">
        <v>78.33</v>
      </c>
      <c r="J4" s="6">
        <v>3</v>
      </c>
      <c r="K4" s="9" t="str">
        <v>Y</v>
      </c>
      <c r="L4" s="8">
        <v>60</v>
      </c>
      <c r="M4" s="6">
        <v>47</v>
      </c>
      <c r="N4" s="6">
        <v>78.33</v>
      </c>
      <c r="O4" s="6">
        <v>3</v>
      </c>
      <c r="P4" s="9" t="str">
        <v>Y</v>
      </c>
      <c r="Q4" s="8">
        <v>0</v>
      </c>
      <c r="R4" s="6">
        <v>0</v>
      </c>
      <c r="S4" s="6" t="str">
        <v>NA</v>
      </c>
      <c r="T4" s="6">
        <v>3</v>
      </c>
      <c r="U4" s="9" t="str">
        <v>Y</v>
      </c>
      <c r="V4" s="8">
        <v>0</v>
      </c>
      <c r="W4" s="6">
        <v>0</v>
      </c>
      <c r="X4" s="6" t="str">
        <v>NA</v>
      </c>
      <c r="Y4" s="6">
        <v>3</v>
      </c>
      <c r="Z4" s="9" t="str">
        <v>Y</v>
      </c>
      <c r="AA4" s="8">
        <v>0</v>
      </c>
      <c r="AB4" s="6">
        <v>0</v>
      </c>
      <c r="AC4" s="6" t="str">
        <v>NA</v>
      </c>
      <c r="AD4" s="6">
        <v>3</v>
      </c>
      <c r="AE4" s="9" t="str">
        <v>Y</v>
      </c>
    </row>
    <row r="5" spans="1:31" x14ac:dyDescent="0.3">
      <c r="A5" s="7">
        <v>2010992004</v>
      </c>
      <c r="B5" s="8">
        <v>60</v>
      </c>
      <c r="C5" s="6">
        <v>46</v>
      </c>
      <c r="D5" s="6">
        <v>76.67</v>
      </c>
      <c r="E5" s="6">
        <v>3</v>
      </c>
      <c r="F5" s="9" t="str">
        <v>Y</v>
      </c>
      <c r="G5" s="8">
        <v>60</v>
      </c>
      <c r="H5" s="6">
        <v>46</v>
      </c>
      <c r="I5" s="6">
        <v>76.67</v>
      </c>
      <c r="J5" s="6">
        <v>3</v>
      </c>
      <c r="K5" s="9" t="str">
        <v>Y</v>
      </c>
      <c r="L5" s="8">
        <v>60</v>
      </c>
      <c r="M5" s="6">
        <v>46</v>
      </c>
      <c r="N5" s="6">
        <v>76.67</v>
      </c>
      <c r="O5" s="6">
        <v>3</v>
      </c>
      <c r="P5" s="9" t="str">
        <v>Y</v>
      </c>
      <c r="Q5" s="8">
        <v>0</v>
      </c>
      <c r="R5" s="6">
        <v>0</v>
      </c>
      <c r="S5" s="6" t="str">
        <v>NA</v>
      </c>
      <c r="T5" s="6">
        <v>3</v>
      </c>
      <c r="U5" s="9" t="str">
        <v>Y</v>
      </c>
      <c r="V5" s="8">
        <v>0</v>
      </c>
      <c r="W5" s="6">
        <v>0</v>
      </c>
      <c r="X5" s="6" t="str">
        <v>NA</v>
      </c>
      <c r="Y5" s="6">
        <v>3</v>
      </c>
      <c r="Z5" s="9" t="str">
        <v>Y</v>
      </c>
      <c r="AA5" s="8">
        <v>0</v>
      </c>
      <c r="AB5" s="6">
        <v>0</v>
      </c>
      <c r="AC5" s="6" t="str">
        <v>NA</v>
      </c>
      <c r="AD5" s="6">
        <v>3</v>
      </c>
      <c r="AE5" s="9" t="str">
        <v>Y</v>
      </c>
    </row>
    <row r="6" spans="1:31" x14ac:dyDescent="0.3">
      <c r="A6" s="7">
        <v>2010992005</v>
      </c>
      <c r="B6" s="8">
        <v>60</v>
      </c>
      <c r="C6" s="6">
        <v>43</v>
      </c>
      <c r="D6" s="6">
        <v>71.67</v>
      </c>
      <c r="E6" s="6">
        <v>3</v>
      </c>
      <c r="F6" s="9" t="str">
        <v>Y</v>
      </c>
      <c r="G6" s="8">
        <v>60</v>
      </c>
      <c r="H6" s="6">
        <v>43</v>
      </c>
      <c r="I6" s="6">
        <v>71.67</v>
      </c>
      <c r="J6" s="6">
        <v>3</v>
      </c>
      <c r="K6" s="9" t="str">
        <v>Y</v>
      </c>
      <c r="L6" s="8">
        <v>60</v>
      </c>
      <c r="M6" s="6">
        <v>43</v>
      </c>
      <c r="N6" s="6">
        <v>71.67</v>
      </c>
      <c r="O6" s="6">
        <v>3</v>
      </c>
      <c r="P6" s="9" t="str">
        <v>Y</v>
      </c>
      <c r="Q6" s="8">
        <v>0</v>
      </c>
      <c r="R6" s="6">
        <v>0</v>
      </c>
      <c r="S6" s="6" t="str">
        <v>NA</v>
      </c>
      <c r="T6" s="6">
        <v>3</v>
      </c>
      <c r="U6" s="9" t="str">
        <v>Y</v>
      </c>
      <c r="V6" s="8">
        <v>0</v>
      </c>
      <c r="W6" s="6">
        <v>0</v>
      </c>
      <c r="X6" s="6" t="str">
        <v>NA</v>
      </c>
      <c r="Y6" s="6">
        <v>3</v>
      </c>
      <c r="Z6" s="9" t="str">
        <v>Y</v>
      </c>
      <c r="AA6" s="8">
        <v>0</v>
      </c>
      <c r="AB6" s="6">
        <v>0</v>
      </c>
      <c r="AC6" s="6" t="str">
        <v>NA</v>
      </c>
      <c r="AD6" s="6">
        <v>3</v>
      </c>
      <c r="AE6" s="9" t="str">
        <v>Y</v>
      </c>
    </row>
    <row r="7" spans="1:31" x14ac:dyDescent="0.3">
      <c r="A7" s="7">
        <v>2010992006</v>
      </c>
      <c r="B7" s="8">
        <v>60</v>
      </c>
      <c r="C7" s="6">
        <v>48</v>
      </c>
      <c r="D7" s="6">
        <v>80</v>
      </c>
      <c r="E7" s="6">
        <v>3</v>
      </c>
      <c r="F7" s="9" t="str">
        <v>Y</v>
      </c>
      <c r="G7" s="8">
        <v>60</v>
      </c>
      <c r="H7" s="6">
        <v>48</v>
      </c>
      <c r="I7" s="6">
        <v>80</v>
      </c>
      <c r="J7" s="6">
        <v>3</v>
      </c>
      <c r="K7" s="9" t="str">
        <v>Y</v>
      </c>
      <c r="L7" s="8">
        <v>60</v>
      </c>
      <c r="M7" s="6">
        <v>48</v>
      </c>
      <c r="N7" s="6">
        <v>80</v>
      </c>
      <c r="O7" s="6">
        <v>3</v>
      </c>
      <c r="P7" s="9" t="str">
        <v>Y</v>
      </c>
      <c r="Q7" s="8">
        <v>0</v>
      </c>
      <c r="R7" s="6">
        <v>0</v>
      </c>
      <c r="S7" s="6" t="str">
        <v>NA</v>
      </c>
      <c r="T7" s="6">
        <v>3</v>
      </c>
      <c r="U7" s="9" t="str">
        <v>Y</v>
      </c>
      <c r="V7" s="8">
        <v>0</v>
      </c>
      <c r="W7" s="6">
        <v>0</v>
      </c>
      <c r="X7" s="6" t="str">
        <v>NA</v>
      </c>
      <c r="Y7" s="6">
        <v>3</v>
      </c>
      <c r="Z7" s="9" t="str">
        <v>Y</v>
      </c>
      <c r="AA7" s="8">
        <v>0</v>
      </c>
      <c r="AB7" s="6">
        <v>0</v>
      </c>
      <c r="AC7" s="6" t="str">
        <v>NA</v>
      </c>
      <c r="AD7" s="6">
        <v>3</v>
      </c>
      <c r="AE7" s="9" t="str">
        <v>Y</v>
      </c>
    </row>
    <row r="8" spans="1:31" x14ac:dyDescent="0.3">
      <c r="A8" s="7">
        <v>2010992008</v>
      </c>
      <c r="B8" s="8">
        <v>60</v>
      </c>
      <c r="C8" s="6">
        <v>48</v>
      </c>
      <c r="D8" s="6">
        <v>80</v>
      </c>
      <c r="E8" s="6">
        <v>3</v>
      </c>
      <c r="F8" s="9" t="str">
        <v>Y</v>
      </c>
      <c r="G8" s="8">
        <v>60</v>
      </c>
      <c r="H8" s="6">
        <v>48</v>
      </c>
      <c r="I8" s="6">
        <v>80</v>
      </c>
      <c r="J8" s="6">
        <v>3</v>
      </c>
      <c r="K8" s="9" t="str">
        <v>Y</v>
      </c>
      <c r="L8" s="8">
        <v>60</v>
      </c>
      <c r="M8" s="6">
        <v>48</v>
      </c>
      <c r="N8" s="6">
        <v>80</v>
      </c>
      <c r="O8" s="6">
        <v>3</v>
      </c>
      <c r="P8" s="9" t="str">
        <v>Y</v>
      </c>
      <c r="Q8" s="8">
        <v>0</v>
      </c>
      <c r="R8" s="6">
        <v>0</v>
      </c>
      <c r="S8" s="6" t="str">
        <v>NA</v>
      </c>
      <c r="T8" s="6">
        <v>3</v>
      </c>
      <c r="U8" s="9" t="str">
        <v>Y</v>
      </c>
      <c r="V8" s="8">
        <v>0</v>
      </c>
      <c r="W8" s="6">
        <v>0</v>
      </c>
      <c r="X8" s="6" t="str">
        <v>NA</v>
      </c>
      <c r="Y8" s="6">
        <v>3</v>
      </c>
      <c r="Z8" s="9" t="str">
        <v>Y</v>
      </c>
      <c r="AA8" s="8">
        <v>0</v>
      </c>
      <c r="AB8" s="6">
        <v>0</v>
      </c>
      <c r="AC8" s="6" t="str">
        <v>NA</v>
      </c>
      <c r="AD8" s="6">
        <v>3</v>
      </c>
      <c r="AE8" s="9" t="str">
        <v>Y</v>
      </c>
    </row>
    <row r="9" spans="1:31" x14ac:dyDescent="0.3">
      <c r="A9" s="7">
        <v>2010992009</v>
      </c>
      <c r="B9" s="8">
        <v>60</v>
      </c>
      <c r="C9" s="6">
        <v>50</v>
      </c>
      <c r="D9" s="6">
        <v>83.33</v>
      </c>
      <c r="E9" s="6">
        <v>3</v>
      </c>
      <c r="F9" s="9" t="str">
        <v>Y</v>
      </c>
      <c r="G9" s="8">
        <v>60</v>
      </c>
      <c r="H9" s="6">
        <v>50</v>
      </c>
      <c r="I9" s="6">
        <v>83.33</v>
      </c>
      <c r="J9" s="6">
        <v>3</v>
      </c>
      <c r="K9" s="9" t="str">
        <v>Y</v>
      </c>
      <c r="L9" s="8">
        <v>60</v>
      </c>
      <c r="M9" s="6">
        <v>50</v>
      </c>
      <c r="N9" s="6">
        <v>83.33</v>
      </c>
      <c r="O9" s="6">
        <v>3</v>
      </c>
      <c r="P9" s="9" t="str">
        <v>Y</v>
      </c>
      <c r="Q9" s="8">
        <v>0</v>
      </c>
      <c r="R9" s="6">
        <v>0</v>
      </c>
      <c r="S9" s="6" t="str">
        <v>NA</v>
      </c>
      <c r="T9" s="6">
        <v>3</v>
      </c>
      <c r="U9" s="9" t="str">
        <v>Y</v>
      </c>
      <c r="V9" s="8">
        <v>0</v>
      </c>
      <c r="W9" s="6">
        <v>0</v>
      </c>
      <c r="X9" s="6" t="str">
        <v>NA</v>
      </c>
      <c r="Y9" s="6">
        <v>3</v>
      </c>
      <c r="Z9" s="9" t="str">
        <v>Y</v>
      </c>
      <c r="AA9" s="8">
        <v>0</v>
      </c>
      <c r="AB9" s="6">
        <v>0</v>
      </c>
      <c r="AC9" s="6" t="str">
        <v>NA</v>
      </c>
      <c r="AD9" s="6">
        <v>3</v>
      </c>
      <c r="AE9" s="9" t="str">
        <v>Y</v>
      </c>
    </row>
    <row r="10" spans="1:31" x14ac:dyDescent="0.3">
      <c r="A10" s="7">
        <v>2010992010</v>
      </c>
      <c r="B10" s="8">
        <v>60</v>
      </c>
      <c r="C10" s="6">
        <v>48</v>
      </c>
      <c r="D10" s="6">
        <v>80</v>
      </c>
      <c r="E10" s="6">
        <v>3</v>
      </c>
      <c r="F10" s="9" t="str">
        <v>Y</v>
      </c>
      <c r="G10" s="8">
        <v>60</v>
      </c>
      <c r="H10" s="6">
        <v>48</v>
      </c>
      <c r="I10" s="6">
        <v>80</v>
      </c>
      <c r="J10" s="6">
        <v>3</v>
      </c>
      <c r="K10" s="9" t="str">
        <v>Y</v>
      </c>
      <c r="L10" s="8">
        <v>60</v>
      </c>
      <c r="M10" s="6">
        <v>48</v>
      </c>
      <c r="N10" s="6">
        <v>80</v>
      </c>
      <c r="O10" s="6">
        <v>3</v>
      </c>
      <c r="P10" s="9" t="str">
        <v>Y</v>
      </c>
      <c r="Q10" s="8">
        <v>0</v>
      </c>
      <c r="R10" s="6">
        <v>0</v>
      </c>
      <c r="S10" s="6" t="str">
        <v>NA</v>
      </c>
      <c r="T10" s="6">
        <v>3</v>
      </c>
      <c r="U10" s="9" t="str">
        <v>Y</v>
      </c>
      <c r="V10" s="8">
        <v>0</v>
      </c>
      <c r="W10" s="6">
        <v>0</v>
      </c>
      <c r="X10" s="6" t="str">
        <v>NA</v>
      </c>
      <c r="Y10" s="6">
        <v>3</v>
      </c>
      <c r="Z10" s="9" t="str">
        <v>Y</v>
      </c>
      <c r="AA10" s="8">
        <v>0</v>
      </c>
      <c r="AB10" s="6">
        <v>0</v>
      </c>
      <c r="AC10" s="6" t="str">
        <v>NA</v>
      </c>
      <c r="AD10" s="6">
        <v>3</v>
      </c>
      <c r="AE10" s="9" t="str">
        <v>Y</v>
      </c>
    </row>
    <row r="11" spans="1:31" x14ac:dyDescent="0.3">
      <c r="A11" s="7">
        <v>2010992011</v>
      </c>
      <c r="B11" s="8">
        <v>60</v>
      </c>
      <c r="C11" s="6">
        <v>46</v>
      </c>
      <c r="D11" s="6">
        <v>76.67</v>
      </c>
      <c r="E11" s="6">
        <v>3</v>
      </c>
      <c r="F11" s="9" t="str">
        <v>Y</v>
      </c>
      <c r="G11" s="8">
        <v>60</v>
      </c>
      <c r="H11" s="6">
        <v>46</v>
      </c>
      <c r="I11" s="6">
        <v>76.67</v>
      </c>
      <c r="J11" s="6">
        <v>3</v>
      </c>
      <c r="K11" s="9" t="str">
        <v>Y</v>
      </c>
      <c r="L11" s="8">
        <v>60</v>
      </c>
      <c r="M11" s="6">
        <v>46</v>
      </c>
      <c r="N11" s="6">
        <v>76.67</v>
      </c>
      <c r="O11" s="6">
        <v>3</v>
      </c>
      <c r="P11" s="9" t="str">
        <v>Y</v>
      </c>
      <c r="Q11" s="8">
        <v>0</v>
      </c>
      <c r="R11" s="6">
        <v>0</v>
      </c>
      <c r="S11" s="6" t="str">
        <v>NA</v>
      </c>
      <c r="T11" s="6">
        <v>3</v>
      </c>
      <c r="U11" s="9" t="str">
        <v>Y</v>
      </c>
      <c r="V11" s="8">
        <v>0</v>
      </c>
      <c r="W11" s="6">
        <v>0</v>
      </c>
      <c r="X11" s="6" t="str">
        <v>NA</v>
      </c>
      <c r="Y11" s="6">
        <v>3</v>
      </c>
      <c r="Z11" s="9" t="str">
        <v>Y</v>
      </c>
      <c r="AA11" s="8">
        <v>0</v>
      </c>
      <c r="AB11" s="6">
        <v>0</v>
      </c>
      <c r="AC11" s="6" t="str">
        <v>NA</v>
      </c>
      <c r="AD11" s="6">
        <v>3</v>
      </c>
      <c r="AE11" s="9" t="str">
        <v>Y</v>
      </c>
    </row>
    <row r="12" spans="1:31" x14ac:dyDescent="0.3">
      <c r="A12" s="7">
        <v>2010992012</v>
      </c>
      <c r="B12" s="8">
        <v>60</v>
      </c>
      <c r="C12" s="6">
        <v>41</v>
      </c>
      <c r="D12" s="6">
        <v>68.33</v>
      </c>
      <c r="E12" s="6">
        <v>3</v>
      </c>
      <c r="F12" s="9" t="str">
        <v>Y</v>
      </c>
      <c r="G12" s="8">
        <v>60</v>
      </c>
      <c r="H12" s="6">
        <v>41</v>
      </c>
      <c r="I12" s="6">
        <v>68.33</v>
      </c>
      <c r="J12" s="6">
        <v>3</v>
      </c>
      <c r="K12" s="9" t="str">
        <v>Y</v>
      </c>
      <c r="L12" s="8">
        <v>60</v>
      </c>
      <c r="M12" s="6">
        <v>41</v>
      </c>
      <c r="N12" s="6">
        <v>68.33</v>
      </c>
      <c r="O12" s="6">
        <v>3</v>
      </c>
      <c r="P12" s="9" t="str">
        <v>Y</v>
      </c>
      <c r="Q12" s="8">
        <v>0</v>
      </c>
      <c r="R12" s="6">
        <v>0</v>
      </c>
      <c r="S12" s="6" t="str">
        <v>NA</v>
      </c>
      <c r="T12" s="6">
        <v>3</v>
      </c>
      <c r="U12" s="9" t="str">
        <v>Y</v>
      </c>
      <c r="V12" s="8">
        <v>0</v>
      </c>
      <c r="W12" s="6">
        <v>0</v>
      </c>
      <c r="X12" s="6" t="str">
        <v>NA</v>
      </c>
      <c r="Y12" s="6">
        <v>3</v>
      </c>
      <c r="Z12" s="9" t="str">
        <v>Y</v>
      </c>
      <c r="AA12" s="8">
        <v>0</v>
      </c>
      <c r="AB12" s="6">
        <v>0</v>
      </c>
      <c r="AC12" s="6" t="str">
        <v>NA</v>
      </c>
      <c r="AD12" s="6">
        <v>3</v>
      </c>
      <c r="AE12" s="9" t="str">
        <v>Y</v>
      </c>
    </row>
    <row r="13" spans="1:31" x14ac:dyDescent="0.3">
      <c r="A13" s="7">
        <v>2010992014</v>
      </c>
      <c r="B13" s="8">
        <v>60</v>
      </c>
      <c r="C13" s="6">
        <v>48</v>
      </c>
      <c r="D13" s="6">
        <v>80</v>
      </c>
      <c r="E13" s="6">
        <v>3</v>
      </c>
      <c r="F13" s="9" t="str">
        <v>Y</v>
      </c>
      <c r="G13" s="8">
        <v>60</v>
      </c>
      <c r="H13" s="6">
        <v>48</v>
      </c>
      <c r="I13" s="6">
        <v>80</v>
      </c>
      <c r="J13" s="6">
        <v>3</v>
      </c>
      <c r="K13" s="9" t="str">
        <v>Y</v>
      </c>
      <c r="L13" s="8">
        <v>60</v>
      </c>
      <c r="M13" s="6">
        <v>48</v>
      </c>
      <c r="N13" s="6">
        <v>80</v>
      </c>
      <c r="O13" s="6">
        <v>3</v>
      </c>
      <c r="P13" s="9" t="str">
        <v>Y</v>
      </c>
      <c r="Q13" s="8">
        <v>0</v>
      </c>
      <c r="R13" s="6">
        <v>0</v>
      </c>
      <c r="S13" s="6" t="str">
        <v>NA</v>
      </c>
      <c r="T13" s="6">
        <v>3</v>
      </c>
      <c r="U13" s="9" t="str">
        <v>Y</v>
      </c>
      <c r="V13" s="8">
        <v>0</v>
      </c>
      <c r="W13" s="6">
        <v>0</v>
      </c>
      <c r="X13" s="6" t="str">
        <v>NA</v>
      </c>
      <c r="Y13" s="6">
        <v>3</v>
      </c>
      <c r="Z13" s="9" t="str">
        <v>Y</v>
      </c>
      <c r="AA13" s="8">
        <v>0</v>
      </c>
      <c r="AB13" s="6">
        <v>0</v>
      </c>
      <c r="AC13" s="6" t="str">
        <v>NA</v>
      </c>
      <c r="AD13" s="6">
        <v>3</v>
      </c>
      <c r="AE13" s="9" t="str">
        <v>Y</v>
      </c>
    </row>
    <row r="14" spans="1:31" x14ac:dyDescent="0.3">
      <c r="A14" s="7">
        <v>2010992015</v>
      </c>
      <c r="B14" s="8">
        <v>60</v>
      </c>
      <c r="C14" s="6">
        <v>38</v>
      </c>
      <c r="D14" s="6">
        <v>63.33</v>
      </c>
      <c r="E14" s="6">
        <v>3</v>
      </c>
      <c r="F14" s="9" t="str">
        <v>Y</v>
      </c>
      <c r="G14" s="8">
        <v>60</v>
      </c>
      <c r="H14" s="6">
        <v>38</v>
      </c>
      <c r="I14" s="6">
        <v>63.33</v>
      </c>
      <c r="J14" s="6">
        <v>3</v>
      </c>
      <c r="K14" s="9" t="str">
        <v>Y</v>
      </c>
      <c r="L14" s="8">
        <v>60</v>
      </c>
      <c r="M14" s="6">
        <v>38</v>
      </c>
      <c r="N14" s="6">
        <v>63.33</v>
      </c>
      <c r="O14" s="6">
        <v>3</v>
      </c>
      <c r="P14" s="9" t="str">
        <v>Y</v>
      </c>
      <c r="Q14" s="8">
        <v>0</v>
      </c>
      <c r="R14" s="6">
        <v>0</v>
      </c>
      <c r="S14" s="6" t="str">
        <v>NA</v>
      </c>
      <c r="T14" s="6">
        <v>3</v>
      </c>
      <c r="U14" s="9" t="str">
        <v>Y</v>
      </c>
      <c r="V14" s="8">
        <v>0</v>
      </c>
      <c r="W14" s="6">
        <v>0</v>
      </c>
      <c r="X14" s="6" t="str">
        <v>NA</v>
      </c>
      <c r="Y14" s="6">
        <v>3</v>
      </c>
      <c r="Z14" s="9" t="str">
        <v>Y</v>
      </c>
      <c r="AA14" s="8">
        <v>0</v>
      </c>
      <c r="AB14" s="6">
        <v>0</v>
      </c>
      <c r="AC14" s="6" t="str">
        <v>NA</v>
      </c>
      <c r="AD14" s="6">
        <v>3</v>
      </c>
      <c r="AE14" s="9" t="str">
        <v>Y</v>
      </c>
    </row>
    <row r="15" spans="1:31" x14ac:dyDescent="0.3">
      <c r="A15" s="7">
        <v>2010992016</v>
      </c>
      <c r="B15" s="8">
        <v>60</v>
      </c>
      <c r="C15" s="6">
        <v>50</v>
      </c>
      <c r="D15" s="6">
        <v>83.33</v>
      </c>
      <c r="E15" s="6">
        <v>3</v>
      </c>
      <c r="F15" s="9" t="str">
        <v>Y</v>
      </c>
      <c r="G15" s="8">
        <v>60</v>
      </c>
      <c r="H15" s="6">
        <v>50</v>
      </c>
      <c r="I15" s="6">
        <v>83.33</v>
      </c>
      <c r="J15" s="6">
        <v>3</v>
      </c>
      <c r="K15" s="9" t="str">
        <v>Y</v>
      </c>
      <c r="L15" s="8">
        <v>60</v>
      </c>
      <c r="M15" s="6">
        <v>50</v>
      </c>
      <c r="N15" s="6">
        <v>83.33</v>
      </c>
      <c r="O15" s="6">
        <v>3</v>
      </c>
      <c r="P15" s="9" t="str">
        <v>Y</v>
      </c>
      <c r="Q15" s="8">
        <v>0</v>
      </c>
      <c r="R15" s="6">
        <v>0</v>
      </c>
      <c r="S15" s="6" t="str">
        <v>NA</v>
      </c>
      <c r="T15" s="6">
        <v>3</v>
      </c>
      <c r="U15" s="9" t="str">
        <v>Y</v>
      </c>
      <c r="V15" s="8">
        <v>0</v>
      </c>
      <c r="W15" s="6">
        <v>0</v>
      </c>
      <c r="X15" s="6" t="str">
        <v>NA</v>
      </c>
      <c r="Y15" s="6">
        <v>3</v>
      </c>
      <c r="Z15" s="9" t="str">
        <v>Y</v>
      </c>
      <c r="AA15" s="8">
        <v>0</v>
      </c>
      <c r="AB15" s="6">
        <v>0</v>
      </c>
      <c r="AC15" s="6" t="str">
        <v>NA</v>
      </c>
      <c r="AD15" s="6">
        <v>3</v>
      </c>
      <c r="AE15" s="9" t="str">
        <v>Y</v>
      </c>
    </row>
    <row r="16" spans="1:31" x14ac:dyDescent="0.3">
      <c r="A16" s="7">
        <v>2010992017</v>
      </c>
      <c r="B16" s="8">
        <v>60</v>
      </c>
      <c r="C16" s="6">
        <v>50</v>
      </c>
      <c r="D16" s="6">
        <v>83.33</v>
      </c>
      <c r="E16" s="6">
        <v>3</v>
      </c>
      <c r="F16" s="9" t="str">
        <v>Y</v>
      </c>
      <c r="G16" s="8">
        <v>60</v>
      </c>
      <c r="H16" s="6">
        <v>50</v>
      </c>
      <c r="I16" s="6">
        <v>83.33</v>
      </c>
      <c r="J16" s="6">
        <v>3</v>
      </c>
      <c r="K16" s="9" t="str">
        <v>Y</v>
      </c>
      <c r="L16" s="8">
        <v>60</v>
      </c>
      <c r="M16" s="6">
        <v>50</v>
      </c>
      <c r="N16" s="6">
        <v>83.33</v>
      </c>
      <c r="O16" s="6">
        <v>3</v>
      </c>
      <c r="P16" s="9" t="str">
        <v>Y</v>
      </c>
      <c r="Q16" s="8">
        <v>0</v>
      </c>
      <c r="R16" s="6">
        <v>0</v>
      </c>
      <c r="S16" s="6" t="str">
        <v>NA</v>
      </c>
      <c r="T16" s="6">
        <v>3</v>
      </c>
      <c r="U16" s="9" t="str">
        <v>Y</v>
      </c>
      <c r="V16" s="8">
        <v>0</v>
      </c>
      <c r="W16" s="6">
        <v>0</v>
      </c>
      <c r="X16" s="6" t="str">
        <v>NA</v>
      </c>
      <c r="Y16" s="6">
        <v>3</v>
      </c>
      <c r="Z16" s="9" t="str">
        <v>Y</v>
      </c>
      <c r="AA16" s="8">
        <v>0</v>
      </c>
      <c r="AB16" s="6">
        <v>0</v>
      </c>
      <c r="AC16" s="6" t="str">
        <v>NA</v>
      </c>
      <c r="AD16" s="6">
        <v>3</v>
      </c>
      <c r="AE16" s="9" t="str">
        <v>Y</v>
      </c>
    </row>
    <row r="17" spans="1:31" x14ac:dyDescent="0.3">
      <c r="A17" s="7">
        <v>2010992018</v>
      </c>
      <c r="B17" s="8">
        <v>60</v>
      </c>
      <c r="C17" s="6">
        <v>51</v>
      </c>
      <c r="D17" s="6">
        <v>85</v>
      </c>
      <c r="E17" s="6">
        <v>3</v>
      </c>
      <c r="F17" s="9" t="str">
        <v>Y</v>
      </c>
      <c r="G17" s="8">
        <v>60</v>
      </c>
      <c r="H17" s="6">
        <v>51</v>
      </c>
      <c r="I17" s="6">
        <v>85</v>
      </c>
      <c r="J17" s="6">
        <v>3</v>
      </c>
      <c r="K17" s="9" t="str">
        <v>Y</v>
      </c>
      <c r="L17" s="8">
        <v>60</v>
      </c>
      <c r="M17" s="6">
        <v>51</v>
      </c>
      <c r="N17" s="6">
        <v>85</v>
      </c>
      <c r="O17" s="6">
        <v>3</v>
      </c>
      <c r="P17" s="9" t="str">
        <v>Y</v>
      </c>
      <c r="Q17" s="8">
        <v>0</v>
      </c>
      <c r="R17" s="6">
        <v>0</v>
      </c>
      <c r="S17" s="6" t="str">
        <v>NA</v>
      </c>
      <c r="T17" s="6">
        <v>3</v>
      </c>
      <c r="U17" s="9" t="str">
        <v>Y</v>
      </c>
      <c r="V17" s="8">
        <v>0</v>
      </c>
      <c r="W17" s="6">
        <v>0</v>
      </c>
      <c r="X17" s="6" t="str">
        <v>NA</v>
      </c>
      <c r="Y17" s="6">
        <v>3</v>
      </c>
      <c r="Z17" s="9" t="str">
        <v>Y</v>
      </c>
      <c r="AA17" s="8">
        <v>0</v>
      </c>
      <c r="AB17" s="6">
        <v>0</v>
      </c>
      <c r="AC17" s="6" t="str">
        <v>NA</v>
      </c>
      <c r="AD17" s="6">
        <v>3</v>
      </c>
      <c r="AE17" s="9" t="str">
        <v>Y</v>
      </c>
    </row>
    <row r="18" spans="1:31" x14ac:dyDescent="0.3">
      <c r="A18" s="7">
        <v>2010992019</v>
      </c>
      <c r="B18" s="8">
        <v>60</v>
      </c>
      <c r="C18" s="6">
        <v>50</v>
      </c>
      <c r="D18" s="6">
        <v>83.33</v>
      </c>
      <c r="E18" s="6">
        <v>3</v>
      </c>
      <c r="F18" s="9" t="str">
        <v>Y</v>
      </c>
      <c r="G18" s="8">
        <v>60</v>
      </c>
      <c r="H18" s="6">
        <v>50</v>
      </c>
      <c r="I18" s="6">
        <v>83.33</v>
      </c>
      <c r="J18" s="6">
        <v>3</v>
      </c>
      <c r="K18" s="9" t="str">
        <v>Y</v>
      </c>
      <c r="L18" s="8">
        <v>60</v>
      </c>
      <c r="M18" s="6">
        <v>50</v>
      </c>
      <c r="N18" s="6">
        <v>83.33</v>
      </c>
      <c r="O18" s="6">
        <v>3</v>
      </c>
      <c r="P18" s="9" t="str">
        <v>Y</v>
      </c>
      <c r="Q18" s="8">
        <v>0</v>
      </c>
      <c r="R18" s="6">
        <v>0</v>
      </c>
      <c r="S18" s="6" t="str">
        <v>NA</v>
      </c>
      <c r="T18" s="6">
        <v>3</v>
      </c>
      <c r="U18" s="9" t="str">
        <v>Y</v>
      </c>
      <c r="V18" s="8">
        <v>0</v>
      </c>
      <c r="W18" s="6">
        <v>0</v>
      </c>
      <c r="X18" s="6" t="str">
        <v>NA</v>
      </c>
      <c r="Y18" s="6">
        <v>3</v>
      </c>
      <c r="Z18" s="9" t="str">
        <v>Y</v>
      </c>
      <c r="AA18" s="8">
        <v>0</v>
      </c>
      <c r="AB18" s="6">
        <v>0</v>
      </c>
      <c r="AC18" s="6" t="str">
        <v>NA</v>
      </c>
      <c r="AD18" s="6">
        <v>3</v>
      </c>
      <c r="AE18" s="9" t="str">
        <v>Y</v>
      </c>
    </row>
    <row r="19" spans="1:31" x14ac:dyDescent="0.3">
      <c r="A19" s="7">
        <v>2010992163</v>
      </c>
      <c r="B19" s="8">
        <v>60</v>
      </c>
      <c r="C19" s="6">
        <v>41</v>
      </c>
      <c r="D19" s="6">
        <v>68.33</v>
      </c>
      <c r="E19" s="6">
        <v>3</v>
      </c>
      <c r="F19" s="9" t="str">
        <v>Y</v>
      </c>
      <c r="G19" s="8">
        <v>60</v>
      </c>
      <c r="H19" s="6">
        <v>41</v>
      </c>
      <c r="I19" s="6">
        <v>68.33</v>
      </c>
      <c r="J19" s="6">
        <v>3</v>
      </c>
      <c r="K19" s="9" t="str">
        <v>Y</v>
      </c>
      <c r="L19" s="8">
        <v>60</v>
      </c>
      <c r="M19" s="6">
        <v>41</v>
      </c>
      <c r="N19" s="6">
        <v>68.33</v>
      </c>
      <c r="O19" s="6">
        <v>3</v>
      </c>
      <c r="P19" s="9" t="str">
        <v>Y</v>
      </c>
      <c r="Q19" s="8">
        <v>0</v>
      </c>
      <c r="R19" s="6">
        <v>0</v>
      </c>
      <c r="S19" s="6" t="str">
        <v>NA</v>
      </c>
      <c r="T19" s="6">
        <v>3</v>
      </c>
      <c r="U19" s="9" t="str">
        <v>Y</v>
      </c>
      <c r="V19" s="8">
        <v>0</v>
      </c>
      <c r="W19" s="6">
        <v>0</v>
      </c>
      <c r="X19" s="6" t="str">
        <v>NA</v>
      </c>
      <c r="Y19" s="6">
        <v>3</v>
      </c>
      <c r="Z19" s="9" t="str">
        <v>Y</v>
      </c>
      <c r="AA19" s="8">
        <v>0</v>
      </c>
      <c r="AB19" s="6">
        <v>0</v>
      </c>
      <c r="AC19" s="6" t="str">
        <v>NA</v>
      </c>
      <c r="AD19" s="6">
        <v>3</v>
      </c>
      <c r="AE19" s="9" t="str">
        <v>Y</v>
      </c>
    </row>
    <row r="20" spans="1:31" x14ac:dyDescent="0.3">
      <c r="A20" s="7">
        <v>2010992202</v>
      </c>
      <c r="B20" s="8">
        <v>60</v>
      </c>
      <c r="C20" s="6">
        <v>47</v>
      </c>
      <c r="D20" s="6">
        <v>78.33</v>
      </c>
      <c r="E20" s="6">
        <v>3</v>
      </c>
      <c r="F20" s="9" t="str">
        <v>Y</v>
      </c>
      <c r="G20" s="8">
        <v>60</v>
      </c>
      <c r="H20" s="6">
        <v>47</v>
      </c>
      <c r="I20" s="6">
        <v>78.33</v>
      </c>
      <c r="J20" s="6">
        <v>3</v>
      </c>
      <c r="K20" s="9" t="str">
        <v>Y</v>
      </c>
      <c r="L20" s="8">
        <v>60</v>
      </c>
      <c r="M20" s="6">
        <v>47</v>
      </c>
      <c r="N20" s="6">
        <v>78.33</v>
      </c>
      <c r="O20" s="6">
        <v>3</v>
      </c>
      <c r="P20" s="9" t="str">
        <v>Y</v>
      </c>
      <c r="Q20" s="8">
        <v>0</v>
      </c>
      <c r="R20" s="6">
        <v>0</v>
      </c>
      <c r="S20" s="6" t="str">
        <v>NA</v>
      </c>
      <c r="T20" s="6">
        <v>3</v>
      </c>
      <c r="U20" s="9" t="str">
        <v>Y</v>
      </c>
      <c r="V20" s="8">
        <v>0</v>
      </c>
      <c r="W20" s="6">
        <v>0</v>
      </c>
      <c r="X20" s="6" t="str">
        <v>NA</v>
      </c>
      <c r="Y20" s="6">
        <v>3</v>
      </c>
      <c r="Z20" s="9" t="str">
        <v>Y</v>
      </c>
      <c r="AA20" s="8">
        <v>0</v>
      </c>
      <c r="AB20" s="6">
        <v>0</v>
      </c>
      <c r="AC20" s="6" t="str">
        <v>NA</v>
      </c>
      <c r="AD20" s="6">
        <v>3</v>
      </c>
      <c r="AE20" s="9" t="str">
        <v>Y</v>
      </c>
    </row>
    <row r="52" spans="26:26" x14ac:dyDescent="0.3">
      <c r="Z52" s="9">
        <f>COUNTIF(_xlfn.ANCHORARRAY(Z3),"Y")</f>
        <v>18</v>
      </c>
    </row>
    <row r="53" spans="26:26" x14ac:dyDescent="0.3">
      <c r="Z53" s="9">
        <f>COUNTIF(_xlfn.ANCHORARRAY(Z3),"N")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72CEF-0B90-4738-966E-81C05526F2B6}">
  <dimension ref="A1:AE53"/>
  <sheetViews>
    <sheetView topLeftCell="F1" workbookViewId="0">
      <selection activeCell="Q3" sqref="Q3"/>
    </sheetView>
  </sheetViews>
  <sheetFormatPr defaultRowHeight="14.4" x14ac:dyDescent="0.3"/>
  <cols>
    <col min="1" max="1" width="21" style="7" bestFit="1" customWidth="1"/>
    <col min="2" max="2" width="12.33203125" style="8" bestFit="1" customWidth="1"/>
    <col min="3" max="5" width="8.88671875" style="6"/>
    <col min="6" max="6" width="8.88671875" style="9"/>
    <col min="7" max="7" width="8.88671875" style="8"/>
    <col min="8" max="10" width="8.88671875" style="6"/>
    <col min="11" max="11" width="8.88671875" style="9"/>
    <col min="12" max="12" width="8.88671875" style="8"/>
    <col min="13" max="15" width="8.88671875" style="6"/>
    <col min="16" max="16" width="8.88671875" style="9"/>
    <col min="17" max="17" width="8.88671875" style="8"/>
    <col min="18" max="20" width="8.88671875" style="6"/>
    <col min="21" max="21" width="8.88671875" style="9"/>
    <col min="22" max="22" width="8.88671875" style="8"/>
    <col min="23" max="25" width="8.88671875" style="6"/>
    <col min="26" max="26" width="8.88671875" style="9"/>
    <col min="27" max="27" width="8.88671875" style="8"/>
    <col min="28" max="30" width="8.88671875" style="6"/>
    <col min="31" max="31" width="8.88671875" style="9"/>
  </cols>
  <sheetData>
    <row r="1" spans="1:31" ht="15" thickBot="1" x14ac:dyDescent="0.35">
      <c r="A1" s="7" t="s">
        <v>11</v>
      </c>
      <c r="B1" s="4" t="s">
        <v>0</v>
      </c>
      <c r="C1" s="1" t="s">
        <v>0</v>
      </c>
      <c r="D1" s="1" t="s">
        <v>0</v>
      </c>
      <c r="E1" s="1" t="s">
        <v>0</v>
      </c>
      <c r="F1" s="2" t="s">
        <v>0</v>
      </c>
      <c r="G1" s="4" t="s">
        <v>1</v>
      </c>
      <c r="H1" s="1" t="s">
        <v>1</v>
      </c>
      <c r="I1" s="3" t="s">
        <v>1</v>
      </c>
      <c r="J1" s="1" t="s">
        <v>1</v>
      </c>
      <c r="K1" s="2" t="s">
        <v>1</v>
      </c>
      <c r="L1" s="4" t="s">
        <v>2</v>
      </c>
      <c r="M1" s="1" t="s">
        <v>2</v>
      </c>
      <c r="N1" s="1" t="s">
        <v>2</v>
      </c>
      <c r="O1" s="1" t="s">
        <v>2</v>
      </c>
      <c r="P1" s="2" t="s">
        <v>2</v>
      </c>
      <c r="Q1" s="4" t="s">
        <v>3</v>
      </c>
      <c r="R1" s="1" t="s">
        <v>3</v>
      </c>
      <c r="S1" s="1" t="s">
        <v>3</v>
      </c>
      <c r="T1" s="1" t="s">
        <v>3</v>
      </c>
      <c r="U1" s="2" t="s">
        <v>3</v>
      </c>
      <c r="V1" s="4" t="s">
        <v>9</v>
      </c>
      <c r="W1" s="1" t="s">
        <v>9</v>
      </c>
      <c r="X1" s="1" t="s">
        <v>9</v>
      </c>
      <c r="Y1" s="1" t="s">
        <v>9</v>
      </c>
      <c r="Z1" s="2" t="s">
        <v>9</v>
      </c>
      <c r="AA1" s="4" t="s">
        <v>10</v>
      </c>
      <c r="AB1" s="1" t="s">
        <v>10</v>
      </c>
      <c r="AC1" s="1" t="s">
        <v>10</v>
      </c>
      <c r="AD1" s="1" t="s">
        <v>10</v>
      </c>
      <c r="AE1" s="2" t="s">
        <v>10</v>
      </c>
    </row>
    <row r="2" spans="1:31" ht="15" thickBot="1" x14ac:dyDescent="0.35">
      <c r="A2" s="12" t="str" cm="1">
        <f t="array" ref="A2:A20">'[1]ETE Result'!$B$1:INDEX('[1]ETE Result'!$B:$B,COUNTA('[1]ETE Result'!$B:$B))</f>
        <v>Admission No. (Roll No.)</v>
      </c>
      <c r="B2" s="4" t="s">
        <v>4</v>
      </c>
      <c r="C2" s="1" t="s">
        <v>5</v>
      </c>
      <c r="D2" s="13" t="s">
        <v>6</v>
      </c>
      <c r="E2" s="1" t="s">
        <v>7</v>
      </c>
      <c r="F2" s="2" t="s">
        <v>8</v>
      </c>
      <c r="G2" s="4" t="s">
        <v>4</v>
      </c>
      <c r="H2" s="1" t="s">
        <v>5</v>
      </c>
      <c r="I2" s="13" t="s">
        <v>6</v>
      </c>
      <c r="J2" s="1" t="s">
        <v>7</v>
      </c>
      <c r="K2" s="2" t="s">
        <v>8</v>
      </c>
      <c r="L2" s="4" t="s">
        <v>4</v>
      </c>
      <c r="M2" s="1" t="s">
        <v>5</v>
      </c>
      <c r="N2" s="13" t="s">
        <v>6</v>
      </c>
      <c r="O2" s="1" t="s">
        <v>7</v>
      </c>
      <c r="P2" s="2" t="s">
        <v>8</v>
      </c>
      <c r="Q2" s="4" t="s">
        <v>4</v>
      </c>
      <c r="R2" s="1" t="s">
        <v>5</v>
      </c>
      <c r="S2" s="13" t="s">
        <v>6</v>
      </c>
      <c r="T2" s="1" t="s">
        <v>7</v>
      </c>
      <c r="U2" s="2" t="s">
        <v>8</v>
      </c>
      <c r="V2" s="4" t="s">
        <v>4</v>
      </c>
      <c r="W2" s="1" t="s">
        <v>5</v>
      </c>
      <c r="X2" s="13" t="s">
        <v>6</v>
      </c>
      <c r="Y2" s="1" t="s">
        <v>7</v>
      </c>
      <c r="Z2" s="2" t="s">
        <v>8</v>
      </c>
      <c r="AA2" s="4" t="s">
        <v>4</v>
      </c>
      <c r="AB2" s="1" t="s">
        <v>5</v>
      </c>
      <c r="AC2" s="13" t="s">
        <v>6</v>
      </c>
      <c r="AD2" s="1" t="s">
        <v>7</v>
      </c>
      <c r="AE2" s="2" t="s">
        <v>8</v>
      </c>
    </row>
    <row r="3" spans="1:31" x14ac:dyDescent="0.3">
      <c r="A3" s="10">
        <v>2010990089</v>
      </c>
      <c r="B3" s="11" cm="1">
        <f t="array" ref="B3:B20">'[1]ASN Student MO CO Score'!$B$2:INDEX('[1]ASN Student MO CO Score'!$B:$B,COUNTA('[1]ASN Student MO CO Score'!$B:$B))</f>
        <v>60</v>
      </c>
      <c r="C3" s="5" cm="1">
        <f t="array" ref="C3:C20">'[1]ASN Student Attained CO Score'!$B$2:INDEX('[1]ASN Student Attained CO Score'!$B:$B,COUNTA('[1]ASN Student Attained CO Score'!$B:$B))</f>
        <v>40</v>
      </c>
      <c r="D3" s="5" cm="1">
        <f t="array" ref="D3:D20">IFERROR(ROUND('[1]ASN Student Attainment percent'!$B$2:INDEX('[1]ASN Student Attainment percent'!$B:$B,COUNTA('[1]ASN Student Attainment percent'!$B:$B)),2),"NA")</f>
        <v>66.67</v>
      </c>
      <c r="E3" s="5" cm="1">
        <f t="array" ref="E3:E20">'[1]ASN CO Attainment Score'!$B$2:INDEX('[1]ASN CO Attainment Score'!$B:$B,COUNTA('[1]ASN CO Attainment Score'!$B:$B))</f>
        <v>3</v>
      </c>
      <c r="F3" s="9" t="str" cm="1">
        <f t="array" ref="F3:F20">'[1]ASN Target Attained'!$B$2:INDEX('[1]ASN Target Attained'!$B:$B,COUNTA('[1]ASN Target Attained'!$B:$B))</f>
        <v>Y</v>
      </c>
      <c r="G3" s="11" cm="1">
        <f t="array" ref="G3:G20">'[1]ASN Student MO CO Score'!$C$2:INDEX('[1]ASN Student MO CO Score'!$C:$C,COUNTA('[1]ASN Student MO CO Score'!$C:$C))</f>
        <v>60</v>
      </c>
      <c r="H3" s="5" cm="1">
        <f t="array" ref="H3:H20">'[1]ASN Student Attained CO Score'!$C$2:INDEX('[1]ASN Student Attained CO Score'!$C:$C,COUNTA('[1]ASN Student Attained CO Score'!$C:$C))</f>
        <v>40</v>
      </c>
      <c r="I3" s="5" cm="1">
        <f t="array" ref="I3:I20">IFERROR(ROUND('[1]ASN Student Attainment percent'!$C$2:INDEX('[1]ASN Student Attainment percent'!$C:$C,COUNTA('[1]ASN Student Attainment percent'!$C:$C)),2),"NA")</f>
        <v>66.67</v>
      </c>
      <c r="J3" s="5" cm="1">
        <f t="array" ref="J3:J20">'[1]ASN CO Attainment Score'!$C$2:INDEX('[1]ASN CO Attainment Score'!$C:$C,COUNTA('[1]ASN CO Attainment Score'!$C:$C))</f>
        <v>3</v>
      </c>
      <c r="K3" s="9" t="str" cm="1">
        <f t="array" ref="K3:K19">'[1]ASN Target Attained'!$C$2:INDEX('[1]ASN Target Attained'!$C:$C,COUNTA('[1]ASN Target Attained'!$C:$C))</f>
        <v>Y</v>
      </c>
      <c r="L3" s="11" cm="1">
        <f t="array" ref="L3:L20">'[1]ASN Student MO CO Score'!$D$2:INDEX('[1]ASN Student MO CO Score'!$D:$D,COUNTA('[1]ASN Student MO CO Score'!$D:$D))</f>
        <v>50</v>
      </c>
      <c r="M3" s="5" cm="1">
        <f t="array" ref="M3:M20">'[1]ASN Student Attained CO Score'!$D$2:INDEX('[1]ASN Student Attained CO Score'!$D:$D,COUNTA('[1]ASN Student Attained CO Score'!$D:$D))</f>
        <v>40</v>
      </c>
      <c r="N3" s="5" cm="1">
        <f t="array" ref="N3:N20">IFERROR(ROUND('[1]ASN Student Attainment percent'!$D$2:INDEX('[1]ASN Student Attainment percent'!$D:$D,COUNTA('[1]ASN Student Attainment percent'!$D:$D)),2),"NA")</f>
        <v>80</v>
      </c>
      <c r="O3" s="5" cm="1">
        <f t="array" ref="O3:O20">'[1]ASN CO Attainment Score'!$D$2:INDEX('[1]ASN CO Attainment Score'!$D:$D,COUNTA('[1]ASN CO Attainment Score'!$D:$D))</f>
        <v>3</v>
      </c>
      <c r="P3" s="9" t="str" cm="1">
        <f t="array" ref="P3:P19">'[1]ASN Target Attained'!$D$2:INDEX('[1]ASN Target Attained'!$D:$D,COUNTA('[1]ASN Target Attained'!$D:$D))</f>
        <v>Y</v>
      </c>
      <c r="Q3" s="11" cm="1">
        <f t="array" ref="Q3:Q20">'[1]ASN Student MO CO Score'!$E$2:INDEX('[1]ASN Student MO CO Score'!$E:$E,COUNTA('[1]ASN Student MO CO Score'!$E:$E))</f>
        <v>0</v>
      </c>
      <c r="R3" s="5" cm="1">
        <f t="array" ref="R3:R20">'[1]ASN Student Attained CO Score'!$E$2:INDEX('[1]ASN Student Attained CO Score'!$E:$E,COUNTA('[1]ASN Student Attained CO Score'!$E:$E))</f>
        <v>0</v>
      </c>
      <c r="S3" s="5" t="str" cm="1">
        <f t="array" ref="S3:S20">IFERROR(ROUND('[1]ASN Student Attainment percent'!$E$2:INDEX('[1]ASN Student Attainment percent'!$E:$E,COUNTA('[1]ASN Student Attainment percent'!$E:$E)),2),"NA")</f>
        <v>NA</v>
      </c>
      <c r="T3" s="5" cm="1">
        <f t="array" ref="T3:T20">'[1]ASN CO Attainment Score'!$E$2:INDEX('[1]ASN CO Attainment Score'!$E:$E,COUNTA('[1]ASN CO Attainment Score'!$E:$E))</f>
        <v>3</v>
      </c>
      <c r="U3" s="9" t="str" cm="1">
        <f t="array" ref="U3:U19">'[1]ASN Target Attained'!$E$2:INDEX('[1]ASN Target Attained'!$E:$E,COUNTA('[1]ASN Target Attained'!$E:$E))</f>
        <v>Y</v>
      </c>
      <c r="V3" s="11" cm="1">
        <f t="array" ref="V3:V20">'[1]ASN Student MO CO Score'!$F$2:INDEX('[1]ASN Student MO CO Score'!$F:$F,COUNTA('[1]ASN Student MO CO Score'!$F:$F))</f>
        <v>0</v>
      </c>
      <c r="W3" s="5" cm="1">
        <f t="array" ref="W3:W20">'[1]ASN Student Attained CO Score'!$F$2:INDEX('[1]ASN Student Attained CO Score'!$F:$F,COUNTA('[1]ASN Student Attained CO Score'!$F:$F))</f>
        <v>0</v>
      </c>
      <c r="X3" s="5" t="str" cm="1">
        <f t="array" ref="X3:X20">IFERROR(ROUND('[1]ASN Student Attainment percent'!$F$2:INDEX('[1]ASN Student Attainment percent'!$F:$F,COUNTA('[1]ASN Student Attainment percent'!$F:$F)),2),"NA")</f>
        <v>NA</v>
      </c>
      <c r="Y3" s="5" cm="1">
        <f t="array" ref="Y3:Y20">'[1]ASN CO Attainment Score'!$F$2:INDEX('[1]ASN CO Attainment Score'!$F:$F,COUNTA('[1]ASN CO Attainment Score'!$F:$F))</f>
        <v>3</v>
      </c>
      <c r="Z3" s="9" t="str" cm="1">
        <f t="array" ref="Z3:Z19">'[1]ASN Target Attained'!$F$2:INDEX('[1]ASN Target Attained'!$F:$F,COUNTA('[1]ASN Target Attained'!$F:$F))</f>
        <v>Y</v>
      </c>
      <c r="AA3" s="11" cm="1">
        <f t="array" ref="AA3:AA20">'[1]ASN Student MO CO Score'!$G$2:INDEX('[1]ASN Student MO CO Score'!$G:$G,COUNTA('[1]ASN Student MO CO Score'!$G:$G))</f>
        <v>0</v>
      </c>
      <c r="AB3" s="5" cm="1">
        <f t="array" ref="AB3:AB20">'[1]ASN Student Attained CO Score'!$G$2:INDEX('[1]ASN Student Attained CO Score'!$G:$G,COUNTA('[1]ASN Student Attained CO Score'!$G:$G))</f>
        <v>0</v>
      </c>
      <c r="AC3" s="5" t="str" cm="1">
        <f t="array" ref="AC3:AC20">IFERROR(ROUND('[1]ASN Student Attainment percent'!$G$2:INDEX('[1]ASN Student Attainment percent'!$G:$G,COUNTA('[1]ASN Student Attainment percent'!$G:$G)),2),"NA")</f>
        <v>NA</v>
      </c>
      <c r="AD3" s="5" cm="1">
        <f t="array" ref="AD3:AD20">'[1]ASN CO Attainment Score'!$G$2:INDEX('[1]ASN CO Attainment Score'!$G:$G,COUNTA('[1]ASN CO Attainment Score'!$G:$G))</f>
        <v>3</v>
      </c>
      <c r="AE3" s="9" t="str" cm="1">
        <f t="array" ref="AE3:AE19">'[1]ASN Target Attained'!$G$2:INDEX('[1]ASN Target Attained'!$G:$G,COUNTA('[1]ASN Target Attained'!$G:$G))</f>
        <v>Y</v>
      </c>
    </row>
    <row r="4" spans="1:31" x14ac:dyDescent="0.3">
      <c r="A4" s="7">
        <v>2010992002</v>
      </c>
      <c r="B4" s="8">
        <v>60</v>
      </c>
      <c r="C4" s="6">
        <v>44</v>
      </c>
      <c r="D4" s="6">
        <v>73.33</v>
      </c>
      <c r="E4" s="6">
        <v>3</v>
      </c>
      <c r="F4" s="9" t="str">
        <v>Y</v>
      </c>
      <c r="G4" s="8">
        <v>60</v>
      </c>
      <c r="H4" s="6">
        <v>44</v>
      </c>
      <c r="I4" s="6">
        <v>73.33</v>
      </c>
      <c r="J4" s="6">
        <v>3</v>
      </c>
      <c r="K4" s="9" t="str">
        <v>Y</v>
      </c>
      <c r="L4" s="8">
        <v>50</v>
      </c>
      <c r="M4" s="6">
        <v>44</v>
      </c>
      <c r="N4" s="6">
        <v>88</v>
      </c>
      <c r="O4" s="6">
        <v>3</v>
      </c>
      <c r="P4" s="9" t="str">
        <v>Y</v>
      </c>
      <c r="Q4" s="8">
        <v>0</v>
      </c>
      <c r="R4" s="6">
        <v>0</v>
      </c>
      <c r="S4" s="6" t="str">
        <v>NA</v>
      </c>
      <c r="T4" s="6">
        <v>3</v>
      </c>
      <c r="U4" s="9" t="str">
        <v>Y</v>
      </c>
      <c r="V4" s="8">
        <v>0</v>
      </c>
      <c r="W4" s="6">
        <v>0</v>
      </c>
      <c r="X4" s="6" t="str">
        <v>NA</v>
      </c>
      <c r="Y4" s="6">
        <v>3</v>
      </c>
      <c r="Z4" s="9" t="str">
        <v>Y</v>
      </c>
      <c r="AA4" s="8">
        <v>0</v>
      </c>
      <c r="AB4" s="6">
        <v>0</v>
      </c>
      <c r="AC4" s="6" t="str">
        <v>NA</v>
      </c>
      <c r="AD4" s="6">
        <v>3</v>
      </c>
      <c r="AE4" s="9" t="str">
        <v>Y</v>
      </c>
    </row>
    <row r="5" spans="1:31" x14ac:dyDescent="0.3">
      <c r="A5" s="7">
        <v>2010992004</v>
      </c>
      <c r="B5" s="8">
        <v>60</v>
      </c>
      <c r="C5" s="6">
        <v>40</v>
      </c>
      <c r="D5" s="6">
        <v>66.67</v>
      </c>
      <c r="E5" s="6">
        <v>3</v>
      </c>
      <c r="F5" s="9" t="str">
        <v>Y</v>
      </c>
      <c r="G5" s="8">
        <v>60</v>
      </c>
      <c r="H5" s="6">
        <v>40</v>
      </c>
      <c r="I5" s="6">
        <v>66.67</v>
      </c>
      <c r="J5" s="6">
        <v>3</v>
      </c>
      <c r="K5" s="9" t="str">
        <v>Y</v>
      </c>
      <c r="L5" s="8">
        <v>50</v>
      </c>
      <c r="M5" s="6">
        <v>40</v>
      </c>
      <c r="N5" s="6">
        <v>80</v>
      </c>
      <c r="O5" s="6">
        <v>3</v>
      </c>
      <c r="P5" s="9" t="str">
        <v>Y</v>
      </c>
      <c r="Q5" s="8">
        <v>0</v>
      </c>
      <c r="R5" s="6">
        <v>0</v>
      </c>
      <c r="S5" s="6" t="str">
        <v>NA</v>
      </c>
      <c r="T5" s="6">
        <v>3</v>
      </c>
      <c r="U5" s="9" t="str">
        <v>Y</v>
      </c>
      <c r="V5" s="8">
        <v>0</v>
      </c>
      <c r="W5" s="6">
        <v>0</v>
      </c>
      <c r="X5" s="6" t="str">
        <v>NA</v>
      </c>
      <c r="Y5" s="6">
        <v>3</v>
      </c>
      <c r="Z5" s="9" t="str">
        <v>Y</v>
      </c>
      <c r="AA5" s="8">
        <v>0</v>
      </c>
      <c r="AB5" s="6">
        <v>0</v>
      </c>
      <c r="AC5" s="6" t="str">
        <v>NA</v>
      </c>
      <c r="AD5" s="6">
        <v>3</v>
      </c>
      <c r="AE5" s="9" t="str">
        <v>Y</v>
      </c>
    </row>
    <row r="6" spans="1:31" x14ac:dyDescent="0.3">
      <c r="A6" s="7">
        <v>2010992005</v>
      </c>
      <c r="B6" s="8">
        <v>60</v>
      </c>
      <c r="C6" s="6">
        <v>45</v>
      </c>
      <c r="D6" s="6">
        <v>75</v>
      </c>
      <c r="E6" s="6">
        <v>3</v>
      </c>
      <c r="F6" s="9" t="str">
        <v>Y</v>
      </c>
      <c r="G6" s="8">
        <v>60</v>
      </c>
      <c r="H6" s="6">
        <v>45</v>
      </c>
      <c r="I6" s="6">
        <v>75</v>
      </c>
      <c r="J6" s="6">
        <v>3</v>
      </c>
      <c r="K6" s="9" t="str">
        <v>Y</v>
      </c>
      <c r="L6" s="8">
        <v>50</v>
      </c>
      <c r="M6" s="6">
        <v>45</v>
      </c>
      <c r="N6" s="6">
        <v>90</v>
      </c>
      <c r="O6" s="6">
        <v>3</v>
      </c>
      <c r="P6" s="9" t="str">
        <v>Y</v>
      </c>
      <c r="Q6" s="8">
        <v>0</v>
      </c>
      <c r="R6" s="6">
        <v>0</v>
      </c>
      <c r="S6" s="6" t="str">
        <v>NA</v>
      </c>
      <c r="T6" s="6">
        <v>3</v>
      </c>
      <c r="U6" s="9" t="str">
        <v>Y</v>
      </c>
      <c r="V6" s="8">
        <v>0</v>
      </c>
      <c r="W6" s="6">
        <v>0</v>
      </c>
      <c r="X6" s="6" t="str">
        <v>NA</v>
      </c>
      <c r="Y6" s="6">
        <v>3</v>
      </c>
      <c r="Z6" s="9" t="str">
        <v>Y</v>
      </c>
      <c r="AA6" s="8">
        <v>0</v>
      </c>
      <c r="AB6" s="6">
        <v>0</v>
      </c>
      <c r="AC6" s="6" t="str">
        <v>NA</v>
      </c>
      <c r="AD6" s="6">
        <v>3</v>
      </c>
      <c r="AE6" s="9" t="str">
        <v>Y</v>
      </c>
    </row>
    <row r="7" spans="1:31" x14ac:dyDescent="0.3">
      <c r="A7" s="7">
        <v>2010992006</v>
      </c>
      <c r="B7" s="8">
        <v>60</v>
      </c>
      <c r="C7" s="6">
        <v>37</v>
      </c>
      <c r="D7" s="6">
        <v>61.67</v>
      </c>
      <c r="E7" s="6">
        <v>3</v>
      </c>
      <c r="F7" s="9" t="str">
        <v>Y</v>
      </c>
      <c r="G7" s="8">
        <v>60</v>
      </c>
      <c r="H7" s="6">
        <v>37</v>
      </c>
      <c r="I7" s="6">
        <v>61.67</v>
      </c>
      <c r="J7" s="6">
        <v>3</v>
      </c>
      <c r="K7" s="9" t="str">
        <v>Y</v>
      </c>
      <c r="L7" s="8">
        <v>50</v>
      </c>
      <c r="M7" s="6">
        <v>37</v>
      </c>
      <c r="N7" s="6">
        <v>74</v>
      </c>
      <c r="O7" s="6">
        <v>3</v>
      </c>
      <c r="P7" s="9" t="str">
        <v>Y</v>
      </c>
      <c r="Q7" s="8">
        <v>0</v>
      </c>
      <c r="R7" s="6">
        <v>0</v>
      </c>
      <c r="S7" s="6" t="str">
        <v>NA</v>
      </c>
      <c r="T7" s="6">
        <v>3</v>
      </c>
      <c r="U7" s="9" t="str">
        <v>Y</v>
      </c>
      <c r="V7" s="8">
        <v>0</v>
      </c>
      <c r="W7" s="6">
        <v>0</v>
      </c>
      <c r="X7" s="6" t="str">
        <v>NA</v>
      </c>
      <c r="Y7" s="6">
        <v>3</v>
      </c>
      <c r="Z7" s="9" t="str">
        <v>Y</v>
      </c>
      <c r="AA7" s="8">
        <v>0</v>
      </c>
      <c r="AB7" s="6">
        <v>0</v>
      </c>
      <c r="AC7" s="6" t="str">
        <v>NA</v>
      </c>
      <c r="AD7" s="6">
        <v>3</v>
      </c>
      <c r="AE7" s="9" t="str">
        <v>Y</v>
      </c>
    </row>
    <row r="8" spans="1:31" x14ac:dyDescent="0.3">
      <c r="A8" s="7">
        <v>2010992008</v>
      </c>
      <c r="B8" s="8">
        <v>60</v>
      </c>
      <c r="C8" s="6">
        <v>43</v>
      </c>
      <c r="D8" s="6">
        <v>71.67</v>
      </c>
      <c r="E8" s="6">
        <v>3</v>
      </c>
      <c r="F8" s="9" t="str">
        <v>Y</v>
      </c>
      <c r="G8" s="8">
        <v>60</v>
      </c>
      <c r="H8" s="6">
        <v>43</v>
      </c>
      <c r="I8" s="6">
        <v>71.67</v>
      </c>
      <c r="J8" s="6">
        <v>3</v>
      </c>
      <c r="K8" s="9" t="str">
        <v>Y</v>
      </c>
      <c r="L8" s="8">
        <v>50</v>
      </c>
      <c r="M8" s="6">
        <v>43</v>
      </c>
      <c r="N8" s="6">
        <v>86</v>
      </c>
      <c r="O8" s="6">
        <v>3</v>
      </c>
      <c r="P8" s="9" t="str">
        <v>Y</v>
      </c>
      <c r="Q8" s="8">
        <v>0</v>
      </c>
      <c r="R8" s="6">
        <v>0</v>
      </c>
      <c r="S8" s="6" t="str">
        <v>NA</v>
      </c>
      <c r="T8" s="6">
        <v>3</v>
      </c>
      <c r="U8" s="9" t="str">
        <v>Y</v>
      </c>
      <c r="V8" s="8">
        <v>0</v>
      </c>
      <c r="W8" s="6">
        <v>0</v>
      </c>
      <c r="X8" s="6" t="str">
        <v>NA</v>
      </c>
      <c r="Y8" s="6">
        <v>3</v>
      </c>
      <c r="Z8" s="9" t="str">
        <v>Y</v>
      </c>
      <c r="AA8" s="8">
        <v>0</v>
      </c>
      <c r="AB8" s="6">
        <v>0</v>
      </c>
      <c r="AC8" s="6" t="str">
        <v>NA</v>
      </c>
      <c r="AD8" s="6">
        <v>3</v>
      </c>
      <c r="AE8" s="9" t="str">
        <v>Y</v>
      </c>
    </row>
    <row r="9" spans="1:31" x14ac:dyDescent="0.3">
      <c r="A9" s="7">
        <v>2010992009</v>
      </c>
      <c r="B9" s="8">
        <v>60</v>
      </c>
      <c r="C9" s="6">
        <v>43</v>
      </c>
      <c r="D9" s="6">
        <v>71.67</v>
      </c>
      <c r="E9" s="6">
        <v>3</v>
      </c>
      <c r="F9" s="9" t="str">
        <v>Y</v>
      </c>
      <c r="G9" s="8">
        <v>60</v>
      </c>
      <c r="H9" s="6">
        <v>43</v>
      </c>
      <c r="I9" s="6">
        <v>71.67</v>
      </c>
      <c r="J9" s="6">
        <v>3</v>
      </c>
      <c r="K9" s="9" t="str">
        <v>Y</v>
      </c>
      <c r="L9" s="8">
        <v>50</v>
      </c>
      <c r="M9" s="6">
        <v>43</v>
      </c>
      <c r="N9" s="6">
        <v>86</v>
      </c>
      <c r="O9" s="6">
        <v>3</v>
      </c>
      <c r="P9" s="9" t="str">
        <v>Y</v>
      </c>
      <c r="Q9" s="8">
        <v>0</v>
      </c>
      <c r="R9" s="6">
        <v>0</v>
      </c>
      <c r="S9" s="6" t="str">
        <v>NA</v>
      </c>
      <c r="T9" s="6">
        <v>3</v>
      </c>
      <c r="U9" s="9" t="str">
        <v>Y</v>
      </c>
      <c r="V9" s="8">
        <v>0</v>
      </c>
      <c r="W9" s="6">
        <v>0</v>
      </c>
      <c r="X9" s="6" t="str">
        <v>NA</v>
      </c>
      <c r="Y9" s="6">
        <v>3</v>
      </c>
      <c r="Z9" s="9" t="str">
        <v>Y</v>
      </c>
      <c r="AA9" s="8">
        <v>0</v>
      </c>
      <c r="AB9" s="6">
        <v>0</v>
      </c>
      <c r="AC9" s="6" t="str">
        <v>NA</v>
      </c>
      <c r="AD9" s="6">
        <v>3</v>
      </c>
      <c r="AE9" s="9" t="str">
        <v>Y</v>
      </c>
    </row>
    <row r="10" spans="1:31" x14ac:dyDescent="0.3">
      <c r="A10" s="7">
        <v>2010992010</v>
      </c>
      <c r="B10" s="8">
        <v>60</v>
      </c>
      <c r="C10" s="6">
        <v>44</v>
      </c>
      <c r="D10" s="6">
        <v>73.33</v>
      </c>
      <c r="E10" s="6">
        <v>3</v>
      </c>
      <c r="F10" s="9" t="str">
        <v>Y</v>
      </c>
      <c r="G10" s="8">
        <v>60</v>
      </c>
      <c r="H10" s="6">
        <v>44</v>
      </c>
      <c r="I10" s="6">
        <v>73.33</v>
      </c>
      <c r="J10" s="6">
        <v>3</v>
      </c>
      <c r="K10" s="9" t="str">
        <v>Y</v>
      </c>
      <c r="L10" s="8">
        <v>50</v>
      </c>
      <c r="M10" s="6">
        <v>44</v>
      </c>
      <c r="N10" s="6">
        <v>88</v>
      </c>
      <c r="O10" s="6">
        <v>3</v>
      </c>
      <c r="P10" s="9" t="str">
        <v>Y</v>
      </c>
      <c r="Q10" s="8">
        <v>0</v>
      </c>
      <c r="R10" s="6">
        <v>0</v>
      </c>
      <c r="S10" s="6" t="str">
        <v>NA</v>
      </c>
      <c r="T10" s="6">
        <v>3</v>
      </c>
      <c r="U10" s="9" t="str">
        <v>Y</v>
      </c>
      <c r="V10" s="8">
        <v>0</v>
      </c>
      <c r="W10" s="6">
        <v>0</v>
      </c>
      <c r="X10" s="6" t="str">
        <v>NA</v>
      </c>
      <c r="Y10" s="6">
        <v>3</v>
      </c>
      <c r="Z10" s="9" t="str">
        <v>Y</v>
      </c>
      <c r="AA10" s="8">
        <v>0</v>
      </c>
      <c r="AB10" s="6">
        <v>0</v>
      </c>
      <c r="AC10" s="6" t="str">
        <v>NA</v>
      </c>
      <c r="AD10" s="6">
        <v>3</v>
      </c>
      <c r="AE10" s="9" t="str">
        <v>Y</v>
      </c>
    </row>
    <row r="11" spans="1:31" x14ac:dyDescent="0.3">
      <c r="A11" s="7">
        <v>2010992011</v>
      </c>
      <c r="B11" s="8">
        <v>60</v>
      </c>
      <c r="C11" s="6">
        <v>29</v>
      </c>
      <c r="D11" s="6">
        <v>48.33</v>
      </c>
      <c r="E11" s="6">
        <v>0</v>
      </c>
      <c r="F11" s="9" t="str">
        <v>N</v>
      </c>
      <c r="G11" s="8">
        <v>60</v>
      </c>
      <c r="H11" s="6">
        <v>29</v>
      </c>
      <c r="I11" s="6">
        <v>48.33</v>
      </c>
      <c r="J11" s="6">
        <v>0</v>
      </c>
      <c r="K11" s="9" t="str">
        <v>N</v>
      </c>
      <c r="L11" s="8">
        <v>50</v>
      </c>
      <c r="M11" s="6">
        <v>29</v>
      </c>
      <c r="N11" s="6">
        <v>58</v>
      </c>
      <c r="O11" s="6">
        <v>0</v>
      </c>
      <c r="P11" s="9" t="str">
        <v>N</v>
      </c>
      <c r="Q11" s="8">
        <v>0</v>
      </c>
      <c r="R11" s="6">
        <v>0</v>
      </c>
      <c r="S11" s="6" t="str">
        <v>NA</v>
      </c>
      <c r="T11" s="6">
        <v>3</v>
      </c>
      <c r="U11" s="9" t="str">
        <v>Y</v>
      </c>
      <c r="V11" s="8">
        <v>0</v>
      </c>
      <c r="W11" s="6">
        <v>0</v>
      </c>
      <c r="X11" s="6" t="str">
        <v>NA</v>
      </c>
      <c r="Y11" s="6">
        <v>3</v>
      </c>
      <c r="Z11" s="9" t="str">
        <v>Y</v>
      </c>
      <c r="AA11" s="8">
        <v>0</v>
      </c>
      <c r="AB11" s="6">
        <v>0</v>
      </c>
      <c r="AC11" s="6" t="str">
        <v>NA</v>
      </c>
      <c r="AD11" s="6">
        <v>3</v>
      </c>
      <c r="AE11" s="9" t="str">
        <v>Y</v>
      </c>
    </row>
    <row r="12" spans="1:31" x14ac:dyDescent="0.3">
      <c r="A12" s="7">
        <v>2010992012</v>
      </c>
      <c r="B12" s="8">
        <v>60</v>
      </c>
      <c r="C12" s="6">
        <v>44</v>
      </c>
      <c r="D12" s="6">
        <v>73.33</v>
      </c>
      <c r="E12" s="6">
        <v>3</v>
      </c>
      <c r="F12" s="9" t="str">
        <v>Y</v>
      </c>
      <c r="G12" s="8">
        <v>60</v>
      </c>
      <c r="H12" s="6">
        <v>44</v>
      </c>
      <c r="I12" s="6">
        <v>73.33</v>
      </c>
      <c r="J12" s="6">
        <v>3</v>
      </c>
      <c r="K12" s="9" t="str">
        <v>Y</v>
      </c>
      <c r="L12" s="8">
        <v>50</v>
      </c>
      <c r="M12" s="6">
        <v>44</v>
      </c>
      <c r="N12" s="6">
        <v>88</v>
      </c>
      <c r="O12" s="6">
        <v>3</v>
      </c>
      <c r="P12" s="9" t="str">
        <v>Y</v>
      </c>
      <c r="Q12" s="8">
        <v>0</v>
      </c>
      <c r="R12" s="6">
        <v>0</v>
      </c>
      <c r="S12" s="6" t="str">
        <v>NA</v>
      </c>
      <c r="T12" s="6">
        <v>3</v>
      </c>
      <c r="U12" s="9" t="str">
        <v>Y</v>
      </c>
      <c r="V12" s="8">
        <v>0</v>
      </c>
      <c r="W12" s="6">
        <v>0</v>
      </c>
      <c r="X12" s="6" t="str">
        <v>NA</v>
      </c>
      <c r="Y12" s="6">
        <v>3</v>
      </c>
      <c r="Z12" s="9" t="str">
        <v>Y</v>
      </c>
      <c r="AA12" s="8">
        <v>0</v>
      </c>
      <c r="AB12" s="6">
        <v>0</v>
      </c>
      <c r="AC12" s="6" t="str">
        <v>NA</v>
      </c>
      <c r="AD12" s="6">
        <v>3</v>
      </c>
      <c r="AE12" s="9" t="str">
        <v>Y</v>
      </c>
    </row>
    <row r="13" spans="1:31" x14ac:dyDescent="0.3">
      <c r="A13" s="7">
        <v>2010992014</v>
      </c>
      <c r="B13" s="8">
        <v>60</v>
      </c>
      <c r="C13" s="6">
        <v>43</v>
      </c>
      <c r="D13" s="6">
        <v>71.67</v>
      </c>
      <c r="E13" s="6">
        <v>3</v>
      </c>
      <c r="F13" s="9" t="str">
        <v>Y</v>
      </c>
      <c r="G13" s="8">
        <v>60</v>
      </c>
      <c r="H13" s="6">
        <v>43</v>
      </c>
      <c r="I13" s="6">
        <v>71.67</v>
      </c>
      <c r="J13" s="6">
        <v>3</v>
      </c>
      <c r="K13" s="9" t="str">
        <v>Y</v>
      </c>
      <c r="L13" s="8">
        <v>50</v>
      </c>
      <c r="M13" s="6">
        <v>43</v>
      </c>
      <c r="N13" s="6">
        <v>86</v>
      </c>
      <c r="O13" s="6">
        <v>3</v>
      </c>
      <c r="P13" s="9" t="str">
        <v>Y</v>
      </c>
      <c r="Q13" s="8">
        <v>0</v>
      </c>
      <c r="R13" s="6">
        <v>0</v>
      </c>
      <c r="S13" s="6" t="str">
        <v>NA</v>
      </c>
      <c r="T13" s="6">
        <v>3</v>
      </c>
      <c r="U13" s="9" t="str">
        <v>Y</v>
      </c>
      <c r="V13" s="8">
        <v>0</v>
      </c>
      <c r="W13" s="6">
        <v>0</v>
      </c>
      <c r="X13" s="6" t="str">
        <v>NA</v>
      </c>
      <c r="Y13" s="6">
        <v>3</v>
      </c>
      <c r="Z13" s="9" t="str">
        <v>Y</v>
      </c>
      <c r="AA13" s="8">
        <v>0</v>
      </c>
      <c r="AB13" s="6">
        <v>0</v>
      </c>
      <c r="AC13" s="6" t="str">
        <v>NA</v>
      </c>
      <c r="AD13" s="6">
        <v>3</v>
      </c>
      <c r="AE13" s="9" t="str">
        <v>Y</v>
      </c>
    </row>
    <row r="14" spans="1:31" x14ac:dyDescent="0.3">
      <c r="A14" s="7">
        <v>2010992015</v>
      </c>
      <c r="B14" s="8">
        <v>60</v>
      </c>
      <c r="C14" s="6">
        <v>35</v>
      </c>
      <c r="D14" s="6">
        <v>58.33</v>
      </c>
      <c r="E14" s="6">
        <v>0</v>
      </c>
      <c r="F14" s="9" t="str">
        <v>N</v>
      </c>
      <c r="G14" s="8">
        <v>60</v>
      </c>
      <c r="H14" s="6">
        <v>35</v>
      </c>
      <c r="I14" s="6">
        <v>58.33</v>
      </c>
      <c r="J14" s="6">
        <v>0</v>
      </c>
      <c r="K14" s="9" t="str">
        <v>N</v>
      </c>
      <c r="L14" s="8">
        <v>50</v>
      </c>
      <c r="M14" s="6">
        <v>35</v>
      </c>
      <c r="N14" s="6">
        <v>70</v>
      </c>
      <c r="O14" s="6">
        <v>3</v>
      </c>
      <c r="P14" s="9" t="str">
        <v>Y</v>
      </c>
      <c r="Q14" s="8">
        <v>0</v>
      </c>
      <c r="R14" s="6">
        <v>0</v>
      </c>
      <c r="S14" s="6" t="str">
        <v>NA</v>
      </c>
      <c r="T14" s="6">
        <v>3</v>
      </c>
      <c r="U14" s="9" t="str">
        <v>Y</v>
      </c>
      <c r="V14" s="8">
        <v>0</v>
      </c>
      <c r="W14" s="6">
        <v>0</v>
      </c>
      <c r="X14" s="6" t="str">
        <v>NA</v>
      </c>
      <c r="Y14" s="6">
        <v>3</v>
      </c>
      <c r="Z14" s="9" t="str">
        <v>Y</v>
      </c>
      <c r="AA14" s="8">
        <v>0</v>
      </c>
      <c r="AB14" s="6">
        <v>0</v>
      </c>
      <c r="AC14" s="6" t="str">
        <v>NA</v>
      </c>
      <c r="AD14" s="6">
        <v>3</v>
      </c>
      <c r="AE14" s="9" t="str">
        <v>Y</v>
      </c>
    </row>
    <row r="15" spans="1:31" x14ac:dyDescent="0.3">
      <c r="A15" s="7">
        <v>2010992016</v>
      </c>
      <c r="B15" s="8">
        <v>60</v>
      </c>
      <c r="C15" s="6">
        <v>31</v>
      </c>
      <c r="D15" s="6">
        <v>51.67</v>
      </c>
      <c r="E15" s="6">
        <v>0</v>
      </c>
      <c r="F15" s="9" t="str">
        <v>N</v>
      </c>
      <c r="G15" s="8">
        <v>60</v>
      </c>
      <c r="H15" s="6">
        <v>31</v>
      </c>
      <c r="I15" s="6">
        <v>51.67</v>
      </c>
      <c r="J15" s="6">
        <v>0</v>
      </c>
      <c r="K15" s="9" t="str">
        <v>N</v>
      </c>
      <c r="L15" s="8">
        <v>50</v>
      </c>
      <c r="M15" s="6">
        <v>31</v>
      </c>
      <c r="N15" s="6">
        <v>62</v>
      </c>
      <c r="O15" s="6">
        <v>3</v>
      </c>
      <c r="P15" s="9" t="str">
        <v>Y</v>
      </c>
      <c r="Q15" s="8">
        <v>0</v>
      </c>
      <c r="R15" s="6">
        <v>0</v>
      </c>
      <c r="S15" s="6" t="str">
        <v>NA</v>
      </c>
      <c r="T15" s="6">
        <v>3</v>
      </c>
      <c r="U15" s="9" t="str">
        <v>Y</v>
      </c>
      <c r="V15" s="8">
        <v>0</v>
      </c>
      <c r="W15" s="6">
        <v>0</v>
      </c>
      <c r="X15" s="6" t="str">
        <v>NA</v>
      </c>
      <c r="Y15" s="6">
        <v>3</v>
      </c>
      <c r="Z15" s="9" t="str">
        <v>Y</v>
      </c>
      <c r="AA15" s="8">
        <v>0</v>
      </c>
      <c r="AB15" s="6">
        <v>0</v>
      </c>
      <c r="AC15" s="6" t="str">
        <v>NA</v>
      </c>
      <c r="AD15" s="6">
        <v>3</v>
      </c>
      <c r="AE15" s="9" t="str">
        <v>Y</v>
      </c>
    </row>
    <row r="16" spans="1:31" x14ac:dyDescent="0.3">
      <c r="A16" s="7">
        <v>2010992017</v>
      </c>
      <c r="B16" s="8">
        <v>60</v>
      </c>
      <c r="C16" s="6">
        <v>40</v>
      </c>
      <c r="D16" s="6">
        <v>66.67</v>
      </c>
      <c r="E16" s="6">
        <v>3</v>
      </c>
      <c r="F16" s="9" t="str">
        <v>Y</v>
      </c>
      <c r="G16" s="8">
        <v>60</v>
      </c>
      <c r="H16" s="6">
        <v>40</v>
      </c>
      <c r="I16" s="6">
        <v>66.67</v>
      </c>
      <c r="J16" s="6">
        <v>3</v>
      </c>
      <c r="K16" s="9" t="str">
        <v>Y</v>
      </c>
      <c r="L16" s="8">
        <v>50</v>
      </c>
      <c r="M16" s="6">
        <v>40</v>
      </c>
      <c r="N16" s="6">
        <v>80</v>
      </c>
      <c r="O16" s="6">
        <v>3</v>
      </c>
      <c r="P16" s="9" t="str">
        <v>Y</v>
      </c>
      <c r="Q16" s="8">
        <v>0</v>
      </c>
      <c r="R16" s="6">
        <v>0</v>
      </c>
      <c r="S16" s="6" t="str">
        <v>NA</v>
      </c>
      <c r="T16" s="6">
        <v>3</v>
      </c>
      <c r="U16" s="9" t="str">
        <v>Y</v>
      </c>
      <c r="V16" s="8">
        <v>0</v>
      </c>
      <c r="W16" s="6">
        <v>0</v>
      </c>
      <c r="X16" s="6" t="str">
        <v>NA</v>
      </c>
      <c r="Y16" s="6">
        <v>3</v>
      </c>
      <c r="Z16" s="9" t="str">
        <v>Y</v>
      </c>
      <c r="AA16" s="8">
        <v>0</v>
      </c>
      <c r="AB16" s="6">
        <v>0</v>
      </c>
      <c r="AC16" s="6" t="str">
        <v>NA</v>
      </c>
      <c r="AD16" s="6">
        <v>3</v>
      </c>
      <c r="AE16" s="9" t="str">
        <v>Y</v>
      </c>
    </row>
    <row r="17" spans="1:31" x14ac:dyDescent="0.3">
      <c r="A17" s="7">
        <v>2010992018</v>
      </c>
      <c r="B17" s="8">
        <v>60</v>
      </c>
      <c r="C17" s="6">
        <v>43</v>
      </c>
      <c r="D17" s="6">
        <v>71.67</v>
      </c>
      <c r="E17" s="6">
        <v>3</v>
      </c>
      <c r="F17" s="9" t="str">
        <v>Y</v>
      </c>
      <c r="G17" s="8">
        <v>60</v>
      </c>
      <c r="H17" s="6">
        <v>43</v>
      </c>
      <c r="I17" s="6">
        <v>71.67</v>
      </c>
      <c r="J17" s="6">
        <v>3</v>
      </c>
      <c r="K17" s="9" t="str">
        <v>Y</v>
      </c>
      <c r="L17" s="8">
        <v>50</v>
      </c>
      <c r="M17" s="6">
        <v>43</v>
      </c>
      <c r="N17" s="6">
        <v>86</v>
      </c>
      <c r="O17" s="6">
        <v>3</v>
      </c>
      <c r="P17" s="9" t="str">
        <v>Y</v>
      </c>
      <c r="Q17" s="8">
        <v>0</v>
      </c>
      <c r="R17" s="6">
        <v>0</v>
      </c>
      <c r="S17" s="6" t="str">
        <v>NA</v>
      </c>
      <c r="T17" s="6">
        <v>3</v>
      </c>
      <c r="U17" s="9" t="str">
        <v>Y</v>
      </c>
      <c r="V17" s="8">
        <v>0</v>
      </c>
      <c r="W17" s="6">
        <v>0</v>
      </c>
      <c r="X17" s="6" t="str">
        <v>NA</v>
      </c>
      <c r="Y17" s="6">
        <v>3</v>
      </c>
      <c r="Z17" s="9" t="str">
        <v>Y</v>
      </c>
      <c r="AA17" s="8">
        <v>0</v>
      </c>
      <c r="AB17" s="6">
        <v>0</v>
      </c>
      <c r="AC17" s="6" t="str">
        <v>NA</v>
      </c>
      <c r="AD17" s="6">
        <v>3</v>
      </c>
      <c r="AE17" s="9" t="str">
        <v>Y</v>
      </c>
    </row>
    <row r="18" spans="1:31" x14ac:dyDescent="0.3">
      <c r="A18" s="7">
        <v>2010992019</v>
      </c>
      <c r="B18" s="8">
        <v>60</v>
      </c>
      <c r="C18" s="6">
        <v>42</v>
      </c>
      <c r="D18" s="6">
        <v>70</v>
      </c>
      <c r="E18" s="6">
        <v>3</v>
      </c>
      <c r="F18" s="9" t="str">
        <v>Y</v>
      </c>
      <c r="G18" s="8">
        <v>60</v>
      </c>
      <c r="H18" s="6">
        <v>42</v>
      </c>
      <c r="I18" s="6">
        <v>70</v>
      </c>
      <c r="J18" s="6">
        <v>3</v>
      </c>
      <c r="K18" s="9" t="str">
        <v>Y</v>
      </c>
      <c r="L18" s="8">
        <v>50</v>
      </c>
      <c r="M18" s="6">
        <v>42</v>
      </c>
      <c r="N18" s="6">
        <v>84</v>
      </c>
      <c r="O18" s="6">
        <v>3</v>
      </c>
      <c r="P18" s="9" t="str">
        <v>Y</v>
      </c>
      <c r="Q18" s="8">
        <v>0</v>
      </c>
      <c r="R18" s="6">
        <v>0</v>
      </c>
      <c r="S18" s="6" t="str">
        <v>NA</v>
      </c>
      <c r="T18" s="6">
        <v>3</v>
      </c>
      <c r="U18" s="9" t="str">
        <v>Y</v>
      </c>
      <c r="V18" s="8">
        <v>0</v>
      </c>
      <c r="W18" s="6">
        <v>0</v>
      </c>
      <c r="X18" s="6" t="str">
        <v>NA</v>
      </c>
      <c r="Y18" s="6">
        <v>3</v>
      </c>
      <c r="Z18" s="9" t="str">
        <v>Y</v>
      </c>
      <c r="AA18" s="8">
        <v>0</v>
      </c>
      <c r="AB18" s="6">
        <v>0</v>
      </c>
      <c r="AC18" s="6" t="str">
        <v>NA</v>
      </c>
      <c r="AD18" s="6">
        <v>3</v>
      </c>
      <c r="AE18" s="9" t="str">
        <v>Y</v>
      </c>
    </row>
    <row r="19" spans="1:31" x14ac:dyDescent="0.3">
      <c r="A19" s="7">
        <v>2010992163</v>
      </c>
      <c r="B19" s="8">
        <v>60</v>
      </c>
      <c r="C19" s="6">
        <v>40</v>
      </c>
      <c r="D19" s="6">
        <v>66.67</v>
      </c>
      <c r="E19" s="6">
        <v>3</v>
      </c>
      <c r="F19" s="9" t="str">
        <v>Y</v>
      </c>
      <c r="G19" s="8">
        <v>60</v>
      </c>
      <c r="H19" s="6">
        <v>40</v>
      </c>
      <c r="I19" s="6">
        <v>66.67</v>
      </c>
      <c r="J19" s="6">
        <v>3</v>
      </c>
      <c r="K19" s="9" t="str">
        <v>Y</v>
      </c>
      <c r="L19" s="8">
        <v>50</v>
      </c>
      <c r="M19" s="6">
        <v>40</v>
      </c>
      <c r="N19" s="6">
        <v>80</v>
      </c>
      <c r="O19" s="6">
        <v>3</v>
      </c>
      <c r="P19" s="9" t="str">
        <v>Y</v>
      </c>
      <c r="Q19" s="8">
        <v>0</v>
      </c>
      <c r="R19" s="6">
        <v>0</v>
      </c>
      <c r="S19" s="6" t="str">
        <v>NA</v>
      </c>
      <c r="T19" s="6">
        <v>3</v>
      </c>
      <c r="U19" s="9" t="str">
        <v>Y</v>
      </c>
      <c r="V19" s="8">
        <v>0</v>
      </c>
      <c r="W19" s="6">
        <v>0</v>
      </c>
      <c r="X19" s="6" t="str">
        <v>NA</v>
      </c>
      <c r="Y19" s="6">
        <v>3</v>
      </c>
      <c r="Z19" s="9" t="str">
        <v>Y</v>
      </c>
      <c r="AA19" s="8">
        <v>0</v>
      </c>
      <c r="AB19" s="6">
        <v>0</v>
      </c>
      <c r="AC19" s="6" t="str">
        <v>NA</v>
      </c>
      <c r="AD19" s="6">
        <v>3</v>
      </c>
      <c r="AE19" s="9" t="str">
        <v>Y</v>
      </c>
    </row>
    <row r="20" spans="1:31" x14ac:dyDescent="0.3">
      <c r="A20" s="7">
        <v>2010992202</v>
      </c>
      <c r="B20" s="8">
        <v>60</v>
      </c>
      <c r="C20" s="6">
        <v>40</v>
      </c>
      <c r="D20" s="6">
        <v>66.67</v>
      </c>
      <c r="E20" s="6">
        <v>3</v>
      </c>
      <c r="F20" s="9" t="str">
        <v>Y</v>
      </c>
      <c r="G20" s="8">
        <v>60</v>
      </c>
      <c r="H20" s="6">
        <v>40</v>
      </c>
      <c r="I20" s="6">
        <v>66.67</v>
      </c>
      <c r="J20" s="6">
        <v>3</v>
      </c>
      <c r="L20" s="8">
        <v>50</v>
      </c>
      <c r="M20" s="6">
        <v>40</v>
      </c>
      <c r="N20" s="6">
        <v>80</v>
      </c>
      <c r="O20" s="6">
        <v>3</v>
      </c>
      <c r="Q20" s="8">
        <v>0</v>
      </c>
      <c r="R20" s="6">
        <v>0</v>
      </c>
      <c r="S20" s="6" t="str">
        <v>NA</v>
      </c>
      <c r="T20" s="6">
        <v>3</v>
      </c>
      <c r="V20" s="8">
        <v>0</v>
      </c>
      <c r="W20" s="6">
        <v>0</v>
      </c>
      <c r="X20" s="6" t="str">
        <v>NA</v>
      </c>
      <c r="Y20" s="6">
        <v>3</v>
      </c>
      <c r="AA20" s="8">
        <v>0</v>
      </c>
      <c r="AB20" s="6">
        <v>0</v>
      </c>
      <c r="AC20" s="6" t="str">
        <v>NA</v>
      </c>
      <c r="AD20" s="6">
        <v>3</v>
      </c>
    </row>
    <row r="52" spans="26:26" x14ac:dyDescent="0.3">
      <c r="Z52" s="9">
        <f>COUNTIF(_xlfn.ANCHORARRAY(Z3),"Y")</f>
        <v>17</v>
      </c>
    </row>
    <row r="53" spans="26:26" x14ac:dyDescent="0.3">
      <c r="Z53" s="9">
        <f>COUNTIF(_xlfn.ANCHORARRAY(Z3),"N")</f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5027E-50C5-460C-90E8-684DCD836C07}">
  <dimension ref="A1:Y18"/>
  <sheetViews>
    <sheetView zoomScale="83" zoomScaleNormal="85" workbookViewId="0">
      <selection activeCell="A7" sqref="A7"/>
    </sheetView>
  </sheetViews>
  <sheetFormatPr defaultRowHeight="14.4" x14ac:dyDescent="0.3"/>
  <cols>
    <col min="1" max="1" width="23" bestFit="1" customWidth="1"/>
    <col min="2" max="2" width="22.33203125" bestFit="1" customWidth="1"/>
    <col min="3" max="3" width="32.44140625" bestFit="1" customWidth="1"/>
    <col min="4" max="4" width="22.88671875" bestFit="1" customWidth="1"/>
    <col min="5" max="5" width="24" style="14" bestFit="1" customWidth="1"/>
    <col min="6" max="6" width="22.33203125" bestFit="1" customWidth="1"/>
    <col min="7" max="7" width="32.44140625" bestFit="1" customWidth="1"/>
    <col min="8" max="8" width="22.88671875" bestFit="1" customWidth="1"/>
    <col min="9" max="9" width="24" style="14" bestFit="1" customWidth="1"/>
    <col min="10" max="10" width="22.33203125" bestFit="1" customWidth="1"/>
    <col min="11" max="11" width="32.44140625" bestFit="1" customWidth="1"/>
    <col min="12" max="12" width="22.88671875" style="14" bestFit="1" customWidth="1"/>
    <col min="13" max="13" width="24" style="14" bestFit="1" customWidth="1"/>
    <col min="14" max="14" width="22.33203125" bestFit="1" customWidth="1"/>
    <col min="15" max="15" width="32.44140625" bestFit="1" customWidth="1"/>
    <col min="16" max="16" width="22.88671875" style="14" bestFit="1" customWidth="1"/>
    <col min="17" max="17" width="24" style="14" bestFit="1" customWidth="1"/>
    <col min="18" max="18" width="22.33203125" bestFit="1" customWidth="1"/>
    <col min="19" max="19" width="32.44140625" bestFit="1" customWidth="1"/>
    <col min="20" max="20" width="22.88671875" style="14" bestFit="1" customWidth="1"/>
    <col min="21" max="21" width="24" style="14" bestFit="1" customWidth="1"/>
    <col min="22" max="22" width="22.33203125" bestFit="1" customWidth="1"/>
    <col min="23" max="23" width="32.44140625" bestFit="1" customWidth="1"/>
    <col min="24" max="24" width="22.88671875" style="14" bestFit="1" customWidth="1"/>
    <col min="25" max="25" width="24" style="14" bestFit="1" customWidth="1"/>
  </cols>
  <sheetData>
    <row r="1" spans="1:25" s="16" customFormat="1" ht="15" thickBot="1" x14ac:dyDescent="0.35">
      <c r="A1" s="37" t="s">
        <v>11</v>
      </c>
      <c r="B1" s="109" t="s">
        <v>0</v>
      </c>
      <c r="C1" s="110"/>
      <c r="D1" s="110"/>
      <c r="E1" s="111"/>
      <c r="F1" s="109" t="s">
        <v>1</v>
      </c>
      <c r="G1" s="110"/>
      <c r="H1" s="110"/>
      <c r="I1" s="111"/>
      <c r="J1" s="109" t="s">
        <v>2</v>
      </c>
      <c r="K1" s="110"/>
      <c r="L1" s="110"/>
      <c r="M1" s="111"/>
      <c r="N1" s="109" t="s">
        <v>3</v>
      </c>
      <c r="O1" s="110"/>
      <c r="P1" s="110"/>
      <c r="Q1" s="111"/>
      <c r="R1" s="109" t="s">
        <v>9</v>
      </c>
      <c r="S1" s="110"/>
      <c r="T1" s="110"/>
      <c r="U1" s="111"/>
      <c r="V1" s="112" t="s">
        <v>10</v>
      </c>
      <c r="W1" s="110"/>
      <c r="X1" s="110"/>
      <c r="Y1" s="111"/>
    </row>
    <row r="2" spans="1:25" ht="15" thickBot="1" x14ac:dyDescent="0.35">
      <c r="A2" s="50" t="s">
        <v>15</v>
      </c>
      <c r="B2" s="35" t="s">
        <v>17</v>
      </c>
      <c r="C2" s="28" t="s">
        <v>21</v>
      </c>
      <c r="D2" s="29" t="s">
        <v>16</v>
      </c>
      <c r="E2" s="30" t="s">
        <v>22</v>
      </c>
      <c r="F2" s="35" t="s">
        <v>17</v>
      </c>
      <c r="G2" s="28" t="s">
        <v>21</v>
      </c>
      <c r="H2" s="29" t="s">
        <v>16</v>
      </c>
      <c r="I2" s="30" t="s">
        <v>22</v>
      </c>
      <c r="J2" s="35" t="s">
        <v>17</v>
      </c>
      <c r="K2" s="28" t="s">
        <v>21</v>
      </c>
      <c r="L2" s="29" t="s">
        <v>16</v>
      </c>
      <c r="M2" s="30" t="s">
        <v>22</v>
      </c>
      <c r="N2" s="35" t="s">
        <v>17</v>
      </c>
      <c r="O2" s="28" t="s">
        <v>21</v>
      </c>
      <c r="P2" s="29" t="s">
        <v>16</v>
      </c>
      <c r="Q2" s="30" t="s">
        <v>22</v>
      </c>
      <c r="R2" s="35" t="s">
        <v>17</v>
      </c>
      <c r="S2" s="28" t="s">
        <v>21</v>
      </c>
      <c r="T2" s="29" t="s">
        <v>16</v>
      </c>
      <c r="U2" s="30" t="s">
        <v>22</v>
      </c>
      <c r="V2" s="45" t="s">
        <v>17</v>
      </c>
      <c r="W2" s="28" t="s">
        <v>21</v>
      </c>
      <c r="X2" s="29" t="s">
        <v>16</v>
      </c>
      <c r="Y2" s="30" t="s">
        <v>22</v>
      </c>
    </row>
    <row r="3" spans="1:25" x14ac:dyDescent="0.3">
      <c r="A3" s="51" t="s">
        <v>12</v>
      </c>
      <c r="B3" s="36">
        <f>AVERAGE(_xlfn.ANCHORARRAY('ST1 Student Wise'!D3))</f>
        <v>68.526666666666671</v>
      </c>
      <c r="C3" s="32">
        <f>AVERAGE(_xlfn.ANCHORARRAY('ST1 Student Wise'!E3))</f>
        <v>2.5</v>
      </c>
      <c r="D3" s="19">
        <f>COUNTIF('ST1 Student Wise'!F:F,"Y")/(COUNTIF('ST1 Student Wise'!F:F,"N")+COUNTIF('ST1 Student Wise'!F:F,"Y"))</f>
        <v>0.83333333333333337</v>
      </c>
      <c r="E3" s="34" cm="1">
        <f t="array" ref="E3">IFERROR(_xlfn.IFS(D3="","",D3&gt;='[1]OBE Data'!$B$13,3,D3&gt;='[1]OBE Data'!$B$14,2,D3&gt;='[1]OBE Data'!$B$15,1,D3&lt;'[1]OBE Data'!$B$15,0),"")</f>
        <v>3</v>
      </c>
      <c r="F3" s="31">
        <f>AVERAGE(_xlfn.ANCHORARRAY('ST1 Student Wise'!I3))</f>
        <v>69.126666666666679</v>
      </c>
      <c r="G3" s="32">
        <f>AVERAGE(_xlfn.ANCHORARRAY('ST1 Student Wise'!J3))</f>
        <v>2.5</v>
      </c>
      <c r="H3" s="19">
        <f>COUNTIF('ST1 Student Wise'!K:K,"Y")/(COUNTIF('ST1 Student Wise'!K:K,"N")+COUNTIF('ST1 Student Wise'!K:K,"Y"))</f>
        <v>0.83333333333333337</v>
      </c>
      <c r="I3" s="34" cm="1">
        <f t="array" ref="I3">IFERROR(_xlfn.IFS(H3="","",H3&gt;='[1]OBE Data'!$B$13,3,H3&gt;='[1]OBE Data'!$B$14,2,H3&gt;='[1]OBE Data'!$B$15,1,H3&lt;'[1]OBE Data'!$B$15,0),"")</f>
        <v>3</v>
      </c>
      <c r="J3" s="31">
        <f>AVERAGE(_xlfn.ANCHORARRAY('ST1 Student Wise'!N3))</f>
        <v>70.587777777777802</v>
      </c>
      <c r="K3" s="32">
        <f>AVERAGE(_xlfn.ANCHORARRAY('ST1 Student Wise'!O3))</f>
        <v>2.3333333333333335</v>
      </c>
      <c r="L3" s="19">
        <f>COUNTIF('ST1 Student Wise'!P:P,"Y")/(COUNTIF('ST1 Student Wise'!P:P,"N")+COUNTIF('ST1 Student Wise'!P:P,"Y"))</f>
        <v>0.77777777777777779</v>
      </c>
      <c r="M3" s="34" cm="1">
        <f t="array" ref="M3">IFERROR(_xlfn.IFS(L3="","",L3&gt;='[1]OBE Data'!$B$13,3,L3&gt;='[1]OBE Data'!$B$14,2,L3&gt;='[1]OBE Data'!$B$15,1,L3&lt;'[1]OBE Data'!$B$15,0),"")</f>
        <v>2</v>
      </c>
      <c r="N3" s="31">
        <f>AVERAGE(_xlfn.ANCHORARRAY('ST1 Student Wise'!S3))</f>
        <v>70.958888888888893</v>
      </c>
      <c r="O3" s="32">
        <f>AVERAGE(_xlfn.ANCHORARRAY('ST1 Student Wise'!T3))</f>
        <v>2.6666666666666665</v>
      </c>
      <c r="P3" s="33">
        <f>COUNTIF('ST1 Student Wise'!U:U,"Y")/(COUNTIF('ST1 Student Wise'!U:U,"N")+COUNTIF('ST1 Student Wise'!U:U,"Y"))</f>
        <v>0.83333333333333337</v>
      </c>
      <c r="Q3" s="34" cm="1">
        <f t="array" ref="Q3">IFERROR(_xlfn.IFS(P3="","",P3&gt;='[1]OBE Data'!$B$13,3,P3&gt;='[1]OBE Data'!$B$14,2,P3&gt;='[1]OBE Data'!$B$15,1,P3&lt;'[1]OBE Data'!$B$15,0),"")</f>
        <v>3</v>
      </c>
      <c r="R3" s="31" t="e">
        <f>AVERAGE(_xlfn.ANCHORARRAY('ST2 Student Wise'!X3))</f>
        <v>#DIV/0!</v>
      </c>
      <c r="S3" s="32">
        <f>AVERAGE(_xlfn.ANCHORARRAY('ST1 Student Wise'!Y3))</f>
        <v>1.2</v>
      </c>
      <c r="T3" s="33">
        <f>COUNTIF('ST1 Student Wise'!Z:Z,"Y")/(COUNTIF('ST1 Student Wise'!Z:Z,"N")+COUNTIF('ST1 Student Wise'!Z:Z,"Y"))</f>
        <v>0.4</v>
      </c>
      <c r="U3" s="34" cm="1">
        <f t="array" ref="U3">IFERROR(_xlfn.IFS(T3="","",T3&gt;='[1]OBE Data'!$B$13,3,T3&gt;='[1]OBE Data'!$B$14,2,T3&gt;='[1]OBE Data'!$B$15,1,T3&lt;'[1]OBE Data'!$B$15,0),"")</f>
        <v>0</v>
      </c>
      <c r="V3" s="46">
        <f>AVERAGE(_xlfn.ANCHORARRAY('ST1 Student Wise'!AC3))</f>
        <v>72.222222222222229</v>
      </c>
      <c r="W3" s="32">
        <f>AVERAGE(_xlfn.ANCHORARRAY('ST1 Student Wise'!AD3))</f>
        <v>2.6666666666666665</v>
      </c>
      <c r="X3" s="33">
        <f>COUNTIF('ST1 Student Wise'!AE:AE,"Y")/(COUNTIF('ST1 Student Wise'!AE:AE,"N")+COUNTIF('ST1 Student Wise'!AE:AE,"Y"))</f>
        <v>0.88888888888888884</v>
      </c>
      <c r="Y3" s="34" cm="1">
        <f t="array" ref="Y3">IFERROR(_xlfn.IFS(X3="","",X3&gt;='[1]OBE Data'!$B$13,3,X3&gt;='[1]OBE Data'!$B$14,2,X3&gt;='[1]OBE Data'!$B$15,1,X3&lt;'[1]OBE Data'!$B$15,0),"")</f>
        <v>3</v>
      </c>
    </row>
    <row r="4" spans="1:25" x14ac:dyDescent="0.3">
      <c r="A4" s="52" t="s">
        <v>13</v>
      </c>
      <c r="B4" s="25" t="e">
        <f>AVERAGE(_xlfn.ANCHORARRAY('ST2 Student Wise'!D3))</f>
        <v>#DIV/0!</v>
      </c>
      <c r="C4" s="15" t="e">
        <f>AVERAGE(_xlfn.ANCHORARRAY('ST2 Student Wise'!E3))</f>
        <v>#DIV/0!</v>
      </c>
      <c r="D4" s="17">
        <f>COUNTIF('ST2 Student Wise'!F:F,"Y")/(COUNTIF('ST2 Student Wise'!F:F,"N")+COUNTIF('ST2 Student Wise'!F:F,"Y"))</f>
        <v>1</v>
      </c>
      <c r="E4" s="20" cm="1">
        <f t="array" ref="E4">IFERROR(_xlfn.IFS(D4="","",D4&gt;='[1]OBE Data'!$B$13,3,D4&gt;='[1]OBE Data'!$B$14,2,D4&gt;='[1]OBE Data'!$B$15,1,D4&lt;'[1]OBE Data'!$B$15,0),"")</f>
        <v>3</v>
      </c>
      <c r="F4" s="27" t="e">
        <f>AVERAGE(_xlfn.ANCHORARRAY('ST2 Student Wise'!I3))</f>
        <v>#DIV/0!</v>
      </c>
      <c r="G4" s="15" t="e">
        <f>AVERAGE(_xlfn.ANCHORARRAY('ST2 Student Wise'!J3))</f>
        <v>#DIV/0!</v>
      </c>
      <c r="H4" s="17" t="e">
        <f>COUNTIF('ST2 Student Wise'!K:K,"Y")/(COUNTIF('ST2 Student Wise'!K:K,"N")+COUNTIF('ST2 Student Wise'!K:K,"Y"))</f>
        <v>#DIV/0!</v>
      </c>
      <c r="I4" s="20" t="str" cm="1">
        <f t="array" ref="I4">IFERROR(_xlfn.IFS(H4="","",H4&gt;='[1]OBE Data'!$B$13,3,H4&gt;='[1]OBE Data'!$B$14,2,H4&gt;='[1]OBE Data'!$B$15,1,H4&lt;'[1]OBE Data'!$B$15,0),"")</f>
        <v/>
      </c>
      <c r="J4" s="27" t="e">
        <f>AVERAGE(_xlfn.ANCHORARRAY('ST2 Student Wise'!N3))</f>
        <v>#DIV/0!</v>
      </c>
      <c r="K4" s="15" t="e">
        <f>AVERAGE(_xlfn.ANCHORARRAY('ST2 Student Wise'!O3))</f>
        <v>#DIV/0!</v>
      </c>
      <c r="L4" s="17" t="e">
        <f>COUNTIF('ST2 Student Wise'!P:P,"Y")/(COUNTIF('ST2 Student Wise'!P:P,"N")+COUNTIF('ST2 Student Wise'!P:P,"Y"))</f>
        <v>#DIV/0!</v>
      </c>
      <c r="M4" s="20" t="str" cm="1">
        <f t="array" ref="M4">IFERROR(_xlfn.IFS(L4="","",L4&gt;='[1]OBE Data'!$B$13,3,L4&gt;='[1]OBE Data'!$B$14,2,L4&gt;='[1]OBE Data'!$B$15,1,L4&lt;'[1]OBE Data'!$B$15,0),"")</f>
        <v/>
      </c>
      <c r="N4" s="27" t="e">
        <f>AVERAGE(_xlfn.ANCHORARRAY('ST2 Student Wise'!S3))</f>
        <v>#DIV/0!</v>
      </c>
      <c r="O4" s="15" t="e">
        <f>AVERAGE(_xlfn.ANCHORARRAY('ST2 Student Wise'!T3))</f>
        <v>#DIV/0!</v>
      </c>
      <c r="P4" s="18" t="e">
        <f>COUNTIF('ST2 Student Wise'!U:U,"Y")/(COUNTIF('ST2 Student Wise'!U:U,"N")+COUNTIF('ST2 Student Wise'!U:U,"Y"))</f>
        <v>#DIV/0!</v>
      </c>
      <c r="Q4" s="20" t="str" cm="1">
        <f t="array" ref="Q4">IFERROR(_xlfn.IFS(P4="","",P4&gt;='[1]OBE Data'!$B$13,3,P4&gt;='[1]OBE Data'!$B$14,2,P4&gt;='[1]OBE Data'!$B$15,1,P4&lt;'[1]OBE Data'!$B$15,0),"")</f>
        <v/>
      </c>
      <c r="R4" s="27" t="e">
        <f>AVERAGE(_xlfn.ANCHORARRAY('ST2 Student Wise'!X3))</f>
        <v>#DIV/0!</v>
      </c>
      <c r="S4" s="15" t="e">
        <f>AVERAGE(_xlfn.ANCHORARRAY('ST2 Student Wise'!Y3))</f>
        <v>#DIV/0!</v>
      </c>
      <c r="T4" s="18" t="e">
        <f>COUNTIF('ST2 Student Wise'!Z:Z,"Y")/(COUNTIF('ST2 Student Wise'!Z:Z,"N")+COUNTIF('ST2 Student Wise'!Z:Z,"Y"))</f>
        <v>#DIV/0!</v>
      </c>
      <c r="U4" s="20" t="str" cm="1">
        <f t="array" ref="U4">IFERROR(_xlfn.IFS(T4="","",T4&gt;='[1]OBE Data'!$B$13,3,T4&gt;='[1]OBE Data'!$B$14,2,T4&gt;='[1]OBE Data'!$B$15,1,T4&lt;'[1]OBE Data'!$B$15,0),"")</f>
        <v/>
      </c>
      <c r="V4" s="47" t="e">
        <f>AVERAGE(_xlfn.ANCHORARRAY('ST2 Student Wise'!AC3))</f>
        <v>#DIV/0!</v>
      </c>
      <c r="W4" s="15" t="e">
        <f>AVERAGE(_xlfn.ANCHORARRAY('ST2 Student Wise'!AD3))</f>
        <v>#DIV/0!</v>
      </c>
      <c r="X4" s="18" t="e">
        <f>COUNTIF('ST2 Student Wise'!AE:AE,"Y")/(COUNTIF('ST2 Student Wise'!AE:AE,"N")+COUNTIF('ST2 Student Wise'!AE:AE,"Y"))</f>
        <v>#DIV/0!</v>
      </c>
      <c r="Y4" s="20" t="str" cm="1">
        <f t="array" ref="Y4">IFERROR(_xlfn.IFS(X4="","",X4&gt;='[1]OBE Data'!$B$13,3,X4&gt;='[1]OBE Data'!$B$14,2,X4&gt;='[1]OBE Data'!$B$15,1,X4&lt;'[1]OBE Data'!$B$15,0),"")</f>
        <v/>
      </c>
    </row>
    <row r="5" spans="1:25" ht="15" thickBot="1" x14ac:dyDescent="0.35">
      <c r="A5" s="53" t="s">
        <v>14</v>
      </c>
      <c r="B5" s="44" t="e">
        <f>AVERAGE(_xlfn.ANCHORARRAY('ST3 Student Wise'!D3))</f>
        <v>#DIV/0!</v>
      </c>
      <c r="C5" s="39" t="e">
        <f>(AVERAGE(_xlfn.ANCHORARRAY('ST3 Student Wise'!E3)))</f>
        <v>#DIV/0!</v>
      </c>
      <c r="D5" s="40" t="e">
        <f>COUNTIF('ST3 Student Wise'!F:F,"Y")/(COUNTIF('ST3 Student Wise'!F:F,"N")+COUNTIF('ST3 Student Wise'!F:F,"Y"))</f>
        <v>#DIV/0!</v>
      </c>
      <c r="E5" s="42" t="str" cm="1">
        <f t="array" ref="E5">IFERROR(_xlfn.IFS(D5="","",D5&gt;='[1]OBE Data'!$B$13,3,D5&gt;='[1]OBE Data'!$B$14,2,D5&gt;='[1]OBE Data'!$B$15,1,D5&lt;'[1]OBE Data'!$B$15,0),"")</f>
        <v/>
      </c>
      <c r="F5" s="44" t="e">
        <f>AVERAGE(_xlfn.ANCHORARRAY('ST3 Student Wise'!I3))</f>
        <v>#DIV/0!</v>
      </c>
      <c r="G5" s="39" t="e">
        <f>AVERAGE(_xlfn.ANCHORARRAY('ST3 Student Wise'!J3))</f>
        <v>#DIV/0!</v>
      </c>
      <c r="H5" s="40" t="e">
        <f>COUNTIF('ST3 Student Wise'!K:K,"Y")/(COUNTIF('ST3 Student Wise'!K:K,"N")+COUNTIF('ST3 Student Wise'!K:K,"Y"))</f>
        <v>#DIV/0!</v>
      </c>
      <c r="I5" s="42" t="str" cm="1">
        <f t="array" ref="I5">IFERROR(_xlfn.IFS(H5="","",H5&gt;='[1]OBE Data'!$B$13,3,H5&gt;='[1]OBE Data'!$B$14,2,H5&gt;='[1]OBE Data'!$B$15,1,H5&lt;'[1]OBE Data'!$B$15,0),"")</f>
        <v/>
      </c>
      <c r="J5" s="44" t="e">
        <f>AVERAGE(_xlfn.ANCHORARRAY('ST3 Student Wise'!N3))</f>
        <v>#DIV/0!</v>
      </c>
      <c r="K5" s="39" t="e">
        <f>AVERAGE(_xlfn.ANCHORARRAY('ST3 Student Wise'!O3))</f>
        <v>#DIV/0!</v>
      </c>
      <c r="L5" s="40" t="str">
        <f>IFERROR(COUNTIF('ST3 Student Wise'!P:P,"Y")/(COUNTIF('ST3 Student Wise'!P:P,"N")+COUNTIF('ST3 Student Wise'!P:P,"Y")),"")</f>
        <v/>
      </c>
      <c r="M5" s="42" t="str" cm="1">
        <f t="array" ref="M5">IFERROR(_xlfn.IFS(L5="","",L5&gt;='[1]OBE Data'!$B$13,3,L5&gt;='[1]OBE Data'!$B$14,2,L5&gt;='[1]OBE Data'!$B$15,1,L5&lt;'[1]OBE Data'!$B$15,0),"")</f>
        <v/>
      </c>
      <c r="N5" s="44" t="e">
        <f>AVERAGE(_xlfn.ANCHORARRAY('ST3 Student Wise'!S3))</f>
        <v>#DIV/0!</v>
      </c>
      <c r="O5" s="39" t="e">
        <f>AVERAGE(_xlfn.ANCHORARRAY('ST3 Student Wise'!T3))</f>
        <v>#DIV/0!</v>
      </c>
      <c r="P5" s="41" t="e">
        <f>COUNTIF('ST3 Student Wise'!U:U,"Y")/(COUNTIF('ST3 Student Wise'!U:U,"N")+COUNTIF('ST3 Student Wise'!U:U,"Y"))</f>
        <v>#DIV/0!</v>
      </c>
      <c r="Q5" s="42" t="str" cm="1">
        <f t="array" ref="Q5">IFERROR(_xlfn.IFS(P5="","",P5&gt;='[1]OBE Data'!$B$13,3,P5&gt;='[1]OBE Data'!$B$14,2,P5&gt;='[1]OBE Data'!$B$15,1,P5&lt;'[1]OBE Data'!$B$15,0),"")</f>
        <v/>
      </c>
      <c r="R5" s="44" t="e">
        <f>AVERAGE(_xlfn.ANCHORARRAY('ST3 Student Wise'!X3))</f>
        <v>#DIV/0!</v>
      </c>
      <c r="S5" s="39" t="e">
        <f>AVERAGE(_xlfn.ANCHORARRAY('ST3 Student Wise'!Y3))</f>
        <v>#DIV/0!</v>
      </c>
      <c r="T5" s="41" t="e">
        <f>COUNTIF('ST3 Student Wise'!Z:Z,"Y")/(COUNTIF('ST3 Student Wise'!Z:Z,"N")+COUNTIF('ST3 Student Wise'!Z:Z,"Y"))</f>
        <v>#DIV/0!</v>
      </c>
      <c r="U5" s="42" t="str" cm="1">
        <f t="array" ref="U5">IFERROR(_xlfn.IFS(T5="","",T5&gt;='[1]OBE Data'!$B$13,3,T5&gt;='[1]OBE Data'!$B$14,2,T5&gt;='[1]OBE Data'!$B$15,1,T5&lt;'[1]OBE Data'!$B$15,0),"")</f>
        <v/>
      </c>
      <c r="V5" s="48" t="e">
        <f>AVERAGE(_xlfn.ANCHORARRAY('ST3 Student Wise'!AC3))</f>
        <v>#DIV/0!</v>
      </c>
      <c r="W5" s="39" t="e">
        <f>AVERAGE(_xlfn.ANCHORARRAY('ST3 Student Wise'!AD3))</f>
        <v>#DIV/0!</v>
      </c>
      <c r="X5" s="41" t="e">
        <f>COUNTIF('ST3 Student Wise'!AE:AE,"Y")/(COUNTIF('ST3 Student Wise'!AE:AE,"N")+COUNTIF('ST3 Student Wise'!AE:AE,"Y"))</f>
        <v>#DIV/0!</v>
      </c>
      <c r="Y5" s="42" t="str" cm="1">
        <f t="array" ref="Y5">IFERROR(_xlfn.IFS(X5="","",X5&gt;='[1]OBE Data'!$B$13,3,X5&gt;='[1]OBE Data'!$B$14,2,X5&gt;='[1]OBE Data'!$B$15,1,X5&lt;'[1]OBE Data'!$B$15,0),"")</f>
        <v/>
      </c>
    </row>
    <row r="6" spans="1:25" ht="15" thickBot="1" x14ac:dyDescent="0.35">
      <c r="A6" s="99" t="s">
        <v>36</v>
      </c>
      <c r="B6" s="100">
        <f>AVERAGE(_xlfn.ANCHORARRAY('ASN Student Wise'!D3))</f>
        <v>66.945555555555572</v>
      </c>
      <c r="C6" s="101">
        <f>(AVERAGE(_xlfn.ANCHORARRAY('ASN Student Wise'!E3)))</f>
        <v>2.5</v>
      </c>
      <c r="D6" s="102">
        <f>COUNTIF('ASN Student Wise'!F:F,"Y")/(COUNTIF('ASN Student Wise'!F:F,"N")+COUNTIF('ASN Student Wise'!F:F,"Y"))</f>
        <v>0.83333333333333337</v>
      </c>
      <c r="E6" s="42" cm="1">
        <f t="array" ref="E6">IFERROR(_xlfn.IFS(D6="","",D6&gt;='[1]OBE Data'!$B$13,3,D6&gt;='[1]OBE Data'!$B$14,2,D6&gt;='[1]OBE Data'!$B$15,1,D6&lt;'[1]OBE Data'!$B$15,0),"")</f>
        <v>3</v>
      </c>
      <c r="F6" s="100">
        <f>AVERAGE(_xlfn.ANCHORARRAY('ASN Student Wise'!I3))</f>
        <v>66.945555555555572</v>
      </c>
      <c r="G6" s="101">
        <f>AVERAGE(_xlfn.ANCHORARRAY('ASN Student Wise'!J3))</f>
        <v>2.5</v>
      </c>
      <c r="H6" s="102">
        <f>COUNTIF('ASN Student Wise'!K:K,"Y")/(COUNTIF('ASN Student Wise'!K:K,"N")+COUNTIF('ASN Student Wise'!K:K,"Y"))</f>
        <v>0.82352941176470584</v>
      </c>
      <c r="I6" s="42" cm="1">
        <f t="array" ref="I6">IFERROR(_xlfn.IFS(H6="","",H6&gt;='[1]OBE Data'!$B$13,3,H6&gt;='[1]OBE Data'!$B$14,2,H6&gt;='[1]OBE Data'!$B$15,1,H6&lt;'[1]OBE Data'!$B$15,0),"")</f>
        <v>3</v>
      </c>
      <c r="J6" s="100">
        <f>AVERAGE(_xlfn.ANCHORARRAY('ASN Student Wise'!N3))</f>
        <v>80.333333333333329</v>
      </c>
      <c r="K6" s="101">
        <f>AVERAGE(_xlfn.ANCHORARRAY('ASN Student Wise'!O3))</f>
        <v>2.8333333333333335</v>
      </c>
      <c r="L6" s="102">
        <f>IFERROR(COUNTIF('ASN Student Wise'!P:P,"Y")/(COUNTIF('ASN Student Wise'!P:P,"N")+COUNTIF('ASN Student Wise'!P:P,"Y")),"")</f>
        <v>0.94117647058823528</v>
      </c>
      <c r="M6" s="42" cm="1">
        <f t="array" ref="M6">IFERROR(_xlfn.IFS(L6="","",L6&gt;='[1]OBE Data'!$B$13,3,L6&gt;='[1]OBE Data'!$B$14,2,L6&gt;='[1]OBE Data'!$B$15,1,L6&lt;'[1]OBE Data'!$B$15,0),"")</f>
        <v>3</v>
      </c>
      <c r="N6" s="100" t="e">
        <f>AVERAGE(_xlfn.ANCHORARRAY('ASN Student Wise'!S3))</f>
        <v>#DIV/0!</v>
      </c>
      <c r="O6" s="101">
        <f>AVERAGE(_xlfn.ANCHORARRAY('ASN Student Wise'!T3))</f>
        <v>3</v>
      </c>
      <c r="P6" s="103" t="e">
        <f>COUNTIF('ASN Student Wise'!U:U,"Y")/(COUNTIF('ST3 Student Wise'!U:U,"N")+COUNTIF('ST3 Student Wise'!U:U,"Y"))</f>
        <v>#DIV/0!</v>
      </c>
      <c r="Q6" s="42" t="str" cm="1">
        <f t="array" ref="Q6">IFERROR(_xlfn.IFS(P6="","",P6&gt;='[1]OBE Data'!$B$13,3,P6&gt;='[1]OBE Data'!$B$14,2,P6&gt;='[1]OBE Data'!$B$15,1,P6&lt;'[1]OBE Data'!$B$15,0),"")</f>
        <v/>
      </c>
      <c r="R6" s="100" t="e">
        <f>AVERAGE(_xlfn.ANCHORARRAY('ASN Student Wise'!X3))</f>
        <v>#DIV/0!</v>
      </c>
      <c r="S6" s="101">
        <f>AVERAGE(_xlfn.ANCHORARRAY('ASN Student Wise'!Y3))</f>
        <v>3</v>
      </c>
      <c r="T6" s="103">
        <f>COUNTIF('ASN Student Wise'!Z:Z,"Y")/(COUNTIF('ASN Student Wise'!Z:Z,"N")+COUNTIF('ASN Student Wise'!Z:Z,"Y"))</f>
        <v>1</v>
      </c>
      <c r="U6" s="42" cm="1">
        <f t="array" ref="U6">IFERROR(_xlfn.IFS(T6="","",T6&gt;='[1]OBE Data'!$B$13,3,T6&gt;='[1]OBE Data'!$B$14,2,T6&gt;='[1]OBE Data'!$B$15,1,T6&lt;'[1]OBE Data'!$B$15,0),"")</f>
        <v>3</v>
      </c>
      <c r="V6" s="104" t="e">
        <f>AVERAGE(_xlfn.ANCHORARRAY('ASN Student Wise'!AC3))</f>
        <v>#DIV/0!</v>
      </c>
      <c r="W6" s="101">
        <f>AVERAGE(_xlfn.ANCHORARRAY('ASN Student Wise'!AD3))</f>
        <v>3</v>
      </c>
      <c r="X6" s="103">
        <f>COUNTIF('ASN Student Wise'!AE:AE,"Y")/(COUNTIF('ASN Student Wise'!AE:AE,"N")+COUNTIF('ASN Student Wise'!AE:AE,"Y"))</f>
        <v>1</v>
      </c>
      <c r="Y6" s="42" cm="1">
        <f t="array" ref="Y6">IFERROR(_xlfn.IFS(X6="","",X6&gt;='[1]OBE Data'!$B$13,3,X6&gt;='[1]OBE Data'!$B$14,2,X6&gt;='[1]OBE Data'!$B$15,1,X6&lt;'[1]OBE Data'!$B$15,0),"")</f>
        <v>3</v>
      </c>
    </row>
    <row r="7" spans="1:25" ht="15" thickBot="1" x14ac:dyDescent="0.35">
      <c r="A7" s="12" t="s">
        <v>18</v>
      </c>
      <c r="B7" s="4" cm="1">
        <f t="array" ref="B7">ROUND(AVERAGE(IFERROR(B3:B6,"")),2)</f>
        <v>67.739999999999995</v>
      </c>
      <c r="C7" s="1" cm="1">
        <f t="array" ref="C7">ROUND(AVERAGE(IFERROR(C3:C6,"")),2)</f>
        <v>2.5</v>
      </c>
      <c r="D7" s="13" cm="1">
        <f t="array" ref="D7">ROUND(AVERAGE(IFERROR(D3:D6,"")),2)</f>
        <v>0.89</v>
      </c>
      <c r="E7" s="24" cm="1">
        <f t="array" ref="E7">IFERROR(_xlfn.IFS(D7="","",D7&gt;='[1]OBE Data'!$B$13,3,D7&gt;='[1]OBE Data'!$B$14,2,D7&gt;='[1]OBE Data'!$B$15,1,D7&lt;'[1]OBE Data'!$B$15,0),"")</f>
        <v>3</v>
      </c>
      <c r="F7" s="113" cm="1">
        <f t="array" ref="F7">ROUND(AVERAGE(IFERROR(F3:F6,"")),2)</f>
        <v>68.040000000000006</v>
      </c>
      <c r="G7" s="113" cm="1">
        <f t="array" ref="G7">ROUND(AVERAGE(IFERROR(G3:G6,"")),2)</f>
        <v>2.5</v>
      </c>
      <c r="H7" s="13" cm="1">
        <f t="array" ref="H7">ROUND(AVERAGE(IFERROR(H3:H6,"")),2)</f>
        <v>0.83</v>
      </c>
      <c r="I7" s="1" cm="1">
        <f t="array" ref="I7">ROUND(AVERAGE(IFERROR(I3:I6,"")),2)</f>
        <v>3</v>
      </c>
      <c r="J7" s="1" cm="1">
        <f t="array" ref="J7">ROUND(AVERAGE(IFERROR(J3:J6,"")),2)</f>
        <v>75.459999999999994</v>
      </c>
      <c r="K7" s="1" cm="1">
        <f t="array" ref="K7">ROUND(AVERAGE(IFERROR(K3:K6,"")),2)</f>
        <v>2.58</v>
      </c>
      <c r="L7" s="13" cm="1">
        <f t="array" ref="L7">ROUND(AVERAGE(IFERROR(L3:L6,"")),2)</f>
        <v>0.86</v>
      </c>
      <c r="M7" s="24" cm="1">
        <f t="array" ref="M7">IFERROR(_xlfn.IFS(L7="","",L7&gt;='[1]OBE Data'!$B$13,3,L7&gt;='[1]OBE Data'!$B$14,2,L7&gt;='[1]OBE Data'!$B$15,1,L7&lt;'[1]OBE Data'!$B$15,0),"")</f>
        <v>3</v>
      </c>
      <c r="N7" s="1" cm="1">
        <f t="array" ref="N7">ROUND(AVERAGE(IFERROR(N3:N6,"")),2)</f>
        <v>70.959999999999994</v>
      </c>
      <c r="O7" s="1" cm="1">
        <f t="array" ref="O7">ROUND(AVERAGE(IFERROR(O3:O6,"")),2)</f>
        <v>2.83</v>
      </c>
      <c r="P7" s="13" cm="1">
        <f t="array" ref="P7">ROUND(AVERAGE(IFERROR(P3:P6,"")),2)</f>
        <v>0.83</v>
      </c>
      <c r="Q7" s="24" cm="1">
        <f t="array" ref="Q7">IFERROR(_xlfn.IFS(P7="","",P7&gt;='[1]OBE Data'!$B$13,3,P7&gt;='[1]OBE Data'!$B$14,2,P7&gt;='[1]OBE Data'!$B$15,1,P7&lt;'[1]OBE Data'!$B$15,0),"")</f>
        <v>3</v>
      </c>
      <c r="R7" s="1" t="e" cm="1">
        <f t="array" ref="R7">ROUND(AVERAGE(IFERROR(R3:R6,"")),2)</f>
        <v>#DIV/0!</v>
      </c>
      <c r="S7" s="1" cm="1">
        <f t="array" ref="S7">ROUND(AVERAGE(IFERROR(S3:S6,"")),2)</f>
        <v>2.1</v>
      </c>
      <c r="T7" s="13" cm="1">
        <f t="array" ref="T7">ROUND(AVERAGE(IFERROR(T3:T6,"")),2)</f>
        <v>0.7</v>
      </c>
      <c r="U7" s="24" cm="1">
        <f t="array" ref="U7">IFERROR(_xlfn.IFS(T7="","",T7&gt;='[1]OBE Data'!$B$13,3,T7&gt;='[1]OBE Data'!$B$14,2,T7&gt;='[1]OBE Data'!$B$15,1,T7&lt;'[1]OBE Data'!$B$15,0),"")</f>
        <v>2</v>
      </c>
      <c r="V7" s="1" cm="1">
        <f t="array" ref="V7">ROUND(AVERAGE(IFERROR(V3:V6,"")),2)</f>
        <v>72.22</v>
      </c>
      <c r="W7" s="1" cm="1">
        <f t="array" ref="W7">ROUND(AVERAGE(IFERROR(W3:W6,"")),2)</f>
        <v>2.83</v>
      </c>
      <c r="X7" s="13" cm="1">
        <f t="array" ref="X7">ROUND(AVERAGE(IFERROR(X3:X6,"")),2)</f>
        <v>0.94</v>
      </c>
      <c r="Y7" s="24" cm="1">
        <f t="array" ref="Y7">IFERROR(_xlfn.IFS(X7="","",X7&gt;='[1]OBE Data'!$B$13,3,X7&gt;='[1]OBE Data'!$B$14,2,X7&gt;='[1]OBE Data'!$B$15,1,X7&lt;'[1]OBE Data'!$B$15,0),"")</f>
        <v>3</v>
      </c>
    </row>
    <row r="8" spans="1:25" ht="15" thickBot="1" x14ac:dyDescent="0.35">
      <c r="A8" s="12" t="s">
        <v>19</v>
      </c>
      <c r="B8" s="26">
        <f>AVERAGE(_xlfn.ANCHORARRAY('ETE Student Wise'!D3))</f>
        <v>77.498888888888871</v>
      </c>
      <c r="C8" s="23">
        <f>AVERAGE(_xlfn.ANCHORARRAY('ETE Student Wise'!E3))</f>
        <v>3</v>
      </c>
      <c r="D8" s="13">
        <f>COUNTIF('ETE Student Wise'!F:F,"Y")/(COUNTIF('ETE Student Wise'!F:F,"N")+COUNTIF('ETE Student Wise'!F:F,"Y"))</f>
        <v>1</v>
      </c>
      <c r="E8" s="24" cm="1">
        <f t="array" ref="E8">IFERROR(_xlfn.IFS(D8="","",D8&gt;='[1]OBE Data'!$B$13,3,D8&gt;='[1]OBE Data'!$B$14,2,D8&gt;='[1]OBE Data'!$B$15,1,D8&lt;'[1]OBE Data'!$B$15,0),"")</f>
        <v>3</v>
      </c>
      <c r="F8" s="26">
        <f>AVERAGE(_xlfn.ANCHORARRAY('ETE Student Wise'!I3))</f>
        <v>77.498888888888871</v>
      </c>
      <c r="G8" s="23">
        <f>AVERAGE(_xlfn.ANCHORARRAY('ETE Student Wise'!J3))</f>
        <v>3</v>
      </c>
      <c r="H8" s="13">
        <f>COUNTIF('ETE Student Wise'!K:K,"Y")/(COUNTIF('ETE Student Wise'!K:K,"N")+COUNTIF('ETE Student Wise'!K:K,"Y"))</f>
        <v>1</v>
      </c>
      <c r="I8" s="24" cm="1">
        <f t="array" ref="I8">IFERROR(_xlfn.IFS(H8="","",H8&gt;='[1]OBE Data'!$B$13,3,H8&gt;='[1]OBE Data'!$B$14,2,H8&gt;='[1]OBE Data'!$B$15,1,H8&lt;'[1]OBE Data'!$B$15,0),"")</f>
        <v>3</v>
      </c>
      <c r="J8" s="26">
        <f>AVERAGE(_xlfn.ANCHORARRAY('ETE Student Wise'!N3))</f>
        <v>77.498888888888871</v>
      </c>
      <c r="K8" s="23">
        <f>AVERAGE(_xlfn.ANCHORARRAY('ETE Student Wise'!O3))</f>
        <v>3</v>
      </c>
      <c r="L8" s="13">
        <f>COUNTIF('ETE Student Wise'!P:P,"Y")/(COUNTIF('ETE Student Wise'!P:P,"N")+COUNTIF('ETE Student Wise'!P:P,"Y"))</f>
        <v>1</v>
      </c>
      <c r="M8" s="24" cm="1">
        <f t="array" ref="M8">IFERROR(_xlfn.IFS(L8="","",L8&gt;='[1]OBE Data'!$B$13,3,L8&gt;='[1]OBE Data'!$B$14,2,L8&gt;='[1]OBE Data'!$B$15,1,L8&lt;'[1]OBE Data'!$B$15,0),"")</f>
        <v>3</v>
      </c>
      <c r="N8" s="26" t="e">
        <f>AVERAGE(_xlfn.ANCHORARRAY('ETE Student Wise'!S3))</f>
        <v>#DIV/0!</v>
      </c>
      <c r="O8" s="23">
        <f>AVERAGE(_xlfn.ANCHORARRAY('ETE Student Wise'!T3))</f>
        <v>3</v>
      </c>
      <c r="P8" s="43">
        <f>COUNTIF('ETE Student Wise'!U:U,"Y")/(COUNTIF('ETE Student Wise'!U:U,"N")+COUNTIF('ETE Student Wise'!U:U,"Y"))</f>
        <v>1</v>
      </c>
      <c r="Q8" s="24" cm="1">
        <f t="array" ref="Q8">IFERROR(_xlfn.IFS(P8="","",P8&gt;='[1]OBE Data'!$B$13,3,P8&gt;='[1]OBE Data'!$B$14,2,P8&gt;='[1]OBE Data'!$B$15,1,P8&lt;'[1]OBE Data'!$B$15,0),"")</f>
        <v>3</v>
      </c>
      <c r="R8" s="26" t="e">
        <f>AVERAGE(_xlfn.ANCHORARRAY('ETE Student Wise'!X3))</f>
        <v>#DIV/0!</v>
      </c>
      <c r="S8" s="23">
        <f>AVERAGE(_xlfn.ANCHORARRAY('ETE Student Wise'!Y3))</f>
        <v>3</v>
      </c>
      <c r="T8" s="43">
        <f>COUNTIF('ETE Student Wise'!Z:Z,"Y")/(COUNTIF('ETE Student Wise'!Z:Z,"N")+COUNTIF('ETE Student Wise'!Z:Z,"Y"))</f>
        <v>1</v>
      </c>
      <c r="U8" s="24" cm="1">
        <f t="array" ref="U8">IFERROR(_xlfn.IFS(T8="","",T8&gt;='[1]OBE Data'!$B$13,3,T8&gt;='[1]OBE Data'!$B$14,2,T8&gt;='[1]OBE Data'!$B$15,1,T8&lt;'[1]OBE Data'!$B$15,0),"")</f>
        <v>3</v>
      </c>
      <c r="V8" s="49" t="e">
        <f>AVERAGE(_xlfn.ANCHORARRAY('ETE Student Wise'!AC3))</f>
        <v>#DIV/0!</v>
      </c>
      <c r="W8" s="23">
        <f>AVERAGE(_xlfn.ANCHORARRAY('ETE Student Wise'!AD3))</f>
        <v>3</v>
      </c>
      <c r="X8" s="43">
        <f>COUNTIF('ETE Student Wise'!AE:AE,"Y")/(COUNTIF('ETE Student Wise'!AE:AE,"N")+COUNTIF('ETE Student Wise'!AE:AE,"Y"))</f>
        <v>1</v>
      </c>
      <c r="Y8" s="24" cm="1">
        <f t="array" ref="Y8">IFERROR(_xlfn.IFS(X8="","",X8&gt;='[1]OBE Data'!$B$13,3,X8&gt;='[1]OBE Data'!$B$14,2,X8&gt;='[1]OBE Data'!$B$15,1,X8&lt;'[1]OBE Data'!$B$15,0),"")</f>
        <v>3</v>
      </c>
    </row>
    <row r="9" spans="1:25" ht="15" thickBot="1" x14ac:dyDescent="0.35">
      <c r="A9" s="12" t="s">
        <v>20</v>
      </c>
      <c r="B9" s="26">
        <f>'[1]OBE Data'!$B$9*B7+'[1]OBE Data'!$B$10*B8</f>
        <v>73.595333333333315</v>
      </c>
      <c r="C9" s="23">
        <f>'[1]OBE Data'!$B$9*C7+'[1]OBE Data'!$B$10*C8</f>
        <v>2.8</v>
      </c>
      <c r="D9" s="13">
        <f>'[1]OBE Data'!$B$9*D7+'[1]OBE Data'!$B$10*D8</f>
        <v>0.95599999999999996</v>
      </c>
      <c r="E9" s="24" cm="1">
        <f t="array" ref="E9">IFERROR(_xlfn.IFS(D9="","",D9&gt;='[1]OBE Data'!$B$13,3,D9&gt;='[1]OBE Data'!$B$14,2,D9&gt;='[1]OBE Data'!$B$15,1,D9&lt;'[1]OBE Data'!$B$15,0),"")</f>
        <v>3</v>
      </c>
      <c r="F9" s="26">
        <f>'[1]OBE Data'!$B$9*F7+'[1]OBE Data'!$B$10*F8</f>
        <v>73.715333333333319</v>
      </c>
      <c r="G9" s="23">
        <f>'[1]OBE Data'!$B$9*G7+'[1]OBE Data'!$B$10*G8</f>
        <v>2.8</v>
      </c>
      <c r="H9" s="13">
        <f>'[1]OBE Data'!$B$9*H7+'[1]OBE Data'!$B$10*H8</f>
        <v>0.93199999999999994</v>
      </c>
      <c r="I9" s="24" cm="1">
        <f t="array" ref="I9">IFERROR(_xlfn.IFS(H9="","",H9&gt;='[1]OBE Data'!$B$13,3,H9&gt;='[1]OBE Data'!$B$14,2,H9&gt;='[1]OBE Data'!$B$15,1,H9&lt;'[1]OBE Data'!$B$15,0),"")</f>
        <v>3</v>
      </c>
      <c r="J9" s="26">
        <f>'[1]OBE Data'!$B$9*J7+'[1]OBE Data'!$B$10*J8</f>
        <v>76.683333333333309</v>
      </c>
      <c r="K9" s="23">
        <f>'[1]OBE Data'!$B$9*K7+'[1]OBE Data'!$B$10*K8</f>
        <v>2.8319999999999999</v>
      </c>
      <c r="L9" s="13">
        <f>'[1]OBE Data'!$B$9*L7+'[1]OBE Data'!$B$10*L8</f>
        <v>0.94399999999999995</v>
      </c>
      <c r="M9" s="24" cm="1">
        <f t="array" ref="M9">IFERROR(_xlfn.IFS(L9="","",L9&gt;='[1]OBE Data'!$B$13,3,L9&gt;='[1]OBE Data'!$B$14,2,L9&gt;='[1]OBE Data'!$B$15,1,L9&lt;'[1]OBE Data'!$B$15,0),"")</f>
        <v>3</v>
      </c>
      <c r="N9" s="26" t="e">
        <f>'[1]OBE Data'!$B$9*N7+'[1]OBE Data'!$B$10*N8</f>
        <v>#DIV/0!</v>
      </c>
      <c r="O9" s="23">
        <f>'[1]OBE Data'!$B$9*O7+'[1]OBE Data'!$B$10*O8</f>
        <v>2.9319999999999999</v>
      </c>
      <c r="P9" s="13">
        <f>'[1]OBE Data'!$B$9*P7+'[1]OBE Data'!$B$10*P8</f>
        <v>0.93199999999999994</v>
      </c>
      <c r="Q9" s="24" cm="1">
        <f t="array" ref="Q9">IFERROR(_xlfn.IFS(P9="","",P9&gt;='[1]OBE Data'!$B$13,3,P9&gt;='[1]OBE Data'!$B$14,2,P9&gt;='[1]OBE Data'!$B$15,1,P9&lt;'[1]OBE Data'!$B$15,0),"")</f>
        <v>3</v>
      </c>
      <c r="R9" s="26" t="e">
        <f>'[1]OBE Data'!$B$9*R7+'[1]OBE Data'!$B$10*R8</f>
        <v>#DIV/0!</v>
      </c>
      <c r="S9" s="23">
        <f>'[1]OBE Data'!$B$9*S7+'[1]OBE Data'!$B$10*S8</f>
        <v>2.6399999999999997</v>
      </c>
      <c r="T9" s="13">
        <f>'[1]OBE Data'!$B$9*T7+'[1]OBE Data'!$B$10*T8</f>
        <v>0.87999999999999989</v>
      </c>
      <c r="U9" s="24" cm="1">
        <f t="array" ref="U9">IFERROR(_xlfn.IFS(T9="","",T9&gt;='[1]OBE Data'!$B$13,3,T9&gt;='[1]OBE Data'!$B$14,2,T9&gt;='[1]OBE Data'!$B$15,1,T9&lt;'[1]OBE Data'!$B$15,0),"")</f>
        <v>3</v>
      </c>
      <c r="V9" s="49" t="e">
        <f>'[1]OBE Data'!$B$9*V7+'[1]OBE Data'!$B$10*V8</f>
        <v>#DIV/0!</v>
      </c>
      <c r="W9" s="23">
        <f>'[1]OBE Data'!$B$9*W7+'[1]OBE Data'!$B$10*W8</f>
        <v>2.9319999999999999</v>
      </c>
      <c r="X9" s="13">
        <f>'[1]OBE Data'!$B$9*X7+'[1]OBE Data'!$B$10*X8</f>
        <v>0.97599999999999998</v>
      </c>
      <c r="Y9" s="24" cm="1">
        <f t="array" ref="Y9">IFERROR(_xlfn.IFS(X9="","",X9&gt;='[1]OBE Data'!$B$13,3,X9&gt;='[1]OBE Data'!$B$14,2,X9&gt;='[1]OBE Data'!$B$15,1,X9&lt;'[1]OBE Data'!$B$15,0),"")</f>
        <v>3</v>
      </c>
    </row>
    <row r="10" spans="1:25" ht="15" thickBot="1" x14ac:dyDescent="0.35"/>
    <row r="11" spans="1:25" ht="15" thickBot="1" x14ac:dyDescent="0.35">
      <c r="A11" s="37" t="s">
        <v>23</v>
      </c>
      <c r="B11" s="21" t="s">
        <v>24</v>
      </c>
    </row>
    <row r="12" spans="1:25" x14ac:dyDescent="0.3">
      <c r="A12" s="5" t="s">
        <v>0</v>
      </c>
      <c r="B12" s="5">
        <f>E9</f>
        <v>3</v>
      </c>
    </row>
    <row r="13" spans="1:25" x14ac:dyDescent="0.3">
      <c r="A13" s="6" t="s">
        <v>1</v>
      </c>
      <c r="B13" s="6">
        <f>I9</f>
        <v>3</v>
      </c>
    </row>
    <row r="14" spans="1:25" x14ac:dyDescent="0.3">
      <c r="A14" s="6" t="s">
        <v>2</v>
      </c>
      <c r="B14" s="6">
        <f>M9</f>
        <v>3</v>
      </c>
    </row>
    <row r="15" spans="1:25" x14ac:dyDescent="0.3">
      <c r="A15" s="6" t="s">
        <v>3</v>
      </c>
      <c r="B15" s="6">
        <f>Q9</f>
        <v>3</v>
      </c>
    </row>
    <row r="16" spans="1:25" x14ac:dyDescent="0.3">
      <c r="A16" s="6" t="s">
        <v>9</v>
      </c>
      <c r="B16" s="6">
        <f>U9</f>
        <v>3</v>
      </c>
    </row>
    <row r="17" spans="1:2" ht="15" thickBot="1" x14ac:dyDescent="0.35">
      <c r="A17" s="38" t="s">
        <v>10</v>
      </c>
      <c r="B17" s="38">
        <f>Y9</f>
        <v>3</v>
      </c>
    </row>
    <row r="18" spans="1:2" ht="15" thickBot="1" x14ac:dyDescent="0.35">
      <c r="A18" s="12" t="s">
        <v>25</v>
      </c>
      <c r="B18" s="22">
        <f>AVERAGE(B12:B17)</f>
        <v>3</v>
      </c>
    </row>
  </sheetData>
  <mergeCells count="6">
    <mergeCell ref="B1:E1"/>
    <mergeCell ref="F1:I1"/>
    <mergeCell ref="V1:Y1"/>
    <mergeCell ref="R1:U1"/>
    <mergeCell ref="N1:Q1"/>
    <mergeCell ref="J1:M1"/>
  </mergeCells>
  <phoneticPr fontId="2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Output</vt:lpstr>
      <vt:lpstr>ST1 Student Wise</vt:lpstr>
      <vt:lpstr>ST2 Student Wise</vt:lpstr>
      <vt:lpstr>ST3 Student Wise</vt:lpstr>
      <vt:lpstr>ETE Student Wise</vt:lpstr>
      <vt:lpstr>ASN Student Wise</vt:lpstr>
      <vt:lpstr>Averages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Prateek Singh</cp:lastModifiedBy>
  <cp:lastPrinted>2025-09-19T10:00:42Z</cp:lastPrinted>
  <dcterms:created xsi:type="dcterms:W3CDTF">2015-06-05T18:17:20Z</dcterms:created>
  <dcterms:modified xsi:type="dcterms:W3CDTF">2025-12-23T05:25:41Z</dcterms:modified>
</cp:coreProperties>
</file>