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New folder (2)\Python for OBE\"/>
    </mc:Choice>
  </mc:AlternateContent>
  <xr:revisionPtr revIDLastSave="0" documentId="13_ncr:1_{CC3A939D-CF82-4D67-90DD-E08F01AAB682}" xr6:coauthVersionLast="47" xr6:coauthVersionMax="47" xr10:uidLastSave="{00000000-0000-0000-0000-000000000000}"/>
  <bookViews>
    <workbookView xWindow="-108" yWindow="-108" windowWidth="23256" windowHeight="12576" tabRatio="878" firstSheet="11" activeTab="33" xr2:uid="{00000000-000D-0000-FFFF-FFFF00000000}"/>
  </bookViews>
  <sheets>
    <sheet name="OBE Details" sheetId="45" r:id="rId1"/>
    <sheet name="ST1 CO Question Map" sheetId="46" r:id="rId2"/>
    <sheet name="ST1 Result" sheetId="47" r:id="rId3"/>
    <sheet name="ST2 CO Question Map" sheetId="48" r:id="rId4"/>
    <sheet name="ST2 Result" sheetId="49" r:id="rId5"/>
    <sheet name="ST3 CO Question Map" sheetId="50" r:id="rId6"/>
    <sheet name="ST3 Result" sheetId="51" r:id="rId7"/>
    <sheet name="ETE CO Question Map" sheetId="52" r:id="rId8"/>
    <sheet name="ETE Result" sheetId="53" r:id="rId9"/>
    <sheet name="ST1 Student Marks" sheetId="7" r:id="rId10"/>
    <sheet name="ST1 Question Map" sheetId="10" r:id="rId11"/>
    <sheet name="ST1 Student MO CO Score" sheetId="13" r:id="rId12"/>
    <sheet name="ST1 Student Attained CO Score" sheetId="14" r:id="rId13"/>
    <sheet name="ST1 Student Attainment percent" sheetId="15" r:id="rId14"/>
    <sheet name="ST1 CO Attainment Score" sheetId="16" r:id="rId15"/>
    <sheet name="ST1 Target Attained" sheetId="17" r:id="rId16"/>
    <sheet name="ST2 Student Marks" sheetId="8" r:id="rId17"/>
    <sheet name="ST2 Question Map" sheetId="11" r:id="rId18"/>
    <sheet name="ST2 Student MO CO Score" sheetId="20" r:id="rId19"/>
    <sheet name="ST2 Student Attained CO Score" sheetId="21" r:id="rId20"/>
    <sheet name="ST2 Student Attainment percent" sheetId="22" r:id="rId21"/>
    <sheet name="ST2 CO Attainment Score" sheetId="23" r:id="rId22"/>
    <sheet name="ST2 Target Attained" sheetId="24" r:id="rId23"/>
    <sheet name="ST3 Student Marks" sheetId="27" r:id="rId24"/>
    <sheet name="ST3 Question Map" sheetId="28" r:id="rId25"/>
    <sheet name="ST3 Student MO CO Score" sheetId="29" r:id="rId26"/>
    <sheet name="ST3 Student Attained CO Score" sheetId="30" r:id="rId27"/>
    <sheet name="ST3 Student Attainment percent" sheetId="31" r:id="rId28"/>
    <sheet name="ST3 CO Attainment Score" sheetId="32" r:id="rId29"/>
    <sheet name="ST3 Target Attained" sheetId="33" r:id="rId30"/>
    <sheet name="ETE Student Marks" sheetId="38" r:id="rId31"/>
    <sheet name="ETE Question Map" sheetId="39" r:id="rId32"/>
    <sheet name="ETE Student MO CO Score" sheetId="40" r:id="rId33"/>
    <sheet name="ETE Student Attained CO Score" sheetId="41" r:id="rId34"/>
    <sheet name="ETE Student Attainment percent" sheetId="42" r:id="rId35"/>
    <sheet name="ETE CO Attainment Score" sheetId="43" r:id="rId36"/>
    <sheet name="ETE Target Attained" sheetId="44" r:id="rId37"/>
    <sheet name="ST1 Student Wise" sheetId="54" r:id="rId38"/>
    <sheet name="ST2 Student Wise" sheetId="55" r:id="rId39"/>
    <sheet name="ST3 Student Wise" sheetId="56" r:id="rId40"/>
    <sheet name="ETE Student Wise" sheetId="57" r:id="rId41"/>
    <sheet name="Averages" sheetId="58" r:id="rId42"/>
    <sheet name="CO Attainment" sheetId="59" r:id="rId43"/>
    <sheet name="Student Wise OVR MO" sheetId="60" r:id="rId44"/>
    <sheet name="Student Wise OVR percent" sheetId="61" r:id="rId45"/>
    <sheet name="Student Exam Marks " sheetId="62" r:id="rId46"/>
    <sheet name="Student Exam Map" sheetId="63" r:id="rId47"/>
    <sheet name="Sheet1" sheetId="64" r:id="rId48"/>
    <sheet name="Sheet2" sheetId="65" r:id="rId4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2" l="1"/>
  <c r="I4" i="52"/>
  <c r="I5" i="52"/>
  <c r="I6" i="52"/>
  <c r="I7" i="52"/>
  <c r="I8" i="52"/>
  <c r="I9" i="52"/>
  <c r="I10" i="52"/>
  <c r="I11" i="52"/>
  <c r="I12" i="52"/>
  <c r="I13" i="52"/>
  <c r="I14" i="52"/>
  <c r="I15" i="52"/>
  <c r="I16" i="52"/>
  <c r="I17" i="52"/>
  <c r="I18" i="52"/>
  <c r="I19" i="52"/>
  <c r="I20" i="52"/>
  <c r="I21" i="52"/>
  <c r="I22" i="52"/>
  <c r="I23" i="52"/>
  <c r="I24" i="52"/>
  <c r="I2" i="52"/>
  <c r="B1" i="65" a="1"/>
  <c r="B1" i="65" s="1"/>
  <c r="A1" i="65" a="1"/>
  <c r="A1" i="65" s="1"/>
  <c r="AJ2" i="49"/>
  <c r="C2" i="62" s="1" a="1"/>
  <c r="C2" i="62" s="1"/>
  <c r="H1" i="46"/>
  <c r="G1" i="60" s="1"/>
  <c r="A2" i="64" a="1"/>
  <c r="A2" i="64" s="1"/>
  <c r="A1" i="63" a="1"/>
  <c r="A1" i="63" s="1"/>
  <c r="D2" i="63" s="1" a="1"/>
  <c r="D2" i="63" s="1"/>
  <c r="D2" i="62" a="1"/>
  <c r="D2" i="62" s="1"/>
  <c r="B2" i="62" a="1"/>
  <c r="B2" i="62" s="1"/>
  <c r="E2" i="62" a="1"/>
  <c r="E2" i="62" s="1"/>
  <c r="A1" i="62" a="1"/>
  <c r="A1" i="62" s="1"/>
  <c r="B1" i="39" a="1"/>
  <c r="B1" i="39" s="1"/>
  <c r="M1" i="49" a="1"/>
  <c r="M1" i="49" s="1"/>
  <c r="M1" i="47" a="1"/>
  <c r="AI1" i="47" s="1"/>
  <c r="X1" i="7" s="1" a="1"/>
  <c r="X1" i="7" s="1"/>
  <c r="E1" i="59" a="1"/>
  <c r="E1" i="59" s="1"/>
  <c r="AE1" i="61"/>
  <c r="AD1" i="61"/>
  <c r="AC1" i="61"/>
  <c r="AB1" i="61"/>
  <c r="AA1" i="61"/>
  <c r="Z1" i="61"/>
  <c r="Y1" i="61"/>
  <c r="X1" i="61"/>
  <c r="W1" i="61"/>
  <c r="V1" i="61"/>
  <c r="U1" i="61"/>
  <c r="T1" i="61"/>
  <c r="S1" i="61"/>
  <c r="R1" i="61"/>
  <c r="Q1" i="61"/>
  <c r="P1" i="61"/>
  <c r="O1" i="61"/>
  <c r="N1" i="61"/>
  <c r="M1" i="61"/>
  <c r="L1" i="61"/>
  <c r="K1" i="61"/>
  <c r="J1" i="61"/>
  <c r="I1" i="61"/>
  <c r="H1" i="61"/>
  <c r="G1" i="61"/>
  <c r="F1" i="61"/>
  <c r="E1" i="61"/>
  <c r="D1" i="61"/>
  <c r="C1" i="61"/>
  <c r="B1" i="61"/>
  <c r="A1" i="61" a="1"/>
  <c r="A1" i="61" s="1"/>
  <c r="B1" i="28" a="1"/>
  <c r="B1" i="28" s="1"/>
  <c r="AA1" i="60"/>
  <c r="AB1" i="60"/>
  <c r="AC1" i="60"/>
  <c r="AD1" i="60"/>
  <c r="AE1" i="60"/>
  <c r="Z1" i="60"/>
  <c r="U1" i="60"/>
  <c r="V1" i="60"/>
  <c r="W1" i="60"/>
  <c r="X1" i="60"/>
  <c r="Y1" i="60"/>
  <c r="T1" i="60"/>
  <c r="O1" i="60"/>
  <c r="P1" i="60"/>
  <c r="Q1" i="60"/>
  <c r="R1" i="60"/>
  <c r="S1" i="60"/>
  <c r="N1" i="60"/>
  <c r="K1" i="60"/>
  <c r="H1" i="60"/>
  <c r="F1" i="60"/>
  <c r="C1" i="60"/>
  <c r="D1" i="60"/>
  <c r="E1" i="60"/>
  <c r="B1" i="60"/>
  <c r="A1" i="60" a="1"/>
  <c r="A1" i="60" s="1"/>
  <c r="V1" i="58"/>
  <c r="R1" i="58"/>
  <c r="N1" i="58"/>
  <c r="J1" i="58"/>
  <c r="F1" i="58"/>
  <c r="B1" i="58"/>
  <c r="V1" i="57"/>
  <c r="Q1" i="57"/>
  <c r="L1" i="57"/>
  <c r="G1" i="57"/>
  <c r="B1" i="57"/>
  <c r="AA1" i="56"/>
  <c r="V1" i="56"/>
  <c r="Q1" i="56"/>
  <c r="L1" i="56"/>
  <c r="G1" i="56"/>
  <c r="B1" i="56"/>
  <c r="AA1" i="55"/>
  <c r="V1" i="55"/>
  <c r="Q1" i="55"/>
  <c r="L1" i="55"/>
  <c r="G1" i="55"/>
  <c r="B1" i="55"/>
  <c r="AA1" i="54"/>
  <c r="V1" i="54"/>
  <c r="A2" i="59" a="1"/>
  <c r="A2" i="59" s="1"/>
  <c r="A1" i="10" a="1"/>
  <c r="A1" i="10" s="1"/>
  <c r="A2" i="54" a="1"/>
  <c r="A2" i="54" s="1"/>
  <c r="A2" i="55" a="1"/>
  <c r="A2" i="55" s="1"/>
  <c r="A2" i="56" a="1"/>
  <c r="A2" i="56" s="1"/>
  <c r="A2" i="57" a="1"/>
  <c r="A2" i="57" s="1"/>
  <c r="B1" i="40" a="1"/>
  <c r="B1" i="40" s="1"/>
  <c r="B1" i="41" a="1"/>
  <c r="B1" i="41" s="1"/>
  <c r="B1" i="42" a="1"/>
  <c r="B1" i="42" s="1"/>
  <c r="B1" i="43" a="1"/>
  <c r="B1" i="43" s="1"/>
  <c r="B1" i="44" a="1"/>
  <c r="B1" i="44" s="1"/>
  <c r="A1" i="44" a="1"/>
  <c r="A1" i="44" s="1"/>
  <c r="A1" i="43" a="1"/>
  <c r="A1" i="43" s="1"/>
  <c r="A1" i="42" a="1"/>
  <c r="A1" i="42" s="1"/>
  <c r="A1" i="41" a="1"/>
  <c r="A1" i="41" s="1"/>
  <c r="A1" i="40" a="1"/>
  <c r="A1" i="40" s="1"/>
  <c r="A1" i="39" a="1"/>
  <c r="A1" i="39" s="1"/>
  <c r="A1" i="38" a="1"/>
  <c r="A1" i="38" s="1"/>
  <c r="B1" i="33" a="1"/>
  <c r="B1" i="33" s="1"/>
  <c r="B1" i="32" a="1"/>
  <c r="B1" i="32" s="1"/>
  <c r="A1" i="33" a="1"/>
  <c r="A1" i="33" s="1"/>
  <c r="A1" i="32" a="1"/>
  <c r="A1" i="32" s="1"/>
  <c r="A1" i="31" a="1"/>
  <c r="A1" i="31" s="1"/>
  <c r="A1" i="30" a="1"/>
  <c r="A1" i="30" s="1"/>
  <c r="A1" i="29" a="1"/>
  <c r="A1" i="29" s="1"/>
  <c r="B1" i="31" a="1"/>
  <c r="B1" i="31" s="1"/>
  <c r="B1" i="30" a="1"/>
  <c r="B1" i="30" s="1"/>
  <c r="B1" i="29" a="1"/>
  <c r="B1" i="29" s="1"/>
  <c r="A1" i="28" a="1"/>
  <c r="A1" i="28" s="1"/>
  <c r="A1" i="27" a="1"/>
  <c r="A1" i="27" s="1"/>
  <c r="A1" i="24" a="1"/>
  <c r="A1" i="24" s="1"/>
  <c r="A1" i="23" a="1"/>
  <c r="A1" i="23" s="1"/>
  <c r="A1" i="22" a="1"/>
  <c r="A1" i="22" s="1"/>
  <c r="A1" i="21" a="1"/>
  <c r="A1" i="21" s="1"/>
  <c r="H1" i="52"/>
  <c r="G1" i="52"/>
  <c r="F1" i="52"/>
  <c r="E1" i="52"/>
  <c r="D1" i="52"/>
  <c r="C1" i="52"/>
  <c r="H1" i="50"/>
  <c r="G1" i="50"/>
  <c r="F1" i="50"/>
  <c r="E1" i="50"/>
  <c r="D1" i="50"/>
  <c r="C1" i="50"/>
  <c r="H1" i="48"/>
  <c r="M1" i="60" s="1"/>
  <c r="G1" i="48"/>
  <c r="L1" i="60" s="1"/>
  <c r="F1" i="48"/>
  <c r="E1" i="48"/>
  <c r="B1" i="24" s="1" a="1"/>
  <c r="B1" i="24" s="1"/>
  <c r="D1" i="48"/>
  <c r="I1" i="60" s="1"/>
  <c r="C1" i="48"/>
  <c r="B1" i="23" s="1" a="1"/>
  <c r="B1" i="23" s="1"/>
  <c r="A1" i="20" a="1"/>
  <c r="A1" i="20" s="1"/>
  <c r="A1" i="11" a="1"/>
  <c r="A1" i="11" s="1"/>
  <c r="A1" i="8" a="1"/>
  <c r="A1" i="8" s="1"/>
  <c r="E1" i="46"/>
  <c r="Q1" i="54"/>
  <c r="L1" i="54"/>
  <c r="G1" i="54"/>
  <c r="B1" i="54"/>
  <c r="G1" i="46"/>
  <c r="F1" i="46"/>
  <c r="D1" i="46"/>
  <c r="C1" i="46"/>
  <c r="A1" i="17" a="1"/>
  <c r="A1" i="17" s="1"/>
  <c r="A1" i="16" a="1"/>
  <c r="A1" i="16" s="1"/>
  <c r="A1" i="15" a="1"/>
  <c r="A1" i="15" s="1"/>
  <c r="A1" i="14" a="1"/>
  <c r="A1" i="14" s="1"/>
  <c r="A1" i="13" a="1"/>
  <c r="A1" i="13" s="1"/>
  <c r="A1" i="7" a="1"/>
  <c r="A1" i="7" s="1"/>
  <c r="AJ19" i="53"/>
  <c r="AJ18" i="53"/>
  <c r="AJ17" i="53"/>
  <c r="AJ16" i="53"/>
  <c r="AJ15" i="53"/>
  <c r="AJ14" i="53"/>
  <c r="AJ13" i="53"/>
  <c r="AJ12" i="53"/>
  <c r="AJ11" i="53"/>
  <c r="AJ10" i="53"/>
  <c r="AJ9" i="53"/>
  <c r="AJ8" i="53"/>
  <c r="AJ7" i="53"/>
  <c r="AJ6" i="53"/>
  <c r="AJ5" i="53"/>
  <c r="AJ4" i="53"/>
  <c r="AJ3" i="53"/>
  <c r="AJ2" i="53"/>
  <c r="AJ19" i="51"/>
  <c r="AJ18" i="51"/>
  <c r="AJ17" i="51"/>
  <c r="AJ16" i="51"/>
  <c r="AJ15" i="51"/>
  <c r="AJ14" i="51"/>
  <c r="AJ13" i="51"/>
  <c r="AJ12" i="51"/>
  <c r="AJ11" i="51"/>
  <c r="AJ10" i="51"/>
  <c r="AJ9" i="51"/>
  <c r="AJ7" i="51"/>
  <c r="AJ6" i="51"/>
  <c r="AJ5" i="51"/>
  <c r="AJ4" i="51"/>
  <c r="AJ3" i="51"/>
  <c r="AJ19" i="49"/>
  <c r="AJ18" i="49"/>
  <c r="AJ17" i="49"/>
  <c r="AJ16" i="49"/>
  <c r="AJ15" i="49"/>
  <c r="AJ14" i="49"/>
  <c r="AJ13" i="49"/>
  <c r="AJ12" i="49"/>
  <c r="AJ11" i="49"/>
  <c r="AJ10" i="49"/>
  <c r="AJ9" i="49"/>
  <c r="AJ7" i="49"/>
  <c r="AJ6" i="49"/>
  <c r="AJ5" i="49"/>
  <c r="AJ4" i="49"/>
  <c r="AJ3" i="49"/>
  <c r="AJ19" i="47"/>
  <c r="AJ18" i="47"/>
  <c r="AJ17" i="47"/>
  <c r="AJ16" i="47"/>
  <c r="AJ15" i="47"/>
  <c r="AJ14" i="47"/>
  <c r="AJ13" i="47"/>
  <c r="AJ12" i="47"/>
  <c r="AJ11" i="47"/>
  <c r="AJ10" i="47"/>
  <c r="AJ9" i="47"/>
  <c r="AJ8" i="47"/>
  <c r="AJ7" i="47"/>
  <c r="AJ6" i="47"/>
  <c r="AJ5" i="47"/>
  <c r="AJ4" i="47"/>
  <c r="AJ3" i="47"/>
  <c r="C2" i="63" l="1" a="1"/>
  <c r="C2" i="63" s="1"/>
  <c r="E2" i="63" a="1"/>
  <c r="E2" i="63" s="1"/>
  <c r="B2" i="63" a="1"/>
  <c r="F2" i="63" s="1" a="1"/>
  <c r="F2" i="63" s="1"/>
  <c r="A12" i="59" a="1"/>
  <c r="A12" i="59" s="1"/>
  <c r="AA1" i="57"/>
  <c r="B1" i="10" a="1"/>
  <c r="B1" i="10" s="1"/>
  <c r="M1" i="51" a="1"/>
  <c r="M1" i="51" s="1"/>
  <c r="M1" i="53" a="1"/>
  <c r="V1" i="53" s="1"/>
  <c r="K1" i="38" s="1" a="1"/>
  <c r="K1" i="38" s="1"/>
  <c r="B1" i="20" a="1"/>
  <c r="B1" i="20" s="1"/>
  <c r="B1" i="21" a="1"/>
  <c r="B1" i="21" s="1"/>
  <c r="J1" i="60"/>
  <c r="B1" i="22" a="1"/>
  <c r="B1" i="22" s="1"/>
  <c r="B1" i="11" a="1"/>
  <c r="B1" i="11" s="1"/>
  <c r="V1" i="8" a="1"/>
  <c r="V1" i="8" s="1"/>
  <c r="Y1" i="47"/>
  <c r="N1" i="7" s="1" a="1"/>
  <c r="N1" i="7" s="1"/>
  <c r="Q1" i="47"/>
  <c r="F1" i="7" s="1" a="1"/>
  <c r="F1" i="7" s="1"/>
  <c r="AG1" i="47"/>
  <c r="V1" i="7" s="1" a="1"/>
  <c r="V1" i="7" s="1"/>
  <c r="M1" i="47"/>
  <c r="B1" i="7" s="1" a="1"/>
  <c r="B1" i="7" s="1"/>
  <c r="AC1" i="47"/>
  <c r="R1" i="7" s="1" a="1"/>
  <c r="R1" i="7" s="1"/>
  <c r="U1" i="47"/>
  <c r="J1" i="7" s="1" a="1"/>
  <c r="J1" i="7" s="1"/>
  <c r="B1" i="17" a="1"/>
  <c r="B1" i="17" s="1"/>
  <c r="B1" i="16" a="1"/>
  <c r="B1" i="16" s="1"/>
  <c r="B1" i="15" a="1"/>
  <c r="B1" i="15" s="1"/>
  <c r="B1" i="14" a="1"/>
  <c r="B1" i="14" s="1"/>
  <c r="B1" i="13" a="1"/>
  <c r="B1" i="13" s="1"/>
  <c r="D1" i="8" a="1"/>
  <c r="D1" i="8" s="1"/>
  <c r="L1" i="8" a="1"/>
  <c r="L1" i="8" s="1"/>
  <c r="P1" i="8" a="1"/>
  <c r="P1" i="8" s="1"/>
  <c r="X1" i="8" a="1"/>
  <c r="X1" i="8" s="1"/>
  <c r="P1" i="47"/>
  <c r="E1" i="7" s="1" a="1"/>
  <c r="E1" i="7" s="1"/>
  <c r="T1" i="47"/>
  <c r="I1" i="7" s="1" a="1"/>
  <c r="I1" i="7" s="1"/>
  <c r="X1" i="47"/>
  <c r="M1" i="7" s="1" a="1"/>
  <c r="M1" i="7" s="1"/>
  <c r="AB1" i="47"/>
  <c r="Q1" i="7" s="1" a="1"/>
  <c r="Q1" i="7" s="1"/>
  <c r="AF1" i="47"/>
  <c r="U1" i="7" s="1" a="1"/>
  <c r="U1" i="7" s="1"/>
  <c r="C1" i="8" a="1"/>
  <c r="C1" i="8" s="1"/>
  <c r="G1" i="8" a="1"/>
  <c r="G1" i="8" s="1"/>
  <c r="K1" i="8" a="1"/>
  <c r="K1" i="8" s="1"/>
  <c r="O1" i="8" a="1"/>
  <c r="O1" i="8" s="1"/>
  <c r="S1" i="8" a="1"/>
  <c r="S1" i="8" s="1"/>
  <c r="W1" i="8" a="1"/>
  <c r="W1" i="8" s="1"/>
  <c r="H1" i="8" a="1"/>
  <c r="H1" i="8" s="1"/>
  <c r="T1" i="8" a="1"/>
  <c r="T1" i="8" s="1"/>
  <c r="N1" i="47"/>
  <c r="C1" i="7" s="1" a="1"/>
  <c r="C1" i="7" s="1"/>
  <c r="R1" i="47"/>
  <c r="G1" i="7" s="1" a="1"/>
  <c r="G1" i="7" s="1"/>
  <c r="V1" i="47"/>
  <c r="K1" i="7" s="1" a="1"/>
  <c r="K1" i="7" s="1"/>
  <c r="Z1" i="47"/>
  <c r="O1" i="7" s="1" a="1"/>
  <c r="O1" i="7" s="1"/>
  <c r="AD1" i="47"/>
  <c r="S1" i="7" s="1" a="1"/>
  <c r="S1" i="7" s="1"/>
  <c r="AH1" i="47"/>
  <c r="W1" i="7" s="1" a="1"/>
  <c r="W1" i="7" s="1"/>
  <c r="E1" i="8" a="1"/>
  <c r="E1" i="8" s="1"/>
  <c r="I1" i="8" a="1"/>
  <c r="I1" i="8" s="1"/>
  <c r="M1" i="8" a="1"/>
  <c r="M1" i="8" s="1"/>
  <c r="Q1" i="8" a="1"/>
  <c r="Q1" i="8" s="1"/>
  <c r="U1" i="8" a="1"/>
  <c r="U1" i="8" s="1"/>
  <c r="O1" i="47"/>
  <c r="D1" i="7" s="1" a="1"/>
  <c r="D1" i="7" s="1"/>
  <c r="S1" i="47"/>
  <c r="H1" i="7" s="1" a="1"/>
  <c r="H1" i="7" s="1"/>
  <c r="W1" i="47"/>
  <c r="L1" i="7" s="1" a="1"/>
  <c r="L1" i="7" s="1"/>
  <c r="AA1" i="47"/>
  <c r="P1" i="7" s="1" a="1"/>
  <c r="P1" i="7" s="1"/>
  <c r="AE1" i="47"/>
  <c r="T1" i="7" s="1" a="1"/>
  <c r="T1" i="7" s="1"/>
  <c r="B1" i="8" a="1"/>
  <c r="B1" i="8" s="1"/>
  <c r="F1" i="8" a="1"/>
  <c r="F1" i="8" s="1"/>
  <c r="J1" i="8" a="1"/>
  <c r="J1" i="8" s="1"/>
  <c r="N1" i="8" a="1"/>
  <c r="N1" i="8" s="1"/>
  <c r="R1" i="8" a="1"/>
  <c r="R1" i="8" s="1"/>
  <c r="B2" i="63" l="1"/>
  <c r="U1" i="27" a="1"/>
  <c r="U1" i="27" s="1"/>
  <c r="P1" i="27" a="1"/>
  <c r="P1" i="27" s="1"/>
  <c r="O1" i="27" a="1"/>
  <c r="O1" i="27" s="1"/>
  <c r="E1" i="27" a="1"/>
  <c r="E1" i="27" s="1"/>
  <c r="H1" i="27" a="1"/>
  <c r="H1" i="27" s="1"/>
  <c r="G1" i="27" a="1"/>
  <c r="G1" i="27" s="1"/>
  <c r="J1" i="27" a="1"/>
  <c r="J1" i="27" s="1"/>
  <c r="F1" i="27" a="1"/>
  <c r="F1" i="27" s="1"/>
  <c r="X1" i="27" a="1"/>
  <c r="X1" i="27" s="1"/>
  <c r="X2" i="28" s="1" a="1"/>
  <c r="X2" i="28" s="1"/>
  <c r="N1" i="27" a="1"/>
  <c r="N1" i="27" s="1"/>
  <c r="AH1" i="53"/>
  <c r="W1" i="38" s="1" a="1"/>
  <c r="W1" i="38" s="1"/>
  <c r="W2" i="39" s="1" a="1"/>
  <c r="W2" i="39" s="1"/>
  <c r="U1" i="53"/>
  <c r="J1" i="38" s="1" a="1"/>
  <c r="J1" i="38" s="1"/>
  <c r="J2" i="39" s="1" a="1"/>
  <c r="J2" i="39" s="1"/>
  <c r="Q1" i="53"/>
  <c r="F1" i="38" s="1" a="1"/>
  <c r="F1" i="38" s="1"/>
  <c r="F2" i="39" s="1" a="1"/>
  <c r="F2" i="39" s="1"/>
  <c r="T1" i="53"/>
  <c r="I1" i="38" s="1" a="1"/>
  <c r="I1" i="38" s="1"/>
  <c r="I2" i="39" s="1" a="1"/>
  <c r="I2" i="39" s="1"/>
  <c r="Z1" i="53"/>
  <c r="O1" i="38" s="1" a="1"/>
  <c r="O1" i="38" s="1"/>
  <c r="O2" i="39" s="1" a="1"/>
  <c r="O2" i="39" s="1"/>
  <c r="Y1" i="53"/>
  <c r="N1" i="38" s="1" a="1"/>
  <c r="N1" i="38" s="1"/>
  <c r="N2" i="39" s="1" a="1"/>
  <c r="N2" i="39" s="1"/>
  <c r="AB1" i="53"/>
  <c r="Q1" i="38" s="1" a="1"/>
  <c r="Q1" i="38" s="1"/>
  <c r="Q2" i="39" s="1" a="1"/>
  <c r="Q2" i="39" s="1"/>
  <c r="R1" i="53"/>
  <c r="G1" i="38" s="1" a="1"/>
  <c r="G1" i="38" s="1"/>
  <c r="G2" i="39" s="1" a="1"/>
  <c r="G2" i="39" s="1"/>
  <c r="X1" i="53"/>
  <c r="M1" i="38" s="1" a="1"/>
  <c r="M1" i="38" s="1"/>
  <c r="M2" i="39" s="1" a="1"/>
  <c r="M2" i="39" s="1"/>
  <c r="AD1" i="53"/>
  <c r="S1" i="38" s="1" a="1"/>
  <c r="S1" i="38" s="1"/>
  <c r="S2" i="39" s="1" a="1"/>
  <c r="S2" i="39" s="1"/>
  <c r="N1" i="53"/>
  <c r="C1" i="38" s="1" a="1"/>
  <c r="C1" i="38" s="1"/>
  <c r="AC1" i="53"/>
  <c r="R1" i="38" s="1" a="1"/>
  <c r="R1" i="38" s="1"/>
  <c r="R2" i="39" s="1" a="1"/>
  <c r="R2" i="39" s="1"/>
  <c r="M1" i="53"/>
  <c r="B1" i="38" s="1" a="1"/>
  <c r="B1" i="38" s="1"/>
  <c r="B2" i="39" s="1" a="1"/>
  <c r="B2" i="39" s="1"/>
  <c r="AF1" i="53"/>
  <c r="U1" i="38" s="1" a="1"/>
  <c r="U1" i="38" s="1"/>
  <c r="U2" i="39" s="1" a="1"/>
  <c r="U2" i="39" s="1"/>
  <c r="P1" i="53"/>
  <c r="E1" i="38" s="1" a="1"/>
  <c r="E1" i="38" s="1"/>
  <c r="AG1" i="53"/>
  <c r="V1" i="38" s="1" a="1"/>
  <c r="V1" i="38" s="1"/>
  <c r="V2" i="39" s="1" a="1"/>
  <c r="V2" i="39" s="1"/>
  <c r="AE1" i="53"/>
  <c r="T1" i="38" s="1" a="1"/>
  <c r="T1" i="38" s="1"/>
  <c r="T2" i="39" s="1" a="1"/>
  <c r="T2" i="39" s="1"/>
  <c r="O1" i="53"/>
  <c r="D1" i="38" s="1" a="1"/>
  <c r="D1" i="38" s="1"/>
  <c r="D2" i="39" s="1" a="1"/>
  <c r="D2" i="39" s="1"/>
  <c r="AI1" i="53"/>
  <c r="X1" i="38" s="1" a="1"/>
  <c r="X1" i="38" s="1"/>
  <c r="X2" i="39" s="1" a="1"/>
  <c r="X2" i="39" s="1"/>
  <c r="AA1" i="53"/>
  <c r="P1" i="38" s="1" a="1"/>
  <c r="P1" i="38" s="1"/>
  <c r="P2" i="39" s="1" a="1"/>
  <c r="P2" i="39" s="1"/>
  <c r="W1" i="53"/>
  <c r="L1" i="38" s="1" a="1"/>
  <c r="L1" i="38" s="1"/>
  <c r="L2" i="39" s="1" a="1"/>
  <c r="L2" i="39" s="1"/>
  <c r="S1" i="53"/>
  <c r="H1" i="38" s="1" a="1"/>
  <c r="H1" i="38" s="1"/>
  <c r="H2" i="39" s="1" a="1"/>
  <c r="H2" i="39" s="1"/>
  <c r="L1" i="27" a="1"/>
  <c r="L1" i="27" s="1"/>
  <c r="W1" i="27" a="1"/>
  <c r="W1" i="27" s="1"/>
  <c r="Q1" i="27" a="1"/>
  <c r="Q1" i="27" s="1"/>
  <c r="K1" i="27" a="1"/>
  <c r="K1" i="27" s="1"/>
  <c r="M1" i="27" a="1"/>
  <c r="M1" i="27" s="1"/>
  <c r="T1" i="27" a="1"/>
  <c r="T1" i="27" s="1"/>
  <c r="D1" i="27" a="1"/>
  <c r="D1" i="27" s="1"/>
  <c r="S1" i="27" a="1"/>
  <c r="S1" i="27" s="1"/>
  <c r="C1" i="27" a="1"/>
  <c r="C1" i="27" s="1"/>
  <c r="I1" i="27" a="1"/>
  <c r="I1" i="27" s="1"/>
  <c r="B1" i="27" a="1"/>
  <c r="B1" i="27" s="1"/>
  <c r="V1" i="27" a="1"/>
  <c r="V1" i="27" s="1"/>
  <c r="R1" i="27" a="1"/>
  <c r="R1" i="27" s="1"/>
  <c r="C2" i="39" a="1"/>
  <c r="C2" i="39" s="1"/>
  <c r="K2" i="39" a="1"/>
  <c r="K2" i="39" s="1"/>
  <c r="W2" i="10" a="1"/>
  <c r="W2" i="10" s="1"/>
  <c r="H2" i="10" a="1"/>
  <c r="H2" i="10" s="1"/>
  <c r="E2" i="10" a="1"/>
  <c r="E2" i="10" s="1"/>
  <c r="K2" i="10" a="1"/>
  <c r="K2" i="10" s="1"/>
  <c r="I2" i="10" a="1"/>
  <c r="I2" i="10" s="1"/>
  <c r="T2" i="10" a="1"/>
  <c r="T2" i="10" s="1"/>
  <c r="J2" i="10" a="1"/>
  <c r="J2" i="10" s="1"/>
  <c r="Q2" i="10" a="1"/>
  <c r="Q2" i="10" s="1"/>
  <c r="D2" i="10" a="1"/>
  <c r="D2" i="10" s="1"/>
  <c r="B2" i="10" a="1"/>
  <c r="B2" i="10" s="1"/>
  <c r="R2" i="10" a="1"/>
  <c r="R2" i="10" s="1"/>
  <c r="S2" i="10" a="1"/>
  <c r="S2" i="10" s="1"/>
  <c r="C2" i="10" a="1"/>
  <c r="C2" i="10" s="1"/>
  <c r="N2" i="10" a="1"/>
  <c r="N2" i="10" s="1"/>
  <c r="L2" i="10" a="1"/>
  <c r="L2" i="10" s="1"/>
  <c r="F2" i="10" a="1"/>
  <c r="F2" i="10" s="1"/>
  <c r="V2" i="10" a="1"/>
  <c r="V2" i="10" s="1"/>
  <c r="G2" i="10" a="1"/>
  <c r="G2" i="10" s="1"/>
  <c r="M2" i="10" a="1"/>
  <c r="M2" i="10" s="1"/>
  <c r="U2" i="10" a="1"/>
  <c r="U2" i="10" s="1"/>
  <c r="X2" i="10" a="1"/>
  <c r="X2" i="10" s="1"/>
  <c r="O2" i="10" a="1"/>
  <c r="O2" i="10" s="1"/>
  <c r="P2" i="10" a="1"/>
  <c r="P2" i="10" s="1"/>
  <c r="F2" i="40" l="1" a="1"/>
  <c r="F2" i="40" s="1"/>
  <c r="G2" i="40" a="1"/>
  <c r="G2" i="40" s="1"/>
  <c r="Y2" i="60" s="1" a="1"/>
  <c r="Y2" i="60" s="1"/>
  <c r="E2" i="40" a="1"/>
  <c r="E2" i="40" s="1"/>
  <c r="I2" i="41" a="1"/>
  <c r="I2" i="41" s="1"/>
  <c r="E2" i="41" a="1"/>
  <c r="E2" i="41" s="1"/>
  <c r="R3" i="57" s="1" a="1"/>
  <c r="R3" i="57" s="1"/>
  <c r="F2" i="41" a="1"/>
  <c r="F2" i="41" s="1"/>
  <c r="G2" i="41" a="1"/>
  <c r="G2" i="41" s="1"/>
  <c r="AB3" i="57" s="1" a="1"/>
  <c r="AB3" i="57" s="1"/>
  <c r="E2" i="39" a="1"/>
  <c r="G2" i="29" a="1"/>
  <c r="G2" i="29" s="1"/>
  <c r="F2" i="29" a="1"/>
  <c r="F2" i="29" s="1"/>
  <c r="E2" i="29" a="1"/>
  <c r="E2" i="29" s="1"/>
  <c r="E2" i="30" a="1"/>
  <c r="E2" i="30" s="1"/>
  <c r="F2" i="30" a="1"/>
  <c r="F2" i="30" s="1"/>
  <c r="G2" i="30" a="1"/>
  <c r="G2" i="30" s="1"/>
  <c r="W2" i="28" a="1"/>
  <c r="W2" i="28" s="1"/>
  <c r="I2" i="28" a="1"/>
  <c r="I2" i="28" s="1"/>
  <c r="N2" i="28" a="1"/>
  <c r="N2" i="28" s="1"/>
  <c r="C2" i="13" a="1"/>
  <c r="C2" i="13" s="1"/>
  <c r="C2" i="60" s="1" a="1"/>
  <c r="C2" i="60" s="1"/>
  <c r="G2" i="13" a="1"/>
  <c r="G2" i="13" s="1"/>
  <c r="D2" i="13" a="1"/>
  <c r="D2" i="13" s="1"/>
  <c r="D2" i="60" s="1" a="1"/>
  <c r="D2" i="60" s="1"/>
  <c r="F2" i="13" a="1"/>
  <c r="F2" i="13" s="1"/>
  <c r="B2" i="13" a="1"/>
  <c r="B2" i="13" s="1"/>
  <c r="E2" i="13" a="1"/>
  <c r="E2" i="13" s="1"/>
  <c r="D2" i="14" a="1"/>
  <c r="D2" i="14" s="1"/>
  <c r="E2" i="14" a="1"/>
  <c r="E2" i="14" s="1"/>
  <c r="C2" i="14" a="1"/>
  <c r="C2" i="14" s="1"/>
  <c r="B2" i="14" a="1"/>
  <c r="B2" i="14" s="1"/>
  <c r="F2" i="14" a="1"/>
  <c r="F2" i="14" s="1"/>
  <c r="G2" i="14" a="1"/>
  <c r="G2" i="14" s="1"/>
  <c r="J2" i="28" a="1"/>
  <c r="J2" i="28" s="1"/>
  <c r="K2" i="28" a="1"/>
  <c r="K2" i="28" s="1"/>
  <c r="D2" i="28" a="1"/>
  <c r="D2" i="28" s="1"/>
  <c r="U2" i="28" a="1"/>
  <c r="U2" i="28" s="1"/>
  <c r="Q2" i="28" a="1"/>
  <c r="Q2" i="28" s="1"/>
  <c r="F2" i="28" a="1"/>
  <c r="F2" i="28" s="1"/>
  <c r="V2" i="28" a="1"/>
  <c r="V2" i="28" s="1"/>
  <c r="P2" i="28" a="1"/>
  <c r="P2" i="28" s="1"/>
  <c r="L2" i="28" a="1"/>
  <c r="L2" i="28" s="1"/>
  <c r="T2" i="28" a="1"/>
  <c r="T2" i="28" s="1"/>
  <c r="C2" i="28" a="1"/>
  <c r="C2" i="28" s="1"/>
  <c r="H2" i="28" a="1"/>
  <c r="H2" i="28" s="1"/>
  <c r="M2" i="28" a="1"/>
  <c r="M2" i="28" s="1"/>
  <c r="S2" i="28" a="1"/>
  <c r="S2" i="28" s="1"/>
  <c r="B2" i="28" a="1"/>
  <c r="B2" i="28" s="1"/>
  <c r="O2" i="28" a="1"/>
  <c r="O2" i="28" s="1"/>
  <c r="G2" i="28" a="1"/>
  <c r="G2" i="28" s="1"/>
  <c r="E2" i="28" a="1"/>
  <c r="E2" i="28" s="1"/>
  <c r="R2" i="28" a="1"/>
  <c r="R2" i="28" s="1"/>
  <c r="V2" i="11" a="1"/>
  <c r="V2" i="11" s="1"/>
  <c r="N2" i="11" a="1"/>
  <c r="N2" i="11" s="1"/>
  <c r="L2" i="11" a="1"/>
  <c r="L2" i="11" s="1"/>
  <c r="R2" i="11" a="1"/>
  <c r="R2" i="11" s="1"/>
  <c r="C2" i="11" a="1"/>
  <c r="C2" i="11" s="1"/>
  <c r="F2" i="11" a="1"/>
  <c r="F2" i="11" s="1"/>
  <c r="B2" i="11" a="1"/>
  <c r="B2" i="11" s="1"/>
  <c r="U2" i="11" a="1"/>
  <c r="U2" i="11" s="1"/>
  <c r="E2" i="11" a="1"/>
  <c r="E2" i="11" s="1"/>
  <c r="J2" i="11" a="1"/>
  <c r="J2" i="11" s="1"/>
  <c r="X2" i="11" a="1"/>
  <c r="X2" i="11" s="1"/>
  <c r="E2" i="21" s="1" a="1"/>
  <c r="E2" i="21" s="1"/>
  <c r="S2" i="11" a="1"/>
  <c r="S2" i="11" s="1"/>
  <c r="K2" i="11" a="1"/>
  <c r="K2" i="11" s="1"/>
  <c r="W2" i="11" a="1"/>
  <c r="W2" i="11" s="1"/>
  <c r="D2" i="11" a="1"/>
  <c r="D2" i="11" s="1"/>
  <c r="O2" i="11" a="1"/>
  <c r="O2" i="11" s="1"/>
  <c r="G2" i="11" a="1"/>
  <c r="G2" i="11" s="1"/>
  <c r="M2" i="11" a="1"/>
  <c r="M2" i="11" s="1"/>
  <c r="P2" i="11" a="1"/>
  <c r="P2" i="11" s="1"/>
  <c r="I2" i="11" a="1"/>
  <c r="I2" i="11" s="1"/>
  <c r="T2" i="11" a="1"/>
  <c r="T2" i="11" s="1"/>
  <c r="Q2" i="11" a="1"/>
  <c r="Q2" i="11" s="1"/>
  <c r="H2" i="11" a="1"/>
  <c r="H2" i="11" s="1"/>
  <c r="AA3" i="57" l="1" a="1"/>
  <c r="AA3" i="57" s="1"/>
  <c r="E2" i="39"/>
  <c r="K2" i="41" s="1" a="1"/>
  <c r="K2" i="41" s="1"/>
  <c r="J7" i="40" a="1"/>
  <c r="J7" i="40" s="1"/>
  <c r="J10" i="40" a="1"/>
  <c r="J10" i="40" s="1"/>
  <c r="J15" i="40" a="1"/>
  <c r="J15" i="40" s="1"/>
  <c r="J18" i="40" a="1"/>
  <c r="J18" i="40" s="1"/>
  <c r="J5" i="40" a="1"/>
  <c r="J5" i="40" s="1"/>
  <c r="J3" i="40" a="1"/>
  <c r="J3" i="40" s="1"/>
  <c r="J6" i="40" a="1"/>
  <c r="J6" i="40" s="1"/>
  <c r="J11" i="40" a="1"/>
  <c r="J11" i="40" s="1"/>
  <c r="J14" i="40" a="1"/>
  <c r="J14" i="40" s="1"/>
  <c r="J19" i="40" a="1"/>
  <c r="J19" i="40" s="1"/>
  <c r="J13" i="40" a="1"/>
  <c r="J13" i="40" s="1"/>
  <c r="J4" i="40" a="1"/>
  <c r="J4" i="40" s="1"/>
  <c r="J9" i="40" a="1"/>
  <c r="J9" i="40" s="1"/>
  <c r="J12" i="40" a="1"/>
  <c r="J12" i="40" s="1"/>
  <c r="J17" i="40" a="1"/>
  <c r="J17" i="40" s="1"/>
  <c r="J8" i="40" a="1"/>
  <c r="J8" i="40" s="1"/>
  <c r="J16" i="40" a="1"/>
  <c r="J16" i="40" s="1"/>
  <c r="F2" i="42" a="1"/>
  <c r="F2" i="42" s="1"/>
  <c r="Q3" i="54" a="1"/>
  <c r="Q3" i="54" s="1"/>
  <c r="E2" i="60" a="1"/>
  <c r="E2" i="60" s="1"/>
  <c r="AA3" i="54" a="1"/>
  <c r="AA3" i="54" s="1"/>
  <c r="G2" i="60" a="1"/>
  <c r="G2" i="60" s="1"/>
  <c r="Q3" i="56" a="1"/>
  <c r="Q3" i="56" s="1"/>
  <c r="Q2" i="60" a="1"/>
  <c r="Q2" i="60" s="1"/>
  <c r="Q3" i="57" a="1"/>
  <c r="Q3" i="57" s="1"/>
  <c r="W2" i="60" a="1"/>
  <c r="W2" i="60" s="1"/>
  <c r="B3" i="54" a="1"/>
  <c r="B3" i="54" s="1"/>
  <c r="B2" i="60" a="1"/>
  <c r="B2" i="60" s="1"/>
  <c r="V3" i="56" a="1"/>
  <c r="V3" i="56" s="1"/>
  <c r="R2" i="60" a="1"/>
  <c r="R2" i="60" s="1"/>
  <c r="V3" i="54" a="1"/>
  <c r="V3" i="54" s="1"/>
  <c r="F2" i="60" a="1"/>
  <c r="F2" i="60" s="1"/>
  <c r="AA3" i="56" a="1"/>
  <c r="AA3" i="56" s="1"/>
  <c r="S2" i="60" a="1"/>
  <c r="S2" i="60" s="1"/>
  <c r="V3" i="57" a="1"/>
  <c r="V3" i="57" s="1"/>
  <c r="X2" i="60" a="1"/>
  <c r="X2" i="60" s="1"/>
  <c r="W3" i="57" a="1"/>
  <c r="W3" i="57" s="1"/>
  <c r="AB3" i="56" a="1"/>
  <c r="AB3" i="56" s="1"/>
  <c r="G2" i="31" a="1"/>
  <c r="G2" i="31" s="1"/>
  <c r="R3" i="56" a="1"/>
  <c r="R3" i="56" s="1"/>
  <c r="E2" i="31" a="1"/>
  <c r="E2" i="31" s="1"/>
  <c r="G2" i="42" a="1"/>
  <c r="G2" i="42" s="1"/>
  <c r="W3" i="56" a="1"/>
  <c r="W3" i="56" s="1"/>
  <c r="F2" i="31" a="1"/>
  <c r="F2" i="31" s="1"/>
  <c r="E2" i="42" a="1"/>
  <c r="E2" i="42" s="1"/>
  <c r="H3" i="54" a="1"/>
  <c r="H3" i="54" s="1"/>
  <c r="C2" i="15" a="1"/>
  <c r="C2" i="15" s="1"/>
  <c r="AB3" i="54" a="1"/>
  <c r="AB3" i="54" s="1"/>
  <c r="G2" i="15" a="1"/>
  <c r="G2" i="15" s="1"/>
  <c r="R3" i="54" a="1"/>
  <c r="R3" i="54" s="1"/>
  <c r="E2" i="15" a="1"/>
  <c r="E2" i="15" s="1"/>
  <c r="W3" i="54" a="1"/>
  <c r="W3" i="54" s="1"/>
  <c r="F2" i="15" a="1"/>
  <c r="F2" i="15" s="1"/>
  <c r="M3" i="54" a="1"/>
  <c r="M3" i="54" s="1"/>
  <c r="D2" i="15" a="1"/>
  <c r="D2" i="15" s="1"/>
  <c r="B2" i="15" a="1"/>
  <c r="B2" i="15" s="1"/>
  <c r="F2" i="21" a="1"/>
  <c r="F2" i="21" s="1"/>
  <c r="D2" i="21" a="1"/>
  <c r="D2" i="21" s="1"/>
  <c r="E2" i="20" a="1"/>
  <c r="E2" i="20" s="1"/>
  <c r="Q3" i="55" s="1" a="1"/>
  <c r="Q3" i="55" s="1"/>
  <c r="F2" i="20" a="1"/>
  <c r="F2" i="20" s="1"/>
  <c r="G2" i="20" a="1"/>
  <c r="G2" i="20" s="1"/>
  <c r="B2" i="20" a="1"/>
  <c r="B2" i="20" s="1"/>
  <c r="D2" i="20" a="1"/>
  <c r="D2" i="20" s="1"/>
  <c r="J2" i="60" s="1" a="1"/>
  <c r="J2" i="60" s="1"/>
  <c r="C2" i="20" a="1"/>
  <c r="C2" i="20" s="1"/>
  <c r="I2" i="60" s="1" a="1"/>
  <c r="I2" i="60" s="1"/>
  <c r="C2" i="21" a="1"/>
  <c r="C2" i="21" s="1"/>
  <c r="G2" i="21" a="1"/>
  <c r="G2" i="21" s="1"/>
  <c r="B2" i="21" a="1"/>
  <c r="B2" i="21" s="1"/>
  <c r="R3" i="55" a="1"/>
  <c r="R3" i="55" s="1"/>
  <c r="J2" i="40" l="1" a="1"/>
  <c r="J2" i="40" s="1"/>
  <c r="B2" i="61" a="1"/>
  <c r="B2" i="61" s="1"/>
  <c r="B3" i="64" a="1"/>
  <c r="B3" i="64" s="1"/>
  <c r="R2" i="61" a="1"/>
  <c r="R2" i="61" s="1"/>
  <c r="T3" i="64" a="1"/>
  <c r="T3" i="64" s="1"/>
  <c r="D2" i="61" a="1"/>
  <c r="D2" i="61" s="1"/>
  <c r="J3" i="64" a="1"/>
  <c r="J3" i="64" s="1"/>
  <c r="E2" i="61" a="1"/>
  <c r="E2" i="61" s="1"/>
  <c r="N3" i="64" a="1"/>
  <c r="N3" i="64" s="1"/>
  <c r="C2" i="61" a="1"/>
  <c r="C2" i="61" s="1"/>
  <c r="F3" i="64" a="1"/>
  <c r="F3" i="64" s="1"/>
  <c r="Y2" i="61" a="1"/>
  <c r="Y2" i="61" s="1"/>
  <c r="Y3" i="64" a="1"/>
  <c r="Y3" i="64" s="1"/>
  <c r="F2" i="61" a="1"/>
  <c r="F2" i="61" s="1"/>
  <c r="R3" i="64" a="1"/>
  <c r="R3" i="64" s="1"/>
  <c r="G2" i="61" a="1"/>
  <c r="G2" i="61" s="1"/>
  <c r="V3" i="64" a="1"/>
  <c r="V3" i="64" s="1"/>
  <c r="W2" i="61" a="1"/>
  <c r="W2" i="61" s="1"/>
  <c r="Q3" i="64" a="1"/>
  <c r="Q3" i="64" s="1"/>
  <c r="Q2" i="61" a="1"/>
  <c r="Q2" i="61" s="1"/>
  <c r="P3" i="64" a="1"/>
  <c r="P3" i="64" s="1"/>
  <c r="S2" i="61" a="1"/>
  <c r="S2" i="61" s="1"/>
  <c r="X3" i="64" a="1"/>
  <c r="X3" i="64" s="1"/>
  <c r="X2" i="61" a="1"/>
  <c r="X2" i="61" s="1"/>
  <c r="U3" i="64" a="1"/>
  <c r="U3" i="64" s="1"/>
  <c r="F2" i="43" a="1"/>
  <c r="F2" i="43" s="1"/>
  <c r="Y3" i="57" s="1" a="1"/>
  <c r="Y3" i="57" s="1"/>
  <c r="S7" i="58" s="1"/>
  <c r="F2" i="44" a="1"/>
  <c r="F2" i="44" s="1"/>
  <c r="Z3" i="57" s="1" a="1"/>
  <c r="Z3" i="57" s="1"/>
  <c r="Z52" i="57" s="1"/>
  <c r="X3" i="57" a="1"/>
  <c r="X3" i="57" s="1"/>
  <c r="R7" i="58" s="1"/>
  <c r="C2" i="22" a="1"/>
  <c r="C2" i="22" s="1"/>
  <c r="B2" i="22" a="1"/>
  <c r="B2" i="22" s="1"/>
  <c r="C3" i="64" s="1" a="1"/>
  <c r="C3" i="64" s="1"/>
  <c r="AA3" i="55" a="1"/>
  <c r="AA3" i="55" s="1"/>
  <c r="M2" i="60" a="1"/>
  <c r="M2" i="60" s="1"/>
  <c r="AE2" i="60" s="1" a="1"/>
  <c r="AE2" i="60" s="1"/>
  <c r="V3" i="55" a="1"/>
  <c r="V3" i="55" s="1"/>
  <c r="L2" i="60" a="1"/>
  <c r="L2" i="60" s="1"/>
  <c r="AD2" i="60" s="1" a="1"/>
  <c r="AD2" i="60" s="1"/>
  <c r="E2" i="22" a="1"/>
  <c r="E2" i="22" s="1"/>
  <c r="O3" i="64" s="1" a="1"/>
  <c r="O3" i="64" s="1"/>
  <c r="K2" i="60" a="1"/>
  <c r="K2" i="60" s="1"/>
  <c r="AC2" i="60" s="1" a="1"/>
  <c r="AC2" i="60" s="1"/>
  <c r="B3" i="55" a="1"/>
  <c r="B3" i="55" s="1"/>
  <c r="H2" i="60" a="1"/>
  <c r="H2" i="60" s="1"/>
  <c r="F2" i="22" a="1"/>
  <c r="F2" i="22" s="1"/>
  <c r="S3" i="64" s="1" a="1"/>
  <c r="S3" i="64" s="1"/>
  <c r="AB3" i="55" a="1"/>
  <c r="AB3" i="55" s="1"/>
  <c r="G2" i="22" a="1"/>
  <c r="G2" i="22" s="1"/>
  <c r="F2" i="17" a="1"/>
  <c r="F2" i="17" s="1"/>
  <c r="Z3" i="54" s="1" a="1"/>
  <c r="Z3" i="54" s="1"/>
  <c r="T3" i="58" s="1"/>
  <c r="U3" i="58" s="1" a="1"/>
  <c r="U3" i="58" s="1"/>
  <c r="X3" i="54" a="1"/>
  <c r="X3" i="54" s="1"/>
  <c r="F2" i="16" a="1"/>
  <c r="F2" i="16" s="1"/>
  <c r="Y3" i="54" s="1" a="1"/>
  <c r="Y3" i="54" s="1"/>
  <c r="S3" i="58" s="1"/>
  <c r="X3" i="56" a="1"/>
  <c r="X3" i="56" s="1"/>
  <c r="R5" i="58" s="1"/>
  <c r="F2" i="32" a="1"/>
  <c r="F2" i="32" s="1"/>
  <c r="Y3" i="56" s="1" a="1"/>
  <c r="Y3" i="56" s="1"/>
  <c r="S5" i="58" s="1"/>
  <c r="F2" i="33" a="1"/>
  <c r="F2" i="33" s="1"/>
  <c r="Z3" i="56" s="1" a="1"/>
  <c r="Z3" i="56" s="1"/>
  <c r="T5" i="58" s="1"/>
  <c r="U5" i="58" s="1" a="1"/>
  <c r="U5" i="58" s="1"/>
  <c r="B2" i="16" a="1"/>
  <c r="B2" i="16" s="1"/>
  <c r="D3" i="54" a="1"/>
  <c r="D3" i="54" s="1"/>
  <c r="B2" i="17" a="1"/>
  <c r="B2" i="17" s="1"/>
  <c r="G2" i="43" a="1"/>
  <c r="G2" i="43" s="1"/>
  <c r="AD3" i="57" s="1" a="1"/>
  <c r="AD3" i="57" s="1"/>
  <c r="W7" i="58" s="1"/>
  <c r="AC3" i="57" a="1"/>
  <c r="AC3" i="57" s="1"/>
  <c r="V7" i="58" s="1"/>
  <c r="G2" i="44" a="1"/>
  <c r="G2" i="44" s="1"/>
  <c r="AE3" i="57" s="1" a="1"/>
  <c r="AE3" i="57" s="1"/>
  <c r="X7" i="58" s="1"/>
  <c r="Y7" i="58" s="1" a="1"/>
  <c r="Y7" i="58" s="1"/>
  <c r="AC3" i="54" a="1"/>
  <c r="AC3" i="54" s="1"/>
  <c r="V3" i="58" s="1"/>
  <c r="G2" i="17" a="1"/>
  <c r="G2" i="17" s="1"/>
  <c r="AE3" i="54" s="1" a="1"/>
  <c r="AE3" i="54" s="1"/>
  <c r="X3" i="58" s="1"/>
  <c r="Y3" i="58" s="1" a="1"/>
  <c r="Y3" i="58" s="1"/>
  <c r="G2" i="16" a="1"/>
  <c r="G2" i="16" s="1"/>
  <c r="AD3" i="54" s="1" a="1"/>
  <c r="AD3" i="54" s="1"/>
  <c r="W3" i="58" s="1"/>
  <c r="W3" i="55" a="1"/>
  <c r="W3" i="55" s="1"/>
  <c r="N3" i="54" a="1"/>
  <c r="N3" i="54" s="1"/>
  <c r="D2" i="16" a="1"/>
  <c r="D2" i="16" s="1"/>
  <c r="D2" i="17" a="1"/>
  <c r="D2" i="17" s="1"/>
  <c r="E2" i="16" a="1"/>
  <c r="E2" i="16" s="1"/>
  <c r="T3" i="54" s="1" a="1"/>
  <c r="T3" i="54" s="1"/>
  <c r="O3" i="58" s="1"/>
  <c r="E2" i="17" a="1"/>
  <c r="E2" i="17" s="1"/>
  <c r="U3" i="54" s="1" a="1"/>
  <c r="U3" i="54" s="1"/>
  <c r="P3" i="58" s="1"/>
  <c r="Q3" i="58" s="1" a="1"/>
  <c r="Q3" i="58" s="1"/>
  <c r="S3" i="54" a="1"/>
  <c r="S3" i="54" s="1"/>
  <c r="N3" i="58" s="1"/>
  <c r="I3" i="54" a="1"/>
  <c r="I3" i="54" s="1"/>
  <c r="C2" i="17" a="1"/>
  <c r="C2" i="17" s="1"/>
  <c r="C2" i="16" a="1"/>
  <c r="C2" i="16" s="1"/>
  <c r="E2" i="32" a="1"/>
  <c r="E2" i="32" s="1"/>
  <c r="T3" i="56" s="1" a="1"/>
  <c r="T3" i="56" s="1"/>
  <c r="O5" i="58" s="1"/>
  <c r="S3" i="56" a="1"/>
  <c r="S3" i="56" s="1"/>
  <c r="N5" i="58" s="1"/>
  <c r="E2" i="33" a="1"/>
  <c r="E2" i="33" s="1"/>
  <c r="U3" i="56" s="1" a="1"/>
  <c r="U3" i="56" s="1"/>
  <c r="P5" i="58" s="1"/>
  <c r="Q5" i="58" s="1" a="1"/>
  <c r="Q5" i="58" s="1"/>
  <c r="S3" i="57" a="1"/>
  <c r="S3" i="57" s="1"/>
  <c r="N7" i="58" s="1"/>
  <c r="E2" i="44" a="1"/>
  <c r="E2" i="44" s="1"/>
  <c r="U3" i="57" s="1" a="1"/>
  <c r="U3" i="57" s="1"/>
  <c r="P7" i="58" s="1"/>
  <c r="Q7" i="58" s="1" a="1"/>
  <c r="Q7" i="58" s="1"/>
  <c r="E2" i="43" a="1"/>
  <c r="E2" i="43" s="1"/>
  <c r="T3" i="57" s="1" a="1"/>
  <c r="T3" i="57" s="1"/>
  <c r="O7" i="58" s="1"/>
  <c r="D2" i="22" a="1"/>
  <c r="D2" i="22" s="1"/>
  <c r="AC3" i="56" a="1"/>
  <c r="AC3" i="56" s="1"/>
  <c r="V5" i="58" s="1"/>
  <c r="G2" i="33" a="1"/>
  <c r="G2" i="33" s="1"/>
  <c r="AE3" i="56" s="1" a="1"/>
  <c r="AE3" i="56" s="1"/>
  <c r="X5" i="58" s="1"/>
  <c r="Y5" i="58" s="1" a="1"/>
  <c r="Y5" i="58" s="1"/>
  <c r="G2" i="32" a="1"/>
  <c r="G2" i="32" s="1"/>
  <c r="AD3" i="56" s="1" a="1"/>
  <c r="AD3" i="56" s="1"/>
  <c r="W5" i="58" s="1"/>
  <c r="E2" i="65" l="1" a="1"/>
  <c r="E2" i="65" s="1"/>
  <c r="F2" i="65" a="1"/>
  <c r="F2" i="65" s="1"/>
  <c r="I2" i="61" a="1"/>
  <c r="I2" i="61" s="1"/>
  <c r="G3" i="64" a="1"/>
  <c r="G3" i="64" s="1"/>
  <c r="J2" i="61" a="1"/>
  <c r="J2" i="61" s="1"/>
  <c r="K3" i="64" a="1"/>
  <c r="K3" i="64" s="1"/>
  <c r="M2" i="61" a="1"/>
  <c r="M2" i="61" s="1"/>
  <c r="AE2" i="61" s="1" a="1"/>
  <c r="AE2" i="61" s="1"/>
  <c r="W3" i="64" a="1"/>
  <c r="W3" i="64" s="1"/>
  <c r="G2" i="65" s="1" a="1"/>
  <c r="G2" i="65" s="1"/>
  <c r="C2" i="23" a="1"/>
  <c r="C2" i="23" s="1"/>
  <c r="I3" i="55" a="1"/>
  <c r="I3" i="55" s="1"/>
  <c r="C2" i="24" a="1"/>
  <c r="C2" i="24" s="1"/>
  <c r="Z53" i="57"/>
  <c r="T7" i="58" s="1"/>
  <c r="U7" i="58" s="1" a="1"/>
  <c r="U7" i="58" s="1"/>
  <c r="D3" i="55" a="1"/>
  <c r="D3" i="55" s="1"/>
  <c r="H2" i="61" a="1"/>
  <c r="H2" i="61" s="1"/>
  <c r="X3" i="55" a="1"/>
  <c r="X3" i="55" s="1"/>
  <c r="L2" i="61" a="1"/>
  <c r="L2" i="61" s="1"/>
  <c r="AD2" i="61" s="1" a="1"/>
  <c r="AD2" i="61" s="1"/>
  <c r="E2" i="24" a="1"/>
  <c r="E2" i="24" s="1"/>
  <c r="U3" i="55" s="1" a="1"/>
  <c r="U3" i="55" s="1"/>
  <c r="P4" i="58" s="1"/>
  <c r="Q4" i="58" s="1" a="1"/>
  <c r="Q4" i="58" s="1"/>
  <c r="K2" i="61" a="1"/>
  <c r="K2" i="61" s="1"/>
  <c r="AC2" i="61" s="1" a="1"/>
  <c r="AC2" i="61" s="1"/>
  <c r="B2" i="23" a="1"/>
  <c r="B2" i="23" s="1"/>
  <c r="B2" i="24" a="1"/>
  <c r="B2" i="24" s="1"/>
  <c r="E2" i="23" a="1"/>
  <c r="E2" i="23" s="1"/>
  <c r="T3" i="55" s="1" a="1"/>
  <c r="T3" i="55" s="1"/>
  <c r="O4" i="58" s="1"/>
  <c r="O6" i="58" s="1" a="1"/>
  <c r="O6" i="58" s="1"/>
  <c r="O8" i="58" s="1"/>
  <c r="S3" i="55" a="1"/>
  <c r="S3" i="55" s="1"/>
  <c r="N4" i="58" s="1"/>
  <c r="N6" i="58" s="1" a="1"/>
  <c r="N6" i="58" s="1"/>
  <c r="N8" i="58" s="1"/>
  <c r="F2" i="23" a="1"/>
  <c r="F2" i="23" s="1"/>
  <c r="Y3" i="55" s="1" a="1"/>
  <c r="Y3" i="55" s="1"/>
  <c r="S4" i="58" s="1"/>
  <c r="S6" i="58" s="1" a="1"/>
  <c r="S6" i="58" s="1"/>
  <c r="S8" i="58" s="1"/>
  <c r="F2" i="24" a="1"/>
  <c r="F2" i="24" s="1"/>
  <c r="Z3" i="55" s="1" a="1"/>
  <c r="Z3" i="55" s="1"/>
  <c r="T4" i="58" s="1"/>
  <c r="U4" i="58" s="1" a="1"/>
  <c r="U4" i="58" s="1"/>
  <c r="G2" i="23" a="1"/>
  <c r="G2" i="23" s="1"/>
  <c r="AD3" i="55" s="1" a="1"/>
  <c r="AD3" i="55" s="1"/>
  <c r="W4" i="58" s="1"/>
  <c r="W6" i="58" s="1" a="1"/>
  <c r="W6" i="58" s="1"/>
  <c r="W8" i="58" s="1"/>
  <c r="G2" i="24" a="1"/>
  <c r="G2" i="24" s="1"/>
  <c r="AE3" i="55" s="1" a="1"/>
  <c r="AE3" i="55" s="1"/>
  <c r="X4" i="58" s="1"/>
  <c r="Y4" i="58" s="1" a="1"/>
  <c r="Y4" i="58" s="1"/>
  <c r="AC3" i="55" a="1"/>
  <c r="AC3" i="55" s="1"/>
  <c r="V4" i="58" s="1"/>
  <c r="V6" i="58" s="1" a="1"/>
  <c r="V6" i="58" s="1"/>
  <c r="V8" i="58" s="1"/>
  <c r="D2" i="24" a="1"/>
  <c r="D2" i="24" s="1"/>
  <c r="N3" i="55" a="1"/>
  <c r="N3" i="55" s="1"/>
  <c r="D2" i="23" a="1"/>
  <c r="D2" i="23" s="1"/>
  <c r="I2" i="65" l="1" a="1"/>
  <c r="I2" i="65" s="1"/>
  <c r="X6" i="58" a="1"/>
  <c r="X6" i="58" s="1"/>
  <c r="X8" i="58" s="1"/>
  <c r="Y8" i="58" s="1" a="1"/>
  <c r="Y8" i="58" s="1"/>
  <c r="R4" i="58"/>
  <c r="R3" i="58"/>
  <c r="T6" i="58" a="1"/>
  <c r="T6" i="58" s="1"/>
  <c r="U6" i="58" s="1" a="1"/>
  <c r="U6" i="58" s="1"/>
  <c r="P6" i="58" a="1"/>
  <c r="P6" i="58" s="1"/>
  <c r="C3" i="54" a="1"/>
  <c r="C3" i="54" s="1"/>
  <c r="L3" i="54" a="1"/>
  <c r="L3" i="54" s="1"/>
  <c r="G3" i="55" a="1"/>
  <c r="G3" i="55" s="1"/>
  <c r="M3" i="55" a="1"/>
  <c r="M3" i="55" s="1"/>
  <c r="L3" i="55" a="1"/>
  <c r="L3" i="55" s="1"/>
  <c r="Y6" i="58" l="1" a="1"/>
  <c r="Y6" i="58" s="1"/>
  <c r="B16" i="58"/>
  <c r="B7" i="59"/>
  <c r="R6" i="58" a="1"/>
  <c r="R6" i="58" s="1"/>
  <c r="R8" i="58" s="1"/>
  <c r="T8" i="58"/>
  <c r="U8" i="58" s="1" a="1"/>
  <c r="U8" i="58" s="1"/>
  <c r="Q6" i="58" a="1"/>
  <c r="Q6" i="58" s="1"/>
  <c r="P8" i="58"/>
  <c r="Q8" i="58" s="1" a="1"/>
  <c r="Q8" i="58" s="1"/>
  <c r="B14" i="58" l="1"/>
  <c r="B5" i="59"/>
  <c r="B15" i="58"/>
  <c r="B6" i="59"/>
  <c r="O3" i="55" a="1"/>
  <c r="O3" i="55" s="1"/>
  <c r="K4" i="58" s="1"/>
  <c r="P3" i="55" a="1"/>
  <c r="P3" i="55" s="1"/>
  <c r="L4" i="58" s="1"/>
  <c r="M4" i="58" s="1" a="1"/>
  <c r="M4" i="58" s="1"/>
  <c r="B3" i="58"/>
  <c r="F3" i="54" a="1"/>
  <c r="F3" i="54" s="1"/>
  <c r="D3" i="58" s="1"/>
  <c r="E3" i="58" s="1" a="1"/>
  <c r="E3" i="58" s="1"/>
  <c r="E3" i="54" a="1"/>
  <c r="E3" i="54" s="1"/>
  <c r="C3" i="58" s="1"/>
  <c r="J3" i="58"/>
  <c r="P3" i="54" a="1"/>
  <c r="P3" i="54" s="1"/>
  <c r="L3" i="58" s="1"/>
  <c r="M3" i="58" s="1" a="1"/>
  <c r="M3" i="58" s="1"/>
  <c r="O3" i="54" a="1"/>
  <c r="O3" i="54" s="1"/>
  <c r="K3" i="58" s="1"/>
  <c r="J4" i="58"/>
  <c r="G3" i="54" l="1" a="1"/>
  <c r="G3" i="54" s="1"/>
  <c r="H3" i="55" a="1"/>
  <c r="H3" i="55" s="1"/>
  <c r="F4" i="58" l="1"/>
  <c r="J3" i="55" a="1"/>
  <c r="J3" i="55" s="1"/>
  <c r="G4" i="58" s="1"/>
  <c r="K3" i="55" a="1"/>
  <c r="K3" i="55" s="1"/>
  <c r="H4" i="58" s="1"/>
  <c r="I4" i="58" s="1" a="1"/>
  <c r="I4" i="58" s="1"/>
  <c r="F3" i="58"/>
  <c r="K3" i="54" a="1"/>
  <c r="K3" i="54" s="1"/>
  <c r="H3" i="58" s="1"/>
  <c r="I3" i="58" s="1" a="1"/>
  <c r="I3" i="58" s="1"/>
  <c r="J3" i="54" a="1"/>
  <c r="J3" i="54" s="1"/>
  <c r="G3" i="58" s="1"/>
  <c r="C3" i="55" l="1" a="1"/>
  <c r="C3" i="55" s="1"/>
  <c r="B4" i="58" l="1"/>
  <c r="E3" i="55" a="1"/>
  <c r="E3" i="55" s="1"/>
  <c r="C4" i="58" s="1"/>
  <c r="F3" i="55" a="1"/>
  <c r="F3" i="55" s="1"/>
  <c r="D4" i="58" s="1"/>
  <c r="E4" i="58" s="1" a="1"/>
  <c r="E4" i="58" s="1"/>
  <c r="B2" i="29" l="1" a="1"/>
  <c r="B2" i="29" s="1"/>
  <c r="C2" i="30" a="1"/>
  <c r="C2" i="30" s="1"/>
  <c r="D2" i="29" a="1"/>
  <c r="D2" i="29" s="1"/>
  <c r="D2" i="30" a="1"/>
  <c r="D2" i="30" s="1"/>
  <c r="C2" i="29" a="1"/>
  <c r="C2" i="29" s="1"/>
  <c r="B2" i="30" a="1"/>
  <c r="B2" i="30" s="1"/>
  <c r="L3" i="56" l="1" a="1"/>
  <c r="L3" i="56" s="1"/>
  <c r="P2" i="60" a="1"/>
  <c r="P2" i="60" s="1"/>
  <c r="G3" i="56" a="1"/>
  <c r="G3" i="56" s="1"/>
  <c r="O2" i="60" a="1"/>
  <c r="O2" i="60" s="1"/>
  <c r="B3" i="56" a="1"/>
  <c r="B3" i="56" s="1"/>
  <c r="N2" i="60" a="1"/>
  <c r="N2" i="60" s="1"/>
  <c r="D2" i="31" a="1"/>
  <c r="D2" i="31" s="1"/>
  <c r="M3" i="56" a="1"/>
  <c r="M3" i="56" s="1"/>
  <c r="B2" i="31" a="1"/>
  <c r="B2" i="31" s="1"/>
  <c r="C3" i="56" a="1"/>
  <c r="C3" i="56" s="1"/>
  <c r="C2" i="31" a="1"/>
  <c r="C2" i="31" s="1"/>
  <c r="H3" i="56" a="1"/>
  <c r="H3" i="56" s="1"/>
  <c r="O2" i="61" l="1" a="1"/>
  <c r="O2" i="61" s="1"/>
  <c r="H3" i="64" a="1"/>
  <c r="H3" i="64" s="1"/>
  <c r="P2" i="61" a="1"/>
  <c r="P2" i="61" s="1"/>
  <c r="L3" i="64" a="1"/>
  <c r="L3" i="64" s="1"/>
  <c r="N2" i="61" a="1"/>
  <c r="N2" i="61" s="1"/>
  <c r="D3" i="64" a="1"/>
  <c r="D3" i="64" s="1"/>
  <c r="B2" i="32" a="1"/>
  <c r="B2" i="32" s="1"/>
  <c r="E3" i="56" s="1" a="1"/>
  <c r="E3" i="56" s="1"/>
  <c r="C5" i="58" s="1"/>
  <c r="C6" i="58" s="1" a="1"/>
  <c r="C6" i="58" s="1"/>
  <c r="D3" i="56" a="1"/>
  <c r="D3" i="56" s="1"/>
  <c r="B5" i="58" s="1"/>
  <c r="B6" i="58" s="1" a="1"/>
  <c r="B6" i="58" s="1"/>
  <c r="B2" i="33" a="1"/>
  <c r="B2" i="33" s="1"/>
  <c r="F3" i="56" s="1" a="1"/>
  <c r="F3" i="56" s="1"/>
  <c r="D5" i="58" s="1"/>
  <c r="I3" i="56" a="1"/>
  <c r="I3" i="56" s="1"/>
  <c r="F5" i="58" s="1"/>
  <c r="F6" i="58" s="1" a="1"/>
  <c r="F6" i="58" s="1"/>
  <c r="C2" i="33" a="1"/>
  <c r="C2" i="33" s="1"/>
  <c r="K3" i="56" s="1" a="1"/>
  <c r="K3" i="56" s="1"/>
  <c r="H5" i="58" s="1"/>
  <c r="I5" i="58" s="1" a="1"/>
  <c r="I5" i="58" s="1"/>
  <c r="C2" i="32" a="1"/>
  <c r="C2" i="32" s="1"/>
  <c r="J3" i="56" s="1" a="1"/>
  <c r="J3" i="56" s="1"/>
  <c r="G5" i="58" s="1"/>
  <c r="G6" i="58" s="1" a="1"/>
  <c r="G6" i="58" s="1"/>
  <c r="D2" i="32" a="1"/>
  <c r="D2" i="32" s="1"/>
  <c r="O3" i="56" s="1" a="1"/>
  <c r="O3" i="56" s="1"/>
  <c r="K5" i="58" s="1"/>
  <c r="K6" i="58" s="1" a="1"/>
  <c r="K6" i="58" s="1"/>
  <c r="D2" i="33" a="1"/>
  <c r="D2" i="33" s="1"/>
  <c r="P3" i="56" s="1" a="1"/>
  <c r="P3" i="56" s="1"/>
  <c r="L5" i="58" s="1"/>
  <c r="N3" i="56" a="1"/>
  <c r="N3" i="56" s="1"/>
  <c r="J5" i="58" s="1"/>
  <c r="J6" i="58" s="1" a="1"/>
  <c r="J6" i="58" s="1"/>
  <c r="M5" i="58" l="1" a="1"/>
  <c r="M5" i="58" s="1"/>
  <c r="L6" i="58" a="1"/>
  <c r="L6" i="58" s="1"/>
  <c r="E5" i="58" a="1"/>
  <c r="E5" i="58" s="1"/>
  <c r="D6" i="58" a="1"/>
  <c r="D6" i="58" s="1"/>
  <c r="H6" i="58" a="1"/>
  <c r="H6" i="58" s="1"/>
  <c r="I6" i="58" s="1" a="1"/>
  <c r="I6" i="58" s="1"/>
  <c r="E6" i="58" l="1" a="1"/>
  <c r="E6" i="58" s="1"/>
  <c r="M6" i="58" a="1"/>
  <c r="M6" i="58" s="1"/>
  <c r="B2" i="41" a="1"/>
  <c r="B2" i="41" s="1"/>
  <c r="J2" i="41" a="1"/>
  <c r="J2" i="41" s="1"/>
  <c r="D2" i="41" a="1"/>
  <c r="D2" i="41" s="1"/>
  <c r="C2" i="41" a="1"/>
  <c r="C2" i="41" s="1"/>
  <c r="H3" i="57" l="1" a="1"/>
  <c r="H3" i="57" s="1"/>
  <c r="C3" i="57" a="1"/>
  <c r="C3" i="57" s="1"/>
  <c r="M3" i="57" a="1"/>
  <c r="M3" i="57" s="1"/>
  <c r="I2" i="40" a="1"/>
  <c r="I2" i="40" s="1"/>
  <c r="B2" i="40" a="1"/>
  <c r="B2" i="40" s="1"/>
  <c r="D2" i="40" a="1"/>
  <c r="D2" i="40" s="1"/>
  <c r="C2" i="40" a="1"/>
  <c r="C2" i="40" s="1"/>
  <c r="L3" i="57" l="1" a="1"/>
  <c r="L3" i="57" s="1"/>
  <c r="D2" i="42" a="1"/>
  <c r="D2" i="42" s="1"/>
  <c r="V2" i="60" a="1"/>
  <c r="V2" i="60" s="1"/>
  <c r="AB2" i="60" s="1" a="1"/>
  <c r="AB2" i="60" s="1"/>
  <c r="U2" i="60" a="1"/>
  <c r="U2" i="60" s="1"/>
  <c r="AA2" i="60" s="1" a="1"/>
  <c r="AA2" i="60" s="1"/>
  <c r="C2" i="42" a="1"/>
  <c r="C2" i="42" s="1"/>
  <c r="G3" i="57" a="1"/>
  <c r="G3" i="57" s="1"/>
  <c r="B3" i="57" a="1"/>
  <c r="B3" i="57" s="1"/>
  <c r="B2" i="42" a="1"/>
  <c r="B2" i="42" s="1"/>
  <c r="T2" i="60" a="1"/>
  <c r="T2" i="60" s="1"/>
  <c r="Z2" i="60" s="1" a="1"/>
  <c r="Z2" i="60" s="1"/>
  <c r="T2" i="61" l="1" a="1"/>
  <c r="T2" i="61" s="1"/>
  <c r="Z2" i="61" s="1" a="1"/>
  <c r="Z2" i="61" s="1"/>
  <c r="D3" i="57" a="1"/>
  <c r="D3" i="57" s="1"/>
  <c r="B7" i="58" s="1"/>
  <c r="B8" i="58" s="1"/>
  <c r="B2" i="44" a="1"/>
  <c r="B2" i="44" s="1"/>
  <c r="F3" i="57" s="1" a="1"/>
  <c r="F3" i="57" s="1"/>
  <c r="D7" i="58" s="1"/>
  <c r="E3" i="64" a="1"/>
  <c r="E3" i="64" s="1"/>
  <c r="B2" i="43" a="1"/>
  <c r="B2" i="43" s="1"/>
  <c r="E3" i="57" s="1" a="1"/>
  <c r="E3" i="57" s="1"/>
  <c r="C7" i="58" s="1"/>
  <c r="C8" i="58" s="1"/>
  <c r="M3" i="64" a="1"/>
  <c r="M3" i="64" s="1"/>
  <c r="D2" i="65" s="1" a="1"/>
  <c r="D2" i="65" s="1"/>
  <c r="N3" i="57" a="1"/>
  <c r="N3" i="57" s="1"/>
  <c r="J7" i="58" s="1"/>
  <c r="J8" i="58" s="1"/>
  <c r="V2" i="61" a="1"/>
  <c r="V2" i="61" s="1"/>
  <c r="AB2" i="61" s="1" a="1"/>
  <c r="AB2" i="61" s="1"/>
  <c r="D2" i="44" a="1"/>
  <c r="D2" i="44" s="1"/>
  <c r="P3" i="57" s="1" a="1"/>
  <c r="P3" i="57" s="1"/>
  <c r="L7" i="58" s="1"/>
  <c r="D2" i="43" a="1"/>
  <c r="D2" i="43" s="1"/>
  <c r="O3" i="57" s="1" a="1"/>
  <c r="O3" i="57" s="1"/>
  <c r="K7" i="58" s="1"/>
  <c r="K8" i="58" s="1"/>
  <c r="I3" i="64" a="1"/>
  <c r="I3" i="64" s="1"/>
  <c r="C2" i="44" a="1"/>
  <c r="C2" i="44" s="1"/>
  <c r="K3" i="57" s="1" a="1"/>
  <c r="K3" i="57" s="1"/>
  <c r="H7" i="58" s="1"/>
  <c r="I3" i="57" a="1"/>
  <c r="I3" i="57" s="1"/>
  <c r="F7" i="58" s="1"/>
  <c r="F8" i="58" s="1"/>
  <c r="U2" i="61" a="1"/>
  <c r="U2" i="61" s="1"/>
  <c r="AA2" i="61" s="1" a="1"/>
  <c r="AA2" i="61" s="1"/>
  <c r="C2" i="43" a="1"/>
  <c r="C2" i="43" s="1"/>
  <c r="J3" i="57" s="1" a="1"/>
  <c r="J3" i="57" s="1"/>
  <c r="G7" i="58" s="1"/>
  <c r="G8" i="58" s="1"/>
  <c r="I7" i="58" l="1" a="1"/>
  <c r="I7" i="58" s="1"/>
  <c r="H8" i="58"/>
  <c r="I8" i="58" s="1" a="1"/>
  <c r="I8" i="58" s="1"/>
  <c r="B2" i="65" a="1"/>
  <c r="B2" i="65" s="1"/>
  <c r="H2" i="65" a="1"/>
  <c r="H2" i="65" s="1"/>
  <c r="J2" i="65" a="1"/>
  <c r="J2" i="65" s="1"/>
  <c r="C2" i="65" a="1"/>
  <c r="C2" i="65" s="1"/>
  <c r="K2" i="65" a="1"/>
  <c r="K2" i="65" s="1"/>
  <c r="E7" i="58" a="1"/>
  <c r="E7" i="58" s="1"/>
  <c r="D8" i="58"/>
  <c r="E8" i="58" s="1" a="1"/>
  <c r="E8" i="58" s="1"/>
  <c r="M7" i="58" a="1"/>
  <c r="M7" i="58" s="1"/>
  <c r="L8" i="58"/>
  <c r="M8" i="58" s="1" a="1"/>
  <c r="M8" i="58" s="1"/>
  <c r="B11" i="58" l="1"/>
  <c r="B2" i="59"/>
  <c r="B13" i="58"/>
  <c r="B4" i="59"/>
  <c r="B3" i="59"/>
  <c r="B12" i="58"/>
  <c r="B8" i="59" l="1"/>
  <c r="B17" i="5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<sst xmlns="http://schemas.openxmlformats.org/spreadsheetml/2006/main" count="1861" uniqueCount="210">
  <si>
    <t>SUM(IFERROR(XLOOKUP(IF(XLOOKUP(B$1,'ST1 Questions'!$C$1:$H$1,'ST1 Questions'!$C$2:$H$17)=TRUE,TRANSPOSE(XLOOKUP($A2,'ST1 Question Map'!$A$2:INDEX('ST1 Question Map'!$A:$A,COUNTA('ST1 Question Map'!$A:$A)),'ST1 Question Map'!$B$2:$Q$98))),'ST1 Questions'!$A$2:$A$17,'ST1 Questions'!$B$2:$B$17),0))</t>
  </si>
  <si>
    <t>SUM(IFERROR(XLOOKUP(IF(XLOOKUP(B$1,'ST1 Questions'!$C$1:$H$1,'ST1 Questions'!$C$2:$H$17)=TRUE,TRANSPOSE(XLOOKUP($A2,'ST1 Question Map'!$A$2:INDEX('ST1 Question Map'!$A:$A,COUNTA('ST1 Question Map'!$A:$A)),'ST1 Question Map'!$B$2:INDEX('ST1 Question Map'!$Q:$Q,COUNTA('ST1 Question Map'!$Q:$Q))))),'ST1 Questions'!$A$2:$A$17,'ST1 Questions'!$B$2:$B$17),0))</t>
  </si>
  <si>
    <t>CO Score</t>
  </si>
  <si>
    <t>Percentage of Co attained</t>
  </si>
  <si>
    <t>Attained 3</t>
  </si>
  <si>
    <t>50 percent and over, CO score attained is 3</t>
  </si>
  <si>
    <t>Attained 2</t>
  </si>
  <si>
    <t>50 percent to 49 CO score attained is 2</t>
  </si>
  <si>
    <t>Attained 1</t>
  </si>
  <si>
    <t>50 percent to 49 CO score attained is 1</t>
  </si>
  <si>
    <t>Threshold</t>
  </si>
  <si>
    <t>Target achieved is sover threshold value</t>
  </si>
  <si>
    <t>Types</t>
  </si>
  <si>
    <t>Weightages</t>
  </si>
  <si>
    <t>Internal (Avg of ST1,ST2,ST3)</t>
  </si>
  <si>
    <t>External(ETE)</t>
  </si>
  <si>
    <t>Perecntage of students attaining Target</t>
  </si>
  <si>
    <t>CO score is 3 if 70 precent students attain atleast 50 percent CO's marks</t>
  </si>
  <si>
    <t>CO score is 2 if 55 precent students attain atleast 50 percent CO's marks</t>
  </si>
  <si>
    <t>CO score is 1 if 40 precent students attain atleast 50 percent CO's marks</t>
  </si>
  <si>
    <t>Q_Id</t>
  </si>
  <si>
    <t>Max Marks</t>
  </si>
  <si>
    <t>CO1</t>
  </si>
  <si>
    <t>CO2</t>
  </si>
  <si>
    <t>CO3</t>
  </si>
  <si>
    <t>CO4</t>
  </si>
  <si>
    <t>CO5</t>
  </si>
  <si>
    <t>CO6</t>
  </si>
  <si>
    <t>Sr.no</t>
  </si>
  <si>
    <t>Admission No. (Roll No.)</t>
  </si>
  <si>
    <t>Name of Student</t>
  </si>
  <si>
    <t>Division(Section)</t>
  </si>
  <si>
    <t>Course Code</t>
  </si>
  <si>
    <t>Course Name</t>
  </si>
  <si>
    <t>Lecture Type (Theory/Practical)</t>
  </si>
  <si>
    <t>Program Name</t>
  </si>
  <si>
    <t>Department Name</t>
  </si>
  <si>
    <t>Class Name (Batch)</t>
  </si>
  <si>
    <t>Semester Name</t>
  </si>
  <si>
    <t>Exam Name (ETE/ST/FA)</t>
  </si>
  <si>
    <t>Total Marks</t>
  </si>
  <si>
    <t>2010990089 </t>
  </si>
  <si>
    <t>ANSH GARG </t>
  </si>
  <si>
    <t>EC118</t>
  </si>
  <si>
    <t>Digital Signal Processing</t>
  </si>
  <si>
    <t>Theory</t>
  </si>
  <si>
    <t>ECE</t>
  </si>
  <si>
    <t>CUIET</t>
  </si>
  <si>
    <t>ST1</t>
  </si>
  <si>
    <t>U</t>
  </si>
  <si>
    <t>2010992002 </t>
  </si>
  <si>
    <t>PANSY VERMA </t>
  </si>
  <si>
    <t>2010992004 </t>
  </si>
  <si>
    <t>UTKARSH BHATT </t>
  </si>
  <si>
    <t>2010992005 </t>
  </si>
  <si>
    <t>RATANABH SHARMA </t>
  </si>
  <si>
    <t>2010992006 </t>
  </si>
  <si>
    <t>AYUSH SHARMA </t>
  </si>
  <si>
    <t>2010992008 </t>
  </si>
  <si>
    <t>NAVDEEP SINGH </t>
  </si>
  <si>
    <t>2010992009 </t>
  </si>
  <si>
    <t>RIYA  </t>
  </si>
  <si>
    <t>2010992010 </t>
  </si>
  <si>
    <t>RISHABH TANDON </t>
  </si>
  <si>
    <t>2010992011 </t>
  </si>
  <si>
    <t>HEERENDRA SINGH CHAUHAN </t>
  </si>
  <si>
    <t>2010992012 </t>
  </si>
  <si>
    <t>AKSHAT  </t>
  </si>
  <si>
    <t>2010992014 </t>
  </si>
  <si>
    <t>HARSHIT CHAHAL </t>
  </si>
  <si>
    <t>2010992015 </t>
  </si>
  <si>
    <t>URVANSH NAHATA </t>
  </si>
  <si>
    <t>2010992016 </t>
  </si>
  <si>
    <t>VARUN  </t>
  </si>
  <si>
    <t>2010992017 </t>
  </si>
  <si>
    <t>MRIDUL AGGARWAL </t>
  </si>
  <si>
    <t>2010992018 </t>
  </si>
  <si>
    <t>SHAKSHI SINGH </t>
  </si>
  <si>
    <t>2010992163 </t>
  </si>
  <si>
    <t>TAMANA SIAG </t>
  </si>
  <si>
    <t>2010992202 </t>
  </si>
  <si>
    <t>EKAMJOT SINGH MAINGI </t>
  </si>
  <si>
    <t>2010992203 </t>
  </si>
  <si>
    <t>Khan</t>
  </si>
  <si>
    <t>max Marks</t>
  </si>
  <si>
    <t>ST2</t>
  </si>
  <si>
    <t>ST3</t>
  </si>
  <si>
    <t>ETE</t>
  </si>
  <si>
    <t>Cos</t>
  </si>
  <si>
    <t>Max</t>
  </si>
  <si>
    <t>Achieved</t>
  </si>
  <si>
    <t>Percentage</t>
  </si>
  <si>
    <t>Score</t>
  </si>
  <si>
    <t>Tarrget Achieved</t>
  </si>
  <si>
    <t>Exams</t>
  </si>
  <si>
    <t>Avg percent attainment</t>
  </si>
  <si>
    <t>Avg of Student's CO Score Attained</t>
  </si>
  <si>
    <t>%age of targets attained</t>
  </si>
  <si>
    <t>Course CO Score Attained</t>
  </si>
  <si>
    <t>Average for internals</t>
  </si>
  <si>
    <t>Overall Course Averages</t>
  </si>
  <si>
    <t>Course Outcome</t>
  </si>
  <si>
    <t>Achieved CO Score</t>
  </si>
  <si>
    <t>Overall Attainment</t>
  </si>
  <si>
    <t>Teacher Name</t>
  </si>
  <si>
    <t>Employee Code</t>
  </si>
  <si>
    <t>Batch</t>
  </si>
  <si>
    <t>Group</t>
  </si>
  <si>
    <t>Prateek Singh Gambhir</t>
  </si>
  <si>
    <t>CET1003740</t>
  </si>
  <si>
    <t>G2</t>
  </si>
  <si>
    <t>Average of interals</t>
  </si>
  <si>
    <t>Overall</t>
  </si>
  <si>
    <t>Average of internals</t>
  </si>
  <si>
    <t>2020-2024</t>
  </si>
  <si>
    <t>Best 1</t>
  </si>
  <si>
    <t>Best 2</t>
  </si>
  <si>
    <t>20EC118-ST1-1a</t>
  </si>
  <si>
    <t>20EC118-ST1-1b</t>
  </si>
  <si>
    <t>20EC118-ST1-1c</t>
  </si>
  <si>
    <t>20EC118-ST1-1d</t>
  </si>
  <si>
    <t>20EC118-ST1-1e</t>
  </si>
  <si>
    <t>20EC118-ST1-Q2</t>
  </si>
  <si>
    <t>20EC118-ST1-Q3</t>
  </si>
  <si>
    <t>20EC118-ST1-Q4</t>
  </si>
  <si>
    <t>20EC118-ST1-Q5</t>
  </si>
  <si>
    <t>20EC118-ST1-Q6</t>
  </si>
  <si>
    <t>20EC118-ST1-Q7</t>
  </si>
  <si>
    <t>20EC118-ST1-Q8</t>
  </si>
  <si>
    <t>20EC118-ST1-Q9</t>
  </si>
  <si>
    <t>20EC118-ST1-Q10</t>
  </si>
  <si>
    <t>20EC118-ST1-Q11</t>
  </si>
  <si>
    <t>20EC118-ST1-Q12</t>
  </si>
  <si>
    <t>20EC118-ST1-Q13</t>
  </si>
  <si>
    <t>20EC118-ST1-Q14</t>
  </si>
  <si>
    <t>20EC118-ST1-Q15</t>
  </si>
  <si>
    <t>20EC118-ST1-Q16</t>
  </si>
  <si>
    <t>20EC118-ST1-Assignment</t>
  </si>
  <si>
    <t>20EC118-ST1-FA1</t>
  </si>
  <si>
    <t>20EC118-ST1-FA2</t>
  </si>
  <si>
    <t>20EC118-ST2-1a</t>
  </si>
  <si>
    <t>20EC118-ST2-1b</t>
  </si>
  <si>
    <t>20EC118-ST2-1c</t>
  </si>
  <si>
    <t>20EC118-ST2-1d</t>
  </si>
  <si>
    <t>20EC118-ST2-1e</t>
  </si>
  <si>
    <t>20EC118-ST2-Q2</t>
  </si>
  <si>
    <t>20EC118-ST2-Q3</t>
  </si>
  <si>
    <t>20EC118-ST2-Q4</t>
  </si>
  <si>
    <t>20EC118-ST2-Q5</t>
  </si>
  <si>
    <t>20EC118-ST2-Q6</t>
  </si>
  <si>
    <t>20EC118-ST2-Q7</t>
  </si>
  <si>
    <t>20EC118-ST2-Q8</t>
  </si>
  <si>
    <t>20EC118-ST2-Q9</t>
  </si>
  <si>
    <t>20EC118-ST2-Q10</t>
  </si>
  <si>
    <t>20EC118-ST2-Q11</t>
  </si>
  <si>
    <t>20EC118-ST2-Q12</t>
  </si>
  <si>
    <t>20EC118-ST2-Q13</t>
  </si>
  <si>
    <t>20EC118-ST2-Q14</t>
  </si>
  <si>
    <t>20EC118-ST2-Q15</t>
  </si>
  <si>
    <t>20EC118-ST2-Q16</t>
  </si>
  <si>
    <t>20EC118-ST2-Assignment</t>
  </si>
  <si>
    <t>20EC118-ST2-FA1</t>
  </si>
  <si>
    <t>20EC118-ST2-FA2</t>
  </si>
  <si>
    <t>20EC118-ST3-1a</t>
  </si>
  <si>
    <t>20EC118-ST3-1b</t>
  </si>
  <si>
    <t>20EC118-ST3-1c</t>
  </si>
  <si>
    <t>20EC118-ST3-1d</t>
  </si>
  <si>
    <t>20EC118-ST3-1e</t>
  </si>
  <si>
    <t>20EC118-ST3-Q2</t>
  </si>
  <si>
    <t>20EC118-ST3-Q3</t>
  </si>
  <si>
    <t>20EC118-ST3-Q4</t>
  </si>
  <si>
    <t>20EC118-ST3-Q5</t>
  </si>
  <si>
    <t>20EC118-ST3-Q6</t>
  </si>
  <si>
    <t>20EC118-ST3-Q7</t>
  </si>
  <si>
    <t>20EC118-ST3-Q8</t>
  </si>
  <si>
    <t>20EC118-ST3-Q9</t>
  </si>
  <si>
    <t>20EC118-ST3-Q10</t>
  </si>
  <si>
    <t>20EC118-ST3-Q11</t>
  </si>
  <si>
    <t>20EC118-ST3-Q12</t>
  </si>
  <si>
    <t>20EC118-ST3-Q13</t>
  </si>
  <si>
    <t>20EC118-ST3-Q14</t>
  </si>
  <si>
    <t>20EC118-ST3-Q15</t>
  </si>
  <si>
    <t>20EC118-ST3-Q16</t>
  </si>
  <si>
    <t>20EC118-ST3-Assignment</t>
  </si>
  <si>
    <t>20EC118-ST3-FA1</t>
  </si>
  <si>
    <t>20EC118-ST3-FA2</t>
  </si>
  <si>
    <t>20EC118-ETE-1a</t>
  </si>
  <si>
    <t>20EC118-ETE-1b</t>
  </si>
  <si>
    <t>20EC118-ETE-1c</t>
  </si>
  <si>
    <t>20EC118-ETE-1d</t>
  </si>
  <si>
    <t>20EC118-ETE-1e</t>
  </si>
  <si>
    <t>20EC118-ETE-Q2</t>
  </si>
  <si>
    <t>20EC118-ETE-Q3</t>
  </si>
  <si>
    <t>20EC118-ETE-Q4</t>
  </si>
  <si>
    <t>20EC118-ETE-Q5</t>
  </si>
  <si>
    <t>20EC118-ETE-Q6</t>
  </si>
  <si>
    <t>20EC118-ETE-Q7</t>
  </si>
  <si>
    <t>20EC118-ETE-Q8</t>
  </si>
  <si>
    <t>20EC118-ETE-Q9</t>
  </si>
  <si>
    <t>20EC118-ETE-Q10</t>
  </si>
  <si>
    <t>20EC118-ETE-Q11</t>
  </si>
  <si>
    <t>20EC118-ETE-Q12</t>
  </si>
  <si>
    <t>20EC118-ETE-Q13</t>
  </si>
  <si>
    <t>20EC118-ETE-Q14</t>
  </si>
  <si>
    <t>20EC118-ETE-Q15</t>
  </si>
  <si>
    <t>20EC118-ETE-Q16</t>
  </si>
  <si>
    <t>20EC118-ETE-Assignment</t>
  </si>
  <si>
    <t>20EC118-ETE-FA1</t>
  </si>
  <si>
    <t>20EC118-ETE-FA2</t>
  </si>
  <si>
    <t>Count of 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</si>
</sst>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383A3C"/>
      <name val="Aptos Narrow"/>
      <family val="2"/>
    </font>
    <font>
      <sz val="11"/>
      <color rgb="FF383A3C"/>
      <name val="Arial"/>
      <family val="2"/>
    </font>
    <font>
      <b/>
      <sz val="11"/>
      <color theme="1"/>
      <name val="Aptos Narrow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12">
    <xf numFmtId="0" fontId="0" fillId="0" borderId="0" xfId="0"/>
    <xf numFmtId="0" fontId="0" fillId="0" borderId="0" xfId="0" applyAlignment="1">
      <alignment wrapText="1"/>
    </xf>
    <xf numFmtId="0" fontId="3" fillId="0" borderId="0" xfId="2"/>
    <xf numFmtId="0" fontId="7" fillId="0" borderId="1" xfId="2" applyFont="1" applyBorder="1" applyAlignment="1">
      <alignment horizontal="left" vertical="center"/>
    </xf>
    <xf numFmtId="0" fontId="7" fillId="0" borderId="2" xfId="2" applyFont="1" applyBorder="1" applyAlignment="1">
      <alignment horizontal="left" vertical="center"/>
    </xf>
    <xf numFmtId="0" fontId="7" fillId="0" borderId="3" xfId="2" applyFont="1" applyBorder="1" applyAlignment="1">
      <alignment vertical="center"/>
    </xf>
    <xf numFmtId="0" fontId="8" fillId="2" borderId="4" xfId="2" applyFont="1" applyFill="1" applyBorder="1" applyAlignment="1">
      <alignment horizontal="center" vertical="center" wrapText="1"/>
    </xf>
    <xf numFmtId="0" fontId="9" fillId="2" borderId="4" xfId="2" applyFont="1" applyFill="1" applyBorder="1" applyAlignment="1">
      <alignment horizontal="center" vertical="center" wrapText="1"/>
    </xf>
    <xf numFmtId="0" fontId="10" fillId="0" borderId="3" xfId="2" applyFont="1" applyBorder="1"/>
    <xf numFmtId="0" fontId="10" fillId="0" borderId="3" xfId="2" applyFont="1" applyBorder="1" applyAlignment="1">
      <alignment horizontal="left"/>
    </xf>
    <xf numFmtId="0" fontId="7" fillId="0" borderId="3" xfId="2" applyFont="1" applyBorder="1"/>
    <xf numFmtId="0" fontId="7" fillId="0" borderId="5" xfId="2" applyFont="1" applyBorder="1" applyAlignment="1">
      <alignment wrapText="1"/>
    </xf>
    <xf numFmtId="0" fontId="7" fillId="0" borderId="5" xfId="2" applyFont="1" applyBorder="1"/>
    <xf numFmtId="0" fontId="7" fillId="0" borderId="5" xfId="2" applyFont="1" applyBorder="1" applyAlignment="1">
      <alignment horizontal="left"/>
    </xf>
    <xf numFmtId="0" fontId="7" fillId="0" borderId="0" xfId="2" applyFont="1" applyAlignment="1">
      <alignment horizontal="left"/>
    </xf>
    <xf numFmtId="0" fontId="7" fillId="0" borderId="3" xfId="2" applyFont="1" applyBorder="1" applyAlignment="1">
      <alignment wrapText="1"/>
    </xf>
    <xf numFmtId="0" fontId="7" fillId="0" borderId="3" xfId="2" applyFont="1" applyBorder="1" applyAlignment="1">
      <alignment horizontal="left"/>
    </xf>
    <xf numFmtId="0" fontId="7" fillId="0" borderId="6" xfId="2" applyFont="1" applyBorder="1" applyAlignment="1">
      <alignment horizontal="left"/>
    </xf>
    <xf numFmtId="0" fontId="7" fillId="0" borderId="0" xfId="2" applyFont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9" fontId="0" fillId="0" borderId="13" xfId="1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2" fillId="0" borderId="8" xfId="0" applyFont="1" applyBorder="1"/>
    <xf numFmtId="0" fontId="2" fillId="0" borderId="0" xfId="0" applyFont="1"/>
    <xf numFmtId="0" fontId="0" fillId="0" borderId="21" xfId="0" applyBorder="1"/>
    <xf numFmtId="0" fontId="0" fillId="0" borderId="22" xfId="0" applyBorder="1"/>
    <xf numFmtId="0" fontId="0" fillId="0" borderId="23" xfId="0" applyBorder="1"/>
    <xf numFmtId="9" fontId="0" fillId="0" borderId="23" xfId="1" applyFont="1" applyBorder="1"/>
    <xf numFmtId="9" fontId="0" fillId="0" borderId="24" xfId="1" applyFont="1" applyBorder="1"/>
    <xf numFmtId="0" fontId="0" fillId="0" borderId="25" xfId="0" applyBorder="1"/>
    <xf numFmtId="0" fontId="0" fillId="0" borderId="26" xfId="0" applyBorder="1"/>
    <xf numFmtId="2" fontId="0" fillId="0" borderId="27" xfId="1" applyNumberFormat="1" applyFont="1" applyBorder="1"/>
    <xf numFmtId="2" fontId="0" fillId="0" borderId="28" xfId="0" applyNumberFormat="1" applyBorder="1"/>
    <xf numFmtId="9" fontId="0" fillId="0" borderId="28" xfId="1" applyFont="1" applyBorder="1"/>
    <xf numFmtId="0" fontId="0" fillId="0" borderId="29" xfId="1" applyNumberFormat="1" applyFont="1" applyBorder="1"/>
    <xf numFmtId="2" fontId="0" fillId="0" borderId="27" xfId="0" applyNumberFormat="1" applyBorder="1"/>
    <xf numFmtId="9" fontId="0" fillId="0" borderId="28" xfId="1" applyFont="1" applyFill="1" applyBorder="1"/>
    <xf numFmtId="2" fontId="0" fillId="0" borderId="30" xfId="0" applyNumberFormat="1" applyBorder="1"/>
    <xf numFmtId="0" fontId="0" fillId="0" borderId="31" xfId="0" applyBorder="1"/>
    <xf numFmtId="2" fontId="0" fillId="0" borderId="16" xfId="1" applyNumberFormat="1" applyFont="1" applyBorder="1"/>
    <xf numFmtId="2" fontId="0" fillId="0" borderId="18" xfId="0" applyNumberFormat="1" applyBorder="1"/>
    <xf numFmtId="9" fontId="0" fillId="0" borderId="18" xfId="1" applyFont="1" applyBorder="1"/>
    <xf numFmtId="2" fontId="0" fillId="0" borderId="16" xfId="0" applyNumberFormat="1" applyBorder="1"/>
    <xf numFmtId="9" fontId="0" fillId="0" borderId="18" xfId="1" applyFont="1" applyFill="1" applyBorder="1"/>
    <xf numFmtId="2" fontId="0" fillId="0" borderId="32" xfId="0" applyNumberFormat="1" applyBorder="1"/>
    <xf numFmtId="0" fontId="0" fillId="0" borderId="33" xfId="0" applyBorder="1"/>
    <xf numFmtId="2" fontId="0" fillId="0" borderId="34" xfId="0" applyNumberFormat="1" applyBorder="1"/>
    <xf numFmtId="2" fontId="0" fillId="0" borderId="35" xfId="0" applyNumberFormat="1" applyBorder="1"/>
    <xf numFmtId="9" fontId="0" fillId="0" borderId="35" xfId="1" applyFont="1" applyBorder="1"/>
    <xf numFmtId="9" fontId="0" fillId="0" borderId="35" xfId="1" applyFont="1" applyFill="1" applyBorder="1"/>
    <xf numFmtId="2" fontId="0" fillId="0" borderId="37" xfId="0" applyNumberFormat="1" applyBorder="1"/>
    <xf numFmtId="0" fontId="0" fillId="0" borderId="14" xfId="1" applyNumberFormat="1" applyFont="1" applyBorder="1"/>
    <xf numFmtId="0" fontId="0" fillId="0" borderId="20" xfId="0" applyBorder="1"/>
    <xf numFmtId="2" fontId="0" fillId="0" borderId="12" xfId="0" applyNumberFormat="1" applyBorder="1"/>
    <xf numFmtId="2" fontId="0" fillId="0" borderId="13" xfId="0" applyNumberFormat="1" applyBorder="1"/>
    <xf numFmtId="9" fontId="0" fillId="0" borderId="13" xfId="1" applyFont="1" applyFill="1" applyBorder="1"/>
    <xf numFmtId="2" fontId="0" fillId="0" borderId="20" xfId="0" applyNumberFormat="1" applyBorder="1"/>
    <xf numFmtId="9" fontId="0" fillId="0" borderId="0" xfId="1" applyFont="1"/>
    <xf numFmtId="0" fontId="2" fillId="0" borderId="38" xfId="0" applyFont="1" applyBorder="1"/>
    <xf numFmtId="0" fontId="0" fillId="0" borderId="39" xfId="0" applyBorder="1"/>
    <xf numFmtId="0" fontId="0" fillId="0" borderId="38" xfId="0" applyBorder="1"/>
    <xf numFmtId="0" fontId="11" fillId="0" borderId="38" xfId="2" applyFont="1" applyBorder="1" applyAlignment="1">
      <alignment wrapText="1"/>
    </xf>
    <xf numFmtId="0" fontId="5" fillId="0" borderId="38" xfId="2" applyFont="1" applyBorder="1" applyAlignment="1">
      <alignment wrapText="1"/>
    </xf>
    <xf numFmtId="0" fontId="5" fillId="0" borderId="0" xfId="2" applyFont="1" applyAlignment="1">
      <alignment wrapText="1"/>
    </xf>
    <xf numFmtId="0" fontId="6" fillId="0" borderId="0" xfId="2" applyFont="1" applyAlignment="1">
      <alignment vertical="center"/>
    </xf>
    <xf numFmtId="0" fontId="4" fillId="0" borderId="12" xfId="2" applyFont="1" applyBorder="1" applyAlignment="1">
      <alignment wrapText="1"/>
    </xf>
    <xf numFmtId="0" fontId="4" fillId="0" borderId="14" xfId="2" applyFont="1" applyBorder="1" applyAlignment="1">
      <alignment wrapText="1"/>
    </xf>
    <xf numFmtId="0" fontId="4" fillId="0" borderId="15" xfId="2" applyFont="1" applyBorder="1" applyAlignment="1">
      <alignment wrapText="1"/>
    </xf>
    <xf numFmtId="9" fontId="6" fillId="0" borderId="40" xfId="2" applyNumberFormat="1" applyFont="1" applyBorder="1" applyAlignment="1">
      <alignment horizontal="right" wrapText="1"/>
    </xf>
    <xf numFmtId="0" fontId="4" fillId="0" borderId="34" xfId="2" applyFont="1" applyBorder="1" applyAlignment="1">
      <alignment wrapText="1"/>
    </xf>
    <xf numFmtId="9" fontId="6" fillId="0" borderId="36" xfId="2" applyNumberFormat="1" applyFont="1" applyBorder="1" applyAlignment="1">
      <alignment horizontal="right" wrapText="1"/>
    </xf>
    <xf numFmtId="0" fontId="4" fillId="0" borderId="16" xfId="2" applyFont="1" applyBorder="1" applyAlignment="1">
      <alignment wrapText="1"/>
    </xf>
    <xf numFmtId="0" fontId="4" fillId="0" borderId="14" xfId="2" applyFont="1" applyBorder="1" applyAlignment="1">
      <alignment vertical="center"/>
    </xf>
    <xf numFmtId="0" fontId="6" fillId="0" borderId="16" xfId="2" applyFont="1" applyBorder="1" applyAlignment="1">
      <alignment horizontal="right" wrapText="1"/>
    </xf>
    <xf numFmtId="9" fontId="6" fillId="0" borderId="19" xfId="2" applyNumberFormat="1" applyFont="1" applyBorder="1" applyAlignment="1">
      <alignment horizontal="right" wrapText="1"/>
    </xf>
    <xf numFmtId="0" fontId="6" fillId="0" borderId="34" xfId="2" applyFont="1" applyBorder="1" applyAlignment="1">
      <alignment horizontal="right" wrapText="1"/>
    </xf>
    <xf numFmtId="0" fontId="6" fillId="0" borderId="15" xfId="2" applyFont="1" applyBorder="1" applyAlignment="1">
      <alignment horizontal="right" wrapText="1"/>
    </xf>
    <xf numFmtId="0" fontId="0" fillId="0" borderId="38" xfId="2" applyFont="1" applyBorder="1"/>
    <xf numFmtId="0" fontId="0" fillId="0" borderId="13" xfId="1" applyNumberFormat="1" applyFont="1" applyBorder="1"/>
    <xf numFmtId="1" fontId="6" fillId="0" borderId="40" xfId="2" applyNumberFormat="1" applyFont="1" applyBorder="1" applyAlignment="1">
      <alignment horizontal="right" wrapText="1"/>
    </xf>
    <xf numFmtId="1" fontId="6" fillId="0" borderId="19" xfId="2" applyNumberFormat="1" applyFont="1" applyBorder="1" applyAlignment="1">
      <alignment horizontal="right" wrapText="1"/>
    </xf>
    <xf numFmtId="1" fontId="6" fillId="0" borderId="36" xfId="2" applyNumberFormat="1" applyFont="1" applyBorder="1" applyAlignment="1">
      <alignment horizontal="right" wrapText="1"/>
    </xf>
    <xf numFmtId="1" fontId="7" fillId="0" borderId="3" xfId="2" applyNumberFormat="1" applyFont="1" applyBorder="1" applyAlignment="1">
      <alignment vertical="center"/>
    </xf>
    <xf numFmtId="2" fontId="0" fillId="0" borderId="17" xfId="0" applyNumberFormat="1" applyBorder="1"/>
    <xf numFmtId="0" fontId="0" fillId="0" borderId="41" xfId="0" applyBorder="1"/>
    <xf numFmtId="0" fontId="0" fillId="0" borderId="43" xfId="0" applyBorder="1"/>
    <xf numFmtId="0" fontId="2" fillId="0" borderId="18" xfId="0" applyFont="1" applyBorder="1"/>
    <xf numFmtId="0" fontId="6" fillId="0" borderId="3" xfId="2" applyFont="1" applyBorder="1" applyAlignment="1">
      <alignment vertical="center"/>
    </xf>
    <xf numFmtId="0" fontId="0" fillId="0" borderId="32" xfId="0" applyBorder="1"/>
    <xf numFmtId="0" fontId="0" fillId="0" borderId="44" xfId="0" applyBorder="1"/>
    <xf numFmtId="0" fontId="2" fillId="0" borderId="42" xfId="0" applyFont="1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0" xfId="2" applyFont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0" xfId="0" applyNumberFormat="1"/>
  </cellXfs>
  <cellStyles count="3">
    <cellStyle name="Normal" xfId="0" builtinId="0"/>
    <cellStyle name="Normal 2" xfId="2" xr:uid="{411F14AE-B87C-452E-A6C1-1446BA36859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48DE7-59A3-486C-A09E-4F3C9E497C67}">
  <sheetPr codeName="Sheet1">
    <tabColor rgb="FF00B050"/>
  </sheetPr>
  <dimension ref="A1:Z1000"/>
  <sheetViews>
    <sheetView workbookViewId="0">
      <selection activeCell="D17" sqref="D17"/>
    </sheetView>
  </sheetViews>
  <sheetFormatPr defaultColWidth="12.44140625" defaultRowHeight="15" customHeight="1" x14ac:dyDescent="0.3"/>
  <cols>
    <col min="1" max="1" width="24.6640625" style="2" bestFit="1" customWidth="1"/>
    <col min="2" max="2" width="33.44140625" style="2" bestFit="1" customWidth="1"/>
    <col min="3" max="3" width="8.6640625" style="2" customWidth="1"/>
    <col min="4" max="4" width="59.21875" style="2" bestFit="1" customWidth="1"/>
    <col min="5" max="26" width="8.6640625" style="2" customWidth="1"/>
    <col min="27" max="16384" width="12.44140625" style="2"/>
  </cols>
  <sheetData>
    <row r="1" spans="1:26" thickBot="1" x14ac:dyDescent="0.35">
      <c r="A1" s="74" t="s">
        <v>2</v>
      </c>
      <c r="B1" s="81" t="s">
        <v>3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spans="1:26" ht="14.4" x14ac:dyDescent="0.3">
      <c r="A2" s="76" t="s">
        <v>4</v>
      </c>
      <c r="B2" s="88">
        <v>60</v>
      </c>
      <c r="C2" s="72"/>
      <c r="D2" s="73" t="s">
        <v>5</v>
      </c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spans="1:26" ht="14.4" x14ac:dyDescent="0.3">
      <c r="A3" s="80" t="s">
        <v>6</v>
      </c>
      <c r="B3" s="89">
        <v>60</v>
      </c>
      <c r="C3" s="72"/>
      <c r="D3" s="73" t="s">
        <v>7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spans="1:26" ht="14.4" x14ac:dyDescent="0.3">
      <c r="A4" s="80" t="s">
        <v>8</v>
      </c>
      <c r="B4" s="89">
        <v>60</v>
      </c>
      <c r="C4" s="72"/>
      <c r="D4" s="73" t="s">
        <v>9</v>
      </c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spans="1:26" thickBot="1" x14ac:dyDescent="0.35">
      <c r="A5" s="78" t="s">
        <v>10</v>
      </c>
      <c r="B5" s="90">
        <v>60</v>
      </c>
      <c r="C5" s="72"/>
      <c r="D5" s="73" t="s">
        <v>11</v>
      </c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ht="15" customHeight="1" x14ac:dyDescent="0.3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spans="1:26" ht="15" customHeight="1" thickBot="1" x14ac:dyDescent="0.35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spans="1:26" thickBot="1" x14ac:dyDescent="0.35">
      <c r="A8" s="74" t="s">
        <v>12</v>
      </c>
      <c r="B8" s="75" t="s">
        <v>13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spans="1:26" ht="14.4" x14ac:dyDescent="0.3">
      <c r="A9" s="76" t="s">
        <v>14</v>
      </c>
      <c r="B9" s="77">
        <v>0.4</v>
      </c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spans="1:26" thickBot="1" x14ac:dyDescent="0.35">
      <c r="A10" s="78" t="s">
        <v>15</v>
      </c>
      <c r="B10" s="79">
        <v>0.6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spans="1:26" ht="15" customHeight="1" thickBot="1" x14ac:dyDescent="0.35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spans="1:26" ht="15" customHeight="1" thickBot="1" x14ac:dyDescent="0.35">
      <c r="A12" s="74" t="s">
        <v>2</v>
      </c>
      <c r="B12" s="81" t="s">
        <v>16</v>
      </c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spans="1:26" ht="15" customHeight="1" x14ac:dyDescent="0.3">
      <c r="A13" s="85">
        <v>3</v>
      </c>
      <c r="B13" s="77">
        <v>0.8</v>
      </c>
      <c r="C13" s="72"/>
      <c r="D13" s="73" t="s">
        <v>17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spans="1:26" ht="15" customHeight="1" x14ac:dyDescent="0.3">
      <c r="A14" s="82">
        <v>2</v>
      </c>
      <c r="B14" s="83">
        <v>0.7</v>
      </c>
      <c r="C14" s="72"/>
      <c r="D14" s="73" t="s">
        <v>18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spans="1:26" ht="15" customHeight="1" thickBot="1" x14ac:dyDescent="0.35">
      <c r="A15" s="84">
        <v>1</v>
      </c>
      <c r="B15" s="79">
        <v>0.6</v>
      </c>
      <c r="C15" s="72"/>
      <c r="D15" s="73" t="s">
        <v>19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spans="1:26" ht="15" customHeight="1" thickBot="1" x14ac:dyDescent="0.35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spans="1:26" ht="15" customHeight="1" thickBot="1" x14ac:dyDescent="0.35">
      <c r="A17" s="70" t="s">
        <v>104</v>
      </c>
      <c r="B17" s="86" t="s">
        <v>108</v>
      </c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spans="1:26" ht="15" customHeight="1" thickBot="1" x14ac:dyDescent="0.35">
      <c r="A18" s="70" t="s">
        <v>105</v>
      </c>
      <c r="B18" s="71" t="s">
        <v>109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spans="1:26" ht="15" customHeight="1" thickBot="1" x14ac:dyDescent="0.35">
      <c r="A19" s="70" t="s">
        <v>33</v>
      </c>
      <c r="B19" s="71" t="s">
        <v>44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spans="1:26" ht="15" customHeight="1" thickBot="1" x14ac:dyDescent="0.35">
      <c r="A20" s="70" t="s">
        <v>32</v>
      </c>
      <c r="B20" s="71" t="s">
        <v>43</v>
      </c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spans="1:26" ht="15.75" customHeight="1" thickBot="1" x14ac:dyDescent="0.35">
      <c r="A21" s="70" t="s">
        <v>106</v>
      </c>
      <c r="B21" s="71" t="s">
        <v>114</v>
      </c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spans="1:26" ht="15.75" customHeight="1" thickBot="1" x14ac:dyDescent="0.35">
      <c r="A22" s="70" t="s">
        <v>107</v>
      </c>
      <c r="B22" s="71" t="s">
        <v>110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spans="1:26" ht="15.75" customHeight="1" x14ac:dyDescent="0.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spans="1:26" ht="15.75" customHeight="1" x14ac:dyDescent="0.3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spans="1:26" ht="15.75" customHeight="1" x14ac:dyDescent="0.3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spans="1:26" ht="15.75" customHeight="1" x14ac:dyDescent="0.3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spans="1:26" ht="15.75" customHeight="1" x14ac:dyDescent="0.3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spans="1:26" ht="15.75" customHeight="1" x14ac:dyDescent="0.3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spans="1:26" ht="15.75" customHeight="1" x14ac:dyDescent="0.3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spans="1:26" ht="15.75" customHeight="1" x14ac:dyDescent="0.3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spans="1:26" ht="15.75" customHeight="1" x14ac:dyDescent="0.3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spans="1:26" ht="15.75" customHeight="1" x14ac:dyDescent="0.3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spans="1:26" ht="15.75" customHeight="1" x14ac:dyDescent="0.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spans="1:26" ht="15.75" customHeight="1" x14ac:dyDescent="0.3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spans="1:26" ht="15.75" customHeight="1" x14ac:dyDescent="0.3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spans="1:26" ht="15.75" customHeight="1" x14ac:dyDescent="0.3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spans="1:26" ht="15.75" customHeight="1" x14ac:dyDescent="0.3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spans="1:26" ht="15.75" customHeight="1" x14ac:dyDescent="0.3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spans="1:26" ht="15.75" customHeight="1" x14ac:dyDescent="0.3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spans="1:26" ht="15.75" customHeight="1" x14ac:dyDescent="0.3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spans="1:26" ht="15.75" customHeight="1" x14ac:dyDescent="0.3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spans="1:26" ht="15.75" customHeight="1" x14ac:dyDescent="0.3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spans="1:26" ht="15.75" customHeight="1" x14ac:dyDescent="0.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spans="1:26" ht="15.75" customHeight="1" x14ac:dyDescent="0.3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spans="1:26" ht="15.75" customHeight="1" x14ac:dyDescent="0.3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spans="1:26" ht="15.75" customHeight="1" x14ac:dyDescent="0.3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spans="1:26" ht="15.75" customHeight="1" x14ac:dyDescent="0.3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spans="1:26" ht="15.75" customHeight="1" x14ac:dyDescent="0.3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spans="1:26" ht="15.75" customHeight="1" x14ac:dyDescent="0.3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spans="1:26" ht="15.75" customHeight="1" x14ac:dyDescent="0.3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spans="1:26" ht="15.75" customHeight="1" x14ac:dyDescent="0.3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spans="1:26" ht="15.75" customHeight="1" x14ac:dyDescent="0.3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spans="1:26" ht="15.75" customHeight="1" x14ac:dyDescent="0.3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spans="1:26" ht="15.75" customHeight="1" x14ac:dyDescent="0.3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spans="1:26" ht="15.75" customHeight="1" x14ac:dyDescent="0.3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spans="1:26" ht="15.75" customHeight="1" x14ac:dyDescent="0.3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spans="1:26" ht="15.75" customHeight="1" x14ac:dyDescent="0.3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spans="1:26" ht="15.75" customHeight="1" x14ac:dyDescent="0.3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spans="1:26" ht="15.75" customHeight="1" x14ac:dyDescent="0.3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spans="1:26" ht="15.75" customHeight="1" x14ac:dyDescent="0.3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spans="1:26" ht="15.75" customHeight="1" x14ac:dyDescent="0.3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spans="1:26" ht="15.75" customHeight="1" x14ac:dyDescent="0.3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spans="1:26" ht="15.75" customHeight="1" x14ac:dyDescent="0.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spans="1:26" ht="15.75" customHeight="1" x14ac:dyDescent="0.3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spans="1:26" ht="15.75" customHeight="1" x14ac:dyDescent="0.3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spans="1:26" ht="15.75" customHeight="1" x14ac:dyDescent="0.3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spans="1:26" ht="15.75" customHeight="1" x14ac:dyDescent="0.3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spans="1:26" ht="15.75" customHeight="1" x14ac:dyDescent="0.3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spans="1:26" ht="15.75" customHeight="1" x14ac:dyDescent="0.3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spans="1:26" ht="15.75" customHeight="1" x14ac:dyDescent="0.3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spans="1:26" ht="15.75" customHeight="1" x14ac:dyDescent="0.3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spans="1:26" ht="15.75" customHeight="1" x14ac:dyDescent="0.3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spans="1:26" ht="15.75" customHeight="1" x14ac:dyDescent="0.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spans="1:26" ht="15.75" customHeight="1" x14ac:dyDescent="0.3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spans="1:26" ht="15.75" customHeight="1" x14ac:dyDescent="0.3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spans="1:26" ht="15.75" customHeight="1" x14ac:dyDescent="0.3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spans="1:26" ht="15.75" customHeight="1" x14ac:dyDescent="0.3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spans="1:26" ht="15.75" customHeight="1" x14ac:dyDescent="0.3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spans="1:26" ht="15.75" customHeight="1" x14ac:dyDescent="0.3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spans="1:26" ht="15.75" customHeight="1" x14ac:dyDescent="0.3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spans="1:26" ht="15.75" customHeight="1" x14ac:dyDescent="0.3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spans="1:26" ht="15.75" customHeight="1" x14ac:dyDescent="0.3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spans="1:26" ht="15.75" customHeight="1" x14ac:dyDescent="0.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spans="1:26" ht="15.75" customHeight="1" x14ac:dyDescent="0.3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spans="1:26" ht="15.75" customHeight="1" x14ac:dyDescent="0.3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spans="1:26" ht="15.75" customHeight="1" x14ac:dyDescent="0.3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spans="1:26" ht="15.75" customHeight="1" x14ac:dyDescent="0.3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spans="1:26" ht="15.75" customHeight="1" x14ac:dyDescent="0.3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spans="1:26" ht="15.75" customHeight="1" x14ac:dyDescent="0.3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spans="1:26" ht="15.75" customHeight="1" x14ac:dyDescent="0.3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spans="1:26" ht="15.75" customHeight="1" x14ac:dyDescent="0.3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spans="1:26" ht="15.75" customHeight="1" x14ac:dyDescent="0.3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spans="1:26" ht="15.75" customHeight="1" x14ac:dyDescent="0.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spans="1:26" ht="15.75" customHeight="1" x14ac:dyDescent="0.3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spans="1:26" ht="15.75" customHeight="1" x14ac:dyDescent="0.3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spans="1:26" ht="15.75" customHeight="1" x14ac:dyDescent="0.3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spans="1:26" ht="15.75" customHeight="1" x14ac:dyDescent="0.3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spans="1:26" ht="15.75" customHeight="1" x14ac:dyDescent="0.3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spans="1:26" ht="15.75" customHeight="1" x14ac:dyDescent="0.3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spans="1:26" ht="15.75" customHeight="1" x14ac:dyDescent="0.3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spans="1:26" ht="15.75" customHeight="1" x14ac:dyDescent="0.3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spans="1:26" ht="15.75" customHeight="1" x14ac:dyDescent="0.3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spans="1:26" ht="15.75" customHeight="1" x14ac:dyDescent="0.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spans="1:26" ht="15.75" customHeight="1" x14ac:dyDescent="0.3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spans="1:26" ht="15.75" customHeight="1" x14ac:dyDescent="0.3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spans="1:26" ht="15.75" customHeight="1" x14ac:dyDescent="0.3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spans="1:26" ht="15.75" customHeight="1" x14ac:dyDescent="0.3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spans="1:26" ht="15.75" customHeight="1" x14ac:dyDescent="0.3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spans="1:26" ht="15.75" customHeight="1" x14ac:dyDescent="0.3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spans="1:26" ht="15.75" customHeight="1" x14ac:dyDescent="0.3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spans="1:26" ht="15.75" customHeight="1" x14ac:dyDescent="0.3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spans="1:26" ht="15.75" customHeight="1" x14ac:dyDescent="0.3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spans="1:26" ht="15.75" customHeight="1" x14ac:dyDescent="0.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spans="1:26" ht="15.75" customHeight="1" x14ac:dyDescent="0.3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spans="1:26" ht="15.75" customHeight="1" x14ac:dyDescent="0.3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spans="1:26" ht="15.75" customHeight="1" x14ac:dyDescent="0.3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spans="1:26" ht="15.75" customHeight="1" x14ac:dyDescent="0.3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spans="1:26" ht="15.75" customHeight="1" x14ac:dyDescent="0.3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spans="1:26" ht="15.75" customHeight="1" x14ac:dyDescent="0.3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spans="1:26" ht="15.75" customHeight="1" x14ac:dyDescent="0.3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spans="1:26" ht="15.75" customHeight="1" x14ac:dyDescent="0.3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spans="1:26" ht="15.75" customHeight="1" x14ac:dyDescent="0.3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spans="1:26" ht="15.75" customHeight="1" x14ac:dyDescent="0.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spans="1:26" ht="15.75" customHeight="1" x14ac:dyDescent="0.3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spans="1:26" ht="15.75" customHeight="1" x14ac:dyDescent="0.3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spans="1:26" ht="15.75" customHeight="1" x14ac:dyDescent="0.3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spans="1:26" ht="15.75" customHeight="1" x14ac:dyDescent="0.3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spans="1:26" ht="15.75" customHeight="1" x14ac:dyDescent="0.3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spans="1:26" ht="15.75" customHeight="1" x14ac:dyDescent="0.3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spans="1:26" ht="15.75" customHeight="1" x14ac:dyDescent="0.3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spans="1:26" ht="15.75" customHeight="1" x14ac:dyDescent="0.3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spans="1:26" ht="15.75" customHeight="1" x14ac:dyDescent="0.3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spans="1:26" ht="15.75" customHeight="1" x14ac:dyDescent="0.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spans="1:26" ht="15.75" customHeight="1" x14ac:dyDescent="0.3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spans="1:26" ht="15.75" customHeight="1" x14ac:dyDescent="0.3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spans="1:26" ht="15.75" customHeight="1" x14ac:dyDescent="0.3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spans="1:26" ht="15.75" customHeight="1" x14ac:dyDescent="0.3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spans="1:26" ht="15.75" customHeight="1" x14ac:dyDescent="0.3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spans="1:26" ht="15.75" customHeight="1" x14ac:dyDescent="0.3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spans="1:26" ht="15.75" customHeight="1" x14ac:dyDescent="0.3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spans="1:26" ht="15.75" customHeight="1" x14ac:dyDescent="0.3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spans="1:26" ht="15.75" customHeight="1" x14ac:dyDescent="0.3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spans="1:26" ht="15.75" customHeight="1" x14ac:dyDescent="0.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spans="1:26" ht="15.75" customHeight="1" x14ac:dyDescent="0.3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spans="1:26" ht="15.75" customHeight="1" x14ac:dyDescent="0.3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spans="1:26" ht="15.75" customHeight="1" x14ac:dyDescent="0.3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spans="1:26" ht="15.75" customHeight="1" x14ac:dyDescent="0.3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spans="1:26" ht="15.75" customHeight="1" x14ac:dyDescent="0.3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spans="1:26" ht="15.75" customHeight="1" x14ac:dyDescent="0.3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spans="1:26" ht="15.75" customHeight="1" x14ac:dyDescent="0.3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spans="1:26" ht="15.75" customHeight="1" x14ac:dyDescent="0.3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spans="1:26" ht="15.75" customHeight="1" x14ac:dyDescent="0.3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spans="1:26" ht="15.75" customHeight="1" x14ac:dyDescent="0.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spans="1:26" ht="15.75" customHeight="1" x14ac:dyDescent="0.3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spans="1:26" ht="15.75" customHeight="1" x14ac:dyDescent="0.3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spans="1:26" ht="15.75" customHeight="1" x14ac:dyDescent="0.3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spans="1:26" ht="15.75" customHeight="1" x14ac:dyDescent="0.3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spans="1:26" ht="15.75" customHeight="1" x14ac:dyDescent="0.3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spans="1:26" ht="15.75" customHeight="1" x14ac:dyDescent="0.3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spans="1:26" ht="15.75" customHeight="1" x14ac:dyDescent="0.3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spans="1:26" ht="15.75" customHeight="1" x14ac:dyDescent="0.3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spans="1:26" ht="15.75" customHeight="1" x14ac:dyDescent="0.3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spans="1:26" ht="15.75" customHeight="1" x14ac:dyDescent="0.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spans="1:26" ht="15.75" customHeight="1" x14ac:dyDescent="0.3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spans="1:26" ht="15.75" customHeight="1" x14ac:dyDescent="0.3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spans="1:26" ht="15.75" customHeight="1" x14ac:dyDescent="0.3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spans="1:26" ht="15.75" customHeight="1" x14ac:dyDescent="0.3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spans="1:26" ht="15.75" customHeight="1" x14ac:dyDescent="0.3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spans="1:26" ht="15.75" customHeight="1" x14ac:dyDescent="0.3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spans="1:26" ht="15.75" customHeight="1" x14ac:dyDescent="0.3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spans="1:26" ht="15.75" customHeight="1" x14ac:dyDescent="0.3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spans="1:26" ht="15.75" customHeight="1" x14ac:dyDescent="0.3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spans="1:26" ht="15.75" customHeight="1" x14ac:dyDescent="0.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spans="1:26" ht="15.75" customHeight="1" x14ac:dyDescent="0.3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spans="1:26" ht="15.75" customHeight="1" x14ac:dyDescent="0.3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spans="1:26" ht="15.75" customHeight="1" x14ac:dyDescent="0.3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spans="1:26" ht="15.75" customHeight="1" x14ac:dyDescent="0.3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spans="1:26" ht="15.75" customHeight="1" x14ac:dyDescent="0.3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spans="1:26" ht="15.75" customHeight="1" x14ac:dyDescent="0.3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spans="1:26" ht="15.75" customHeight="1" x14ac:dyDescent="0.3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spans="1:26" ht="15.75" customHeight="1" x14ac:dyDescent="0.3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spans="1:26" ht="15.75" customHeight="1" x14ac:dyDescent="0.3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spans="1:26" ht="15.75" customHeight="1" x14ac:dyDescent="0.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spans="1:26" ht="15.75" customHeight="1" x14ac:dyDescent="0.3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spans="1:26" ht="15.75" customHeight="1" x14ac:dyDescent="0.3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spans="1:26" ht="15.75" customHeight="1" x14ac:dyDescent="0.3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spans="1:26" ht="15.75" customHeight="1" x14ac:dyDescent="0.3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spans="1:26" ht="15.75" customHeight="1" x14ac:dyDescent="0.3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spans="1:26" ht="15.75" customHeight="1" x14ac:dyDescent="0.3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spans="1:26" ht="15.75" customHeight="1" x14ac:dyDescent="0.3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spans="1:26" ht="15.75" customHeight="1" x14ac:dyDescent="0.3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spans="1:26" ht="15.75" customHeight="1" x14ac:dyDescent="0.3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spans="1:26" ht="15.75" customHeight="1" x14ac:dyDescent="0.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spans="1:26" ht="15.75" customHeight="1" x14ac:dyDescent="0.3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spans="1:26" ht="15.75" customHeight="1" x14ac:dyDescent="0.3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spans="1:26" ht="15.75" customHeight="1" x14ac:dyDescent="0.3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spans="1:26" ht="15.75" customHeight="1" x14ac:dyDescent="0.3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spans="1:26" ht="15.75" customHeight="1" x14ac:dyDescent="0.3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spans="1:26" ht="15.75" customHeight="1" x14ac:dyDescent="0.3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spans="1:26" ht="15.75" customHeight="1" x14ac:dyDescent="0.3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spans="1:26" ht="15.75" customHeight="1" x14ac:dyDescent="0.3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spans="1:26" ht="15.75" customHeight="1" x14ac:dyDescent="0.3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spans="1:26" ht="15.75" customHeight="1" x14ac:dyDescent="0.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spans="1:26" ht="15.75" customHeight="1" x14ac:dyDescent="0.3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spans="1:26" ht="15.75" customHeight="1" x14ac:dyDescent="0.3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spans="1:26" ht="15.75" customHeight="1" x14ac:dyDescent="0.3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spans="1:26" ht="15.75" customHeight="1" x14ac:dyDescent="0.3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spans="1:26" ht="15.75" customHeight="1" x14ac:dyDescent="0.3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spans="1:26" ht="15.75" customHeight="1" x14ac:dyDescent="0.3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spans="1:26" ht="15.75" customHeight="1" x14ac:dyDescent="0.3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spans="1:26" ht="15.75" customHeight="1" x14ac:dyDescent="0.3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spans="1:26" ht="15.75" customHeight="1" x14ac:dyDescent="0.3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spans="1:26" ht="15.75" customHeight="1" x14ac:dyDescent="0.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spans="1:26" ht="15.75" customHeight="1" x14ac:dyDescent="0.3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spans="1:26" ht="15.75" customHeight="1" x14ac:dyDescent="0.3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spans="1:26" ht="15.75" customHeight="1" x14ac:dyDescent="0.3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spans="1:26" ht="15.75" customHeight="1" x14ac:dyDescent="0.3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spans="1:26" ht="15.75" customHeight="1" x14ac:dyDescent="0.3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spans="1:26" ht="15.75" customHeight="1" x14ac:dyDescent="0.3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spans="1:26" ht="15.75" customHeight="1" x14ac:dyDescent="0.3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spans="1:26" ht="15.75" customHeight="1" x14ac:dyDescent="0.3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spans="1:26" ht="15.75" customHeight="1" x14ac:dyDescent="0.3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spans="1:26" ht="15.75" customHeight="1" x14ac:dyDescent="0.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spans="1:26" ht="15.75" customHeight="1" x14ac:dyDescent="0.3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spans="1:26" ht="15.75" customHeight="1" x14ac:dyDescent="0.3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spans="1:26" ht="15.75" customHeight="1" x14ac:dyDescent="0.3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spans="1:26" ht="15.75" customHeight="1" x14ac:dyDescent="0.3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spans="1:26" ht="15.75" customHeight="1" x14ac:dyDescent="0.3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spans="1:26" ht="15.75" customHeight="1" x14ac:dyDescent="0.3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spans="1:26" ht="15.75" customHeight="1" x14ac:dyDescent="0.3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spans="1:26" ht="15.75" customHeight="1" x14ac:dyDescent="0.3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spans="1:26" ht="15.75" customHeight="1" x14ac:dyDescent="0.3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spans="1:26" ht="15.75" customHeight="1" x14ac:dyDescent="0.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spans="1:26" ht="15.75" customHeight="1" x14ac:dyDescent="0.3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spans="1:26" ht="15.75" customHeight="1" x14ac:dyDescent="0.3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spans="1:26" ht="15.75" customHeight="1" x14ac:dyDescent="0.3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spans="1:26" ht="15.75" customHeight="1" x14ac:dyDescent="0.3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spans="1:26" ht="15.75" customHeight="1" x14ac:dyDescent="0.3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spans="1:26" ht="15.75" customHeight="1" x14ac:dyDescent="0.3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spans="1:26" ht="15.75" customHeight="1" x14ac:dyDescent="0.3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spans="1:26" ht="15.75" customHeight="1" x14ac:dyDescent="0.3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spans="1:26" ht="15.75" customHeight="1" x14ac:dyDescent="0.3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spans="1:26" ht="15.75" customHeight="1" x14ac:dyDescent="0.3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spans="1:26" ht="15.75" customHeight="1" x14ac:dyDescent="0.3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spans="1:26" ht="15.75" customHeight="1" x14ac:dyDescent="0.3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spans="1:26" ht="15.75" customHeight="1" x14ac:dyDescent="0.3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spans="1:26" ht="15.75" customHeight="1" x14ac:dyDescent="0.3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spans="1:26" ht="15.75" customHeight="1" x14ac:dyDescent="0.3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spans="1:26" ht="15.75" customHeight="1" x14ac:dyDescent="0.3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spans="1:26" ht="15.75" customHeight="1" x14ac:dyDescent="0.3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spans="1:26" ht="15.75" customHeight="1" x14ac:dyDescent="0.3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spans="1:26" ht="15.75" customHeight="1" x14ac:dyDescent="0.3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spans="1:26" ht="15.75" customHeight="1" x14ac:dyDescent="0.3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spans="1:26" ht="15.75" customHeight="1" x14ac:dyDescent="0.3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spans="1:26" ht="15.75" customHeight="1" x14ac:dyDescent="0.3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spans="1:26" ht="15.75" customHeight="1" x14ac:dyDescent="0.3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spans="1:26" ht="15.75" customHeight="1" x14ac:dyDescent="0.3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spans="1:26" ht="15.75" customHeight="1" x14ac:dyDescent="0.3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spans="1:26" ht="15.75" customHeight="1" x14ac:dyDescent="0.3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spans="1:26" ht="15.75" customHeight="1" x14ac:dyDescent="0.3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spans="1:26" ht="15.75" customHeight="1" x14ac:dyDescent="0.3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spans="1:26" ht="15.75" customHeight="1" x14ac:dyDescent="0.3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spans="1:26" ht="15.75" customHeight="1" x14ac:dyDescent="0.3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spans="1:26" ht="15.75" customHeight="1" x14ac:dyDescent="0.3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spans="1:26" ht="15.75" customHeight="1" x14ac:dyDescent="0.3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spans="1:26" ht="15.75" customHeight="1" x14ac:dyDescent="0.3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spans="1:26" ht="15.75" customHeight="1" x14ac:dyDescent="0.3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spans="1:26" ht="15.75" customHeight="1" x14ac:dyDescent="0.3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spans="1:26" ht="15.75" customHeight="1" x14ac:dyDescent="0.3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spans="1:26" ht="15.75" customHeight="1" x14ac:dyDescent="0.3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spans="1:26" ht="15.75" customHeight="1" x14ac:dyDescent="0.3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spans="1:26" ht="15.75" customHeight="1" x14ac:dyDescent="0.3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spans="1:26" ht="15.75" customHeight="1" x14ac:dyDescent="0.3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spans="1:26" ht="15.75" customHeight="1" x14ac:dyDescent="0.3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spans="1:26" ht="15.75" customHeight="1" x14ac:dyDescent="0.3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spans="1:26" ht="15.75" customHeight="1" x14ac:dyDescent="0.3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spans="1:26" ht="15.75" customHeight="1" x14ac:dyDescent="0.3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spans="1:26" ht="15.75" customHeight="1" x14ac:dyDescent="0.3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spans="1:26" ht="15.75" customHeight="1" x14ac:dyDescent="0.3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spans="1:26" ht="15.75" customHeight="1" x14ac:dyDescent="0.3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spans="1:26" ht="15.75" customHeight="1" x14ac:dyDescent="0.3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spans="1:26" ht="15.75" customHeight="1" x14ac:dyDescent="0.3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spans="1:26" ht="15.75" customHeight="1" x14ac:dyDescent="0.3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spans="1:26" ht="15.75" customHeight="1" x14ac:dyDescent="0.3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spans="1:26" ht="15.75" customHeight="1" x14ac:dyDescent="0.3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spans="1:26" ht="15.75" customHeight="1" x14ac:dyDescent="0.3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spans="1:26" ht="15.75" customHeight="1" x14ac:dyDescent="0.3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spans="1:26" ht="15.75" customHeight="1" x14ac:dyDescent="0.3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spans="1:26" ht="15.75" customHeight="1" x14ac:dyDescent="0.3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spans="1:26" ht="15.75" customHeight="1" x14ac:dyDescent="0.3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spans="1:26" ht="15.75" customHeight="1" x14ac:dyDescent="0.3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spans="1:26" ht="15.75" customHeight="1" x14ac:dyDescent="0.3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spans="1:26" ht="15.75" customHeight="1" x14ac:dyDescent="0.3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spans="1:26" ht="15.75" customHeight="1" x14ac:dyDescent="0.3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spans="1:26" ht="15.75" customHeight="1" x14ac:dyDescent="0.3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spans="1:26" ht="15.75" customHeight="1" x14ac:dyDescent="0.3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spans="1:26" ht="15.75" customHeight="1" x14ac:dyDescent="0.3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spans="1:26" ht="15.75" customHeight="1" x14ac:dyDescent="0.3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spans="1:26" ht="15.75" customHeight="1" x14ac:dyDescent="0.3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spans="1:26" ht="15.75" customHeight="1" x14ac:dyDescent="0.3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spans="1:26" ht="15.75" customHeight="1" x14ac:dyDescent="0.3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spans="1:26" ht="15.75" customHeight="1" x14ac:dyDescent="0.3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spans="1:26" ht="15.75" customHeight="1" x14ac:dyDescent="0.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spans="1:26" ht="15.75" customHeight="1" x14ac:dyDescent="0.3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spans="1:26" ht="15.75" customHeight="1" x14ac:dyDescent="0.3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spans="1:26" ht="15.75" customHeight="1" x14ac:dyDescent="0.3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spans="1:26" ht="15.75" customHeight="1" x14ac:dyDescent="0.3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spans="1:26" ht="15.75" customHeight="1" x14ac:dyDescent="0.3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spans="1:26" ht="15.75" customHeight="1" x14ac:dyDescent="0.3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spans="1:26" ht="15.75" customHeight="1" x14ac:dyDescent="0.3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spans="1:26" ht="15.75" customHeight="1" x14ac:dyDescent="0.3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spans="1:26" ht="15.75" customHeight="1" x14ac:dyDescent="0.3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spans="1:26" ht="15.75" customHeight="1" x14ac:dyDescent="0.3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spans="1:26" ht="15.75" customHeight="1" x14ac:dyDescent="0.3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spans="1:26" ht="15.75" customHeight="1" x14ac:dyDescent="0.3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spans="1:26" ht="15.75" customHeight="1" x14ac:dyDescent="0.3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spans="1:26" ht="15.75" customHeight="1" x14ac:dyDescent="0.3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spans="1:26" ht="15.75" customHeight="1" x14ac:dyDescent="0.3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spans="1:26" ht="15.75" customHeight="1" x14ac:dyDescent="0.3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spans="1:26" ht="15.75" customHeight="1" x14ac:dyDescent="0.3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spans="1:26" ht="15.75" customHeight="1" x14ac:dyDescent="0.3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spans="1:26" ht="15.75" customHeight="1" x14ac:dyDescent="0.3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spans="1:26" ht="15.75" customHeight="1" x14ac:dyDescent="0.3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spans="1:26" ht="15.75" customHeight="1" x14ac:dyDescent="0.3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spans="1:26" ht="15.75" customHeight="1" x14ac:dyDescent="0.3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spans="1:26" ht="15.75" customHeight="1" x14ac:dyDescent="0.3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spans="1:26" ht="15.75" customHeight="1" x14ac:dyDescent="0.3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spans="1:26" ht="15.75" customHeight="1" x14ac:dyDescent="0.3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spans="1:26" ht="15.75" customHeight="1" x14ac:dyDescent="0.3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spans="1:26" ht="15.75" customHeight="1" x14ac:dyDescent="0.3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spans="1:26" ht="15.75" customHeight="1" x14ac:dyDescent="0.3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spans="1:26" ht="15.75" customHeight="1" x14ac:dyDescent="0.3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spans="1:26" ht="15.75" customHeight="1" x14ac:dyDescent="0.3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spans="1:26" ht="15.75" customHeight="1" x14ac:dyDescent="0.3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spans="1:26" ht="15.75" customHeight="1" x14ac:dyDescent="0.3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spans="1:26" ht="15.75" customHeight="1" x14ac:dyDescent="0.3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spans="1:26" ht="15.75" customHeight="1" x14ac:dyDescent="0.3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spans="1:26" ht="15.75" customHeight="1" x14ac:dyDescent="0.3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spans="1:26" ht="15.75" customHeight="1" x14ac:dyDescent="0.3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spans="1:26" ht="15.75" customHeight="1" x14ac:dyDescent="0.3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spans="1:26" ht="15.75" customHeight="1" x14ac:dyDescent="0.3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spans="1:26" ht="15.75" customHeight="1" x14ac:dyDescent="0.3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spans="1:26" ht="15.75" customHeight="1" x14ac:dyDescent="0.3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spans="1:26" ht="15.75" customHeight="1" x14ac:dyDescent="0.3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spans="1:26" ht="15.75" customHeight="1" x14ac:dyDescent="0.3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spans="1:26" ht="15.75" customHeight="1" x14ac:dyDescent="0.3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spans="1:26" ht="15.75" customHeight="1" x14ac:dyDescent="0.3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spans="1:26" ht="15.75" customHeight="1" x14ac:dyDescent="0.3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spans="1:26" ht="15.75" customHeight="1" x14ac:dyDescent="0.3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spans="1:26" ht="15.75" customHeight="1" x14ac:dyDescent="0.3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spans="1:26" ht="15.75" customHeight="1" x14ac:dyDescent="0.3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spans="1:26" ht="15.75" customHeight="1" x14ac:dyDescent="0.3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spans="1:26" ht="15.75" customHeight="1" x14ac:dyDescent="0.3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spans="1:26" ht="15.75" customHeight="1" x14ac:dyDescent="0.3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spans="1:26" ht="15.75" customHeight="1" x14ac:dyDescent="0.3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spans="1:26" ht="15.75" customHeight="1" x14ac:dyDescent="0.3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spans="1:26" ht="15.75" customHeight="1" x14ac:dyDescent="0.3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spans="1:26" ht="15.75" customHeight="1" x14ac:dyDescent="0.3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spans="1:26" ht="15.75" customHeight="1" x14ac:dyDescent="0.3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spans="1:26" ht="15.75" customHeight="1" x14ac:dyDescent="0.3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spans="1:26" ht="15.75" customHeight="1" x14ac:dyDescent="0.3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spans="1:26" ht="15.75" customHeight="1" x14ac:dyDescent="0.3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spans="1:26" ht="15.75" customHeight="1" x14ac:dyDescent="0.3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spans="1:26" ht="15.75" customHeight="1" x14ac:dyDescent="0.3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spans="1:26" ht="15.75" customHeight="1" x14ac:dyDescent="0.3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spans="1:26" ht="15.75" customHeight="1" x14ac:dyDescent="0.3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spans="1:26" ht="15.75" customHeight="1" x14ac:dyDescent="0.3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spans="1:26" ht="15.75" customHeight="1" x14ac:dyDescent="0.3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spans="1:26" ht="15.75" customHeight="1" x14ac:dyDescent="0.3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spans="1:26" ht="15.75" customHeight="1" x14ac:dyDescent="0.3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spans="1:26" ht="15.75" customHeight="1" x14ac:dyDescent="0.3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spans="1:26" ht="15.75" customHeight="1" x14ac:dyDescent="0.3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spans="1:26" ht="15.75" customHeight="1" x14ac:dyDescent="0.3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spans="1:26" ht="15.75" customHeight="1" x14ac:dyDescent="0.3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spans="1:26" ht="15.75" customHeight="1" x14ac:dyDescent="0.3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spans="1:26" ht="15.75" customHeight="1" x14ac:dyDescent="0.3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spans="1:26" ht="15.75" customHeight="1" x14ac:dyDescent="0.3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spans="1:26" ht="15.75" customHeight="1" x14ac:dyDescent="0.3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spans="1:26" ht="15.75" customHeight="1" x14ac:dyDescent="0.3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spans="1:26" ht="15.75" customHeight="1" x14ac:dyDescent="0.3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spans="1:26" ht="15.75" customHeight="1" x14ac:dyDescent="0.3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spans="1:26" ht="15.75" customHeight="1" x14ac:dyDescent="0.3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spans="1:26" ht="15.75" customHeight="1" x14ac:dyDescent="0.3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spans="1:26" ht="15.75" customHeight="1" x14ac:dyDescent="0.3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spans="1:26" ht="15.75" customHeight="1" x14ac:dyDescent="0.3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spans="1:26" ht="15.75" customHeight="1" x14ac:dyDescent="0.3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spans="1:26" ht="15.75" customHeight="1" x14ac:dyDescent="0.3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spans="1:26" ht="15.75" customHeight="1" x14ac:dyDescent="0.3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spans="1:26" ht="15.75" customHeight="1" x14ac:dyDescent="0.3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spans="1:26" ht="15.75" customHeight="1" x14ac:dyDescent="0.3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spans="1:26" ht="15.75" customHeight="1" x14ac:dyDescent="0.3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spans="1:26" ht="15.75" customHeight="1" x14ac:dyDescent="0.3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spans="1:26" ht="15.75" customHeight="1" x14ac:dyDescent="0.3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spans="1:26" ht="15.75" customHeight="1" x14ac:dyDescent="0.3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spans="1:26" ht="15.75" customHeight="1" x14ac:dyDescent="0.3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spans="1:26" ht="15.75" customHeight="1" x14ac:dyDescent="0.3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spans="1:26" ht="15.75" customHeight="1" x14ac:dyDescent="0.3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spans="1:26" ht="15.75" customHeight="1" x14ac:dyDescent="0.3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spans="1:26" ht="15.75" customHeight="1" x14ac:dyDescent="0.3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spans="1:26" ht="15.75" customHeight="1" x14ac:dyDescent="0.3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spans="1:26" ht="15.75" customHeight="1" x14ac:dyDescent="0.3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spans="1:26" ht="15.75" customHeight="1" x14ac:dyDescent="0.3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spans="1:26" ht="15.75" customHeight="1" x14ac:dyDescent="0.3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spans="1:26" ht="15.75" customHeight="1" x14ac:dyDescent="0.3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spans="1:26" ht="15.75" customHeight="1" x14ac:dyDescent="0.3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spans="1:26" ht="15.75" customHeight="1" x14ac:dyDescent="0.3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spans="1:26" ht="15.75" customHeight="1" x14ac:dyDescent="0.3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spans="1:26" ht="15.75" customHeight="1" x14ac:dyDescent="0.3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spans="1:26" ht="15.75" customHeight="1" x14ac:dyDescent="0.3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spans="1:26" ht="15.75" customHeight="1" x14ac:dyDescent="0.3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spans="1:26" ht="15.75" customHeight="1" x14ac:dyDescent="0.3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spans="1:26" ht="15.75" customHeight="1" x14ac:dyDescent="0.3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spans="1:26" ht="15.75" customHeight="1" x14ac:dyDescent="0.3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spans="1:26" ht="15.75" customHeight="1" x14ac:dyDescent="0.3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spans="1:26" ht="15.75" customHeight="1" x14ac:dyDescent="0.3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spans="1:26" ht="15.75" customHeight="1" x14ac:dyDescent="0.3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spans="1:26" ht="15.75" customHeight="1" x14ac:dyDescent="0.3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spans="1:26" ht="15.75" customHeight="1" x14ac:dyDescent="0.3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spans="1:26" ht="15.75" customHeight="1" x14ac:dyDescent="0.3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spans="1:26" ht="15.75" customHeight="1" x14ac:dyDescent="0.3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spans="1:26" ht="15.75" customHeight="1" x14ac:dyDescent="0.3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spans="1:26" ht="15.75" customHeight="1" x14ac:dyDescent="0.3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spans="1:26" ht="15.75" customHeight="1" x14ac:dyDescent="0.3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spans="1:26" ht="15.75" customHeight="1" x14ac:dyDescent="0.3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spans="1:26" ht="15.75" customHeight="1" x14ac:dyDescent="0.3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spans="1:26" ht="15.75" customHeight="1" x14ac:dyDescent="0.3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spans="1:26" ht="15.75" customHeight="1" x14ac:dyDescent="0.3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spans="1:26" ht="15.75" customHeight="1" x14ac:dyDescent="0.3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spans="1:26" ht="15.75" customHeight="1" x14ac:dyDescent="0.3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spans="1:26" ht="15.75" customHeight="1" x14ac:dyDescent="0.3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spans="1:26" ht="15.75" customHeight="1" x14ac:dyDescent="0.3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spans="1:26" ht="15.75" customHeight="1" x14ac:dyDescent="0.3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spans="1:26" ht="15.75" customHeight="1" x14ac:dyDescent="0.3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spans="1:26" ht="15.75" customHeight="1" x14ac:dyDescent="0.3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spans="1:26" ht="15.75" customHeight="1" x14ac:dyDescent="0.3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spans="1:26" ht="15.75" customHeight="1" x14ac:dyDescent="0.3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spans="1:26" ht="15.75" customHeight="1" x14ac:dyDescent="0.3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spans="1:26" ht="15.75" customHeight="1" x14ac:dyDescent="0.3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spans="1:26" ht="15.75" customHeight="1" x14ac:dyDescent="0.3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spans="1:26" ht="15.75" customHeight="1" x14ac:dyDescent="0.3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spans="1:26" ht="15.75" customHeight="1" x14ac:dyDescent="0.3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spans="1:26" ht="15.75" customHeight="1" x14ac:dyDescent="0.3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spans="1:26" ht="15.75" customHeight="1" x14ac:dyDescent="0.3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spans="1:26" ht="15.75" customHeight="1" x14ac:dyDescent="0.3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spans="1:26" ht="15.75" customHeight="1" x14ac:dyDescent="0.3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spans="1:26" ht="15.75" customHeight="1" x14ac:dyDescent="0.3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spans="1:26" ht="15.75" customHeight="1" x14ac:dyDescent="0.3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spans="1:26" ht="15.75" customHeight="1" x14ac:dyDescent="0.3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spans="1:26" ht="15.75" customHeight="1" x14ac:dyDescent="0.3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spans="1:26" ht="15.75" customHeight="1" x14ac:dyDescent="0.3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spans="1:26" ht="15.75" customHeight="1" x14ac:dyDescent="0.3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spans="1:26" ht="15.75" customHeight="1" x14ac:dyDescent="0.3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spans="1:26" ht="15.75" customHeight="1" x14ac:dyDescent="0.3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spans="1:26" ht="15.75" customHeight="1" x14ac:dyDescent="0.3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spans="1:26" ht="15.75" customHeight="1" x14ac:dyDescent="0.3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spans="1:26" ht="15.75" customHeight="1" x14ac:dyDescent="0.3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spans="1:26" ht="15.75" customHeight="1" x14ac:dyDescent="0.3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spans="1:26" ht="15.75" customHeight="1" x14ac:dyDescent="0.3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spans="1:26" ht="15.75" customHeight="1" x14ac:dyDescent="0.3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spans="1:26" ht="15.75" customHeight="1" x14ac:dyDescent="0.3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spans="1:26" ht="15.75" customHeight="1" x14ac:dyDescent="0.3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spans="1:26" ht="15.75" customHeight="1" x14ac:dyDescent="0.3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spans="1:26" ht="15.75" customHeight="1" x14ac:dyDescent="0.3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spans="1:26" ht="15.75" customHeight="1" x14ac:dyDescent="0.3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spans="1:26" ht="15.75" customHeight="1" x14ac:dyDescent="0.3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spans="1:26" ht="15.75" customHeight="1" x14ac:dyDescent="0.3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spans="1:26" ht="15.75" customHeight="1" x14ac:dyDescent="0.3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spans="1:26" ht="15.75" customHeight="1" x14ac:dyDescent="0.3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spans="1:26" ht="15.75" customHeight="1" x14ac:dyDescent="0.3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spans="1:26" ht="15.75" customHeight="1" x14ac:dyDescent="0.3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spans="1:26" ht="15.75" customHeight="1" x14ac:dyDescent="0.3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spans="1:26" ht="15.75" customHeight="1" x14ac:dyDescent="0.3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spans="1:26" ht="15.75" customHeight="1" x14ac:dyDescent="0.3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spans="1:26" ht="15.75" customHeight="1" x14ac:dyDescent="0.3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spans="1:26" ht="15.75" customHeight="1" x14ac:dyDescent="0.3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spans="1:26" ht="15.75" customHeight="1" x14ac:dyDescent="0.3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spans="1:26" ht="15.75" customHeight="1" x14ac:dyDescent="0.3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spans="1:26" ht="15.75" customHeight="1" x14ac:dyDescent="0.3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spans="1:26" ht="15.75" customHeight="1" x14ac:dyDescent="0.3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spans="1:26" ht="15.75" customHeight="1" x14ac:dyDescent="0.3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spans="1:26" ht="15.75" customHeight="1" x14ac:dyDescent="0.3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spans="1:26" ht="15.75" customHeight="1" x14ac:dyDescent="0.3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spans="1:26" ht="15.75" customHeight="1" x14ac:dyDescent="0.3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spans="1:26" ht="15.75" customHeight="1" x14ac:dyDescent="0.3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spans="1:26" ht="15.75" customHeight="1" x14ac:dyDescent="0.3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spans="1:26" ht="15.75" customHeight="1" x14ac:dyDescent="0.3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spans="1:26" ht="15.75" customHeight="1" x14ac:dyDescent="0.3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spans="1:26" ht="15.75" customHeight="1" x14ac:dyDescent="0.3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spans="1:26" ht="15.75" customHeight="1" x14ac:dyDescent="0.3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spans="1:26" ht="15.75" customHeight="1" x14ac:dyDescent="0.3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spans="1:26" ht="15.75" customHeight="1" x14ac:dyDescent="0.3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spans="1:26" ht="15.75" customHeight="1" x14ac:dyDescent="0.3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spans="1:26" ht="15.75" customHeight="1" x14ac:dyDescent="0.3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spans="1:26" ht="15.75" customHeight="1" x14ac:dyDescent="0.3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spans="1:26" ht="15.75" customHeight="1" x14ac:dyDescent="0.3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spans="1:26" ht="15.75" customHeight="1" x14ac:dyDescent="0.3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spans="1:26" ht="15.75" customHeight="1" x14ac:dyDescent="0.3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spans="1:26" ht="15.75" customHeight="1" x14ac:dyDescent="0.3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spans="1:26" ht="15.75" customHeight="1" x14ac:dyDescent="0.3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spans="1:26" ht="15.75" customHeight="1" x14ac:dyDescent="0.3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spans="1:26" ht="15.75" customHeight="1" x14ac:dyDescent="0.3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spans="1:26" ht="15.75" customHeight="1" x14ac:dyDescent="0.3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spans="1:26" ht="15.75" customHeight="1" x14ac:dyDescent="0.3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spans="1:26" ht="15.75" customHeight="1" x14ac:dyDescent="0.3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spans="1:26" ht="15.75" customHeight="1" x14ac:dyDescent="0.3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spans="1:26" ht="15.75" customHeight="1" x14ac:dyDescent="0.3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spans="1:26" ht="15.75" customHeight="1" x14ac:dyDescent="0.3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spans="1:26" ht="15.75" customHeight="1" x14ac:dyDescent="0.3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spans="1:26" ht="15.75" customHeight="1" x14ac:dyDescent="0.3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spans="1:26" ht="15.75" customHeight="1" x14ac:dyDescent="0.3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spans="1:26" ht="15.75" customHeight="1" x14ac:dyDescent="0.3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spans="1:26" ht="15.75" customHeight="1" x14ac:dyDescent="0.3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spans="1:26" ht="15.75" customHeight="1" x14ac:dyDescent="0.3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spans="1:26" ht="15.75" customHeight="1" x14ac:dyDescent="0.3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spans="1:26" ht="15.75" customHeight="1" x14ac:dyDescent="0.3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spans="1:26" ht="15.75" customHeight="1" x14ac:dyDescent="0.3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spans="1:26" ht="15.75" customHeight="1" x14ac:dyDescent="0.3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spans="1:26" ht="15.75" customHeight="1" x14ac:dyDescent="0.3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spans="1:26" ht="15.75" customHeight="1" x14ac:dyDescent="0.3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spans="1:26" ht="15.75" customHeight="1" x14ac:dyDescent="0.3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spans="1:26" ht="15.75" customHeight="1" x14ac:dyDescent="0.3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spans="1:26" ht="15.75" customHeight="1" x14ac:dyDescent="0.3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spans="1:26" ht="15.75" customHeight="1" x14ac:dyDescent="0.3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spans="1:26" ht="15.75" customHeight="1" x14ac:dyDescent="0.3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spans="1:26" ht="15.75" customHeight="1" x14ac:dyDescent="0.3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spans="1:26" ht="15.75" customHeight="1" x14ac:dyDescent="0.3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spans="1:26" ht="15.75" customHeight="1" x14ac:dyDescent="0.3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spans="1:26" ht="15.75" customHeight="1" x14ac:dyDescent="0.3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spans="1:26" ht="15.75" customHeight="1" x14ac:dyDescent="0.3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spans="1:26" ht="15.75" customHeight="1" x14ac:dyDescent="0.3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spans="1:26" ht="15.75" customHeight="1" x14ac:dyDescent="0.3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spans="1:26" ht="15.75" customHeight="1" x14ac:dyDescent="0.3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spans="1:26" ht="15.75" customHeight="1" x14ac:dyDescent="0.3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spans="1:26" ht="15.75" customHeight="1" x14ac:dyDescent="0.3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spans="1:26" ht="15.75" customHeight="1" x14ac:dyDescent="0.3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spans="1:26" ht="15.75" customHeight="1" x14ac:dyDescent="0.3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spans="1:26" ht="15.75" customHeight="1" x14ac:dyDescent="0.3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spans="1:26" ht="15.75" customHeight="1" x14ac:dyDescent="0.3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spans="1:26" ht="15.75" customHeight="1" x14ac:dyDescent="0.3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spans="1:26" ht="15.75" customHeight="1" x14ac:dyDescent="0.3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spans="1:26" ht="15.75" customHeight="1" x14ac:dyDescent="0.3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spans="1:26" ht="15.75" customHeight="1" x14ac:dyDescent="0.3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spans="1:26" ht="15.75" customHeight="1" x14ac:dyDescent="0.3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spans="1:26" ht="15.75" customHeight="1" x14ac:dyDescent="0.3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spans="1:26" ht="15.75" customHeight="1" x14ac:dyDescent="0.3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spans="1:26" ht="15.75" customHeight="1" x14ac:dyDescent="0.3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spans="1:26" ht="15.75" customHeight="1" x14ac:dyDescent="0.3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spans="1:26" ht="15.75" customHeight="1" x14ac:dyDescent="0.3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spans="1:26" ht="15.75" customHeight="1" x14ac:dyDescent="0.3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spans="1:26" ht="15.75" customHeight="1" x14ac:dyDescent="0.3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spans="1:26" ht="15.75" customHeight="1" x14ac:dyDescent="0.3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spans="1:26" ht="15.75" customHeight="1" x14ac:dyDescent="0.3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spans="1:26" ht="15.75" customHeight="1" x14ac:dyDescent="0.3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spans="1:26" ht="15.75" customHeight="1" x14ac:dyDescent="0.3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spans="1:26" ht="15.75" customHeight="1" x14ac:dyDescent="0.3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spans="1:26" ht="15.75" customHeight="1" x14ac:dyDescent="0.3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spans="1:26" ht="15.75" customHeight="1" x14ac:dyDescent="0.3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spans="1:26" ht="15.75" customHeight="1" x14ac:dyDescent="0.3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spans="1:26" ht="15.75" customHeight="1" x14ac:dyDescent="0.3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spans="1:26" ht="15.75" customHeight="1" x14ac:dyDescent="0.3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spans="1:26" ht="15.75" customHeight="1" x14ac:dyDescent="0.3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spans="1:26" ht="15.75" customHeight="1" x14ac:dyDescent="0.3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spans="1:26" ht="15.75" customHeight="1" x14ac:dyDescent="0.3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spans="1:26" ht="15.75" customHeight="1" x14ac:dyDescent="0.3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spans="1:26" ht="15.75" customHeight="1" x14ac:dyDescent="0.3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spans="1:26" ht="15.75" customHeight="1" x14ac:dyDescent="0.3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spans="1:26" ht="15.75" customHeight="1" x14ac:dyDescent="0.3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spans="1:26" ht="15.75" customHeight="1" x14ac:dyDescent="0.3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spans="1:26" ht="15.75" customHeight="1" x14ac:dyDescent="0.3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spans="1:26" ht="15.75" customHeight="1" x14ac:dyDescent="0.3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spans="1:26" ht="15.75" customHeight="1" x14ac:dyDescent="0.3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spans="1:26" ht="15.75" customHeight="1" x14ac:dyDescent="0.3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spans="1:26" ht="15.75" customHeight="1" x14ac:dyDescent="0.3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spans="1:26" ht="15.75" customHeight="1" x14ac:dyDescent="0.3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spans="1:26" ht="15.75" customHeight="1" x14ac:dyDescent="0.3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spans="1:26" ht="15.75" customHeight="1" x14ac:dyDescent="0.3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spans="1:26" ht="15.75" customHeight="1" x14ac:dyDescent="0.3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spans="1:26" ht="15.75" customHeight="1" x14ac:dyDescent="0.3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spans="1:26" ht="15.75" customHeight="1" x14ac:dyDescent="0.3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spans="1:26" ht="15.75" customHeight="1" x14ac:dyDescent="0.3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spans="1:26" ht="15.75" customHeight="1" x14ac:dyDescent="0.3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spans="1:26" ht="15.75" customHeight="1" x14ac:dyDescent="0.3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spans="1:26" ht="15.75" customHeight="1" x14ac:dyDescent="0.3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spans="1:26" ht="15.75" customHeight="1" x14ac:dyDescent="0.3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spans="1:26" ht="15.75" customHeight="1" x14ac:dyDescent="0.3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spans="1:26" ht="15.75" customHeight="1" x14ac:dyDescent="0.3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spans="1:26" ht="15.75" customHeight="1" x14ac:dyDescent="0.3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spans="1:26" ht="15.75" customHeight="1" x14ac:dyDescent="0.3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spans="1:26" ht="15.75" customHeight="1" x14ac:dyDescent="0.3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spans="1:26" ht="15.75" customHeight="1" x14ac:dyDescent="0.3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spans="1:26" ht="15.75" customHeight="1" x14ac:dyDescent="0.3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spans="1:26" ht="15.75" customHeight="1" x14ac:dyDescent="0.3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spans="1:26" ht="15.75" customHeight="1" x14ac:dyDescent="0.3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spans="1:26" ht="15.75" customHeight="1" x14ac:dyDescent="0.3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spans="1:26" ht="15.75" customHeight="1" x14ac:dyDescent="0.3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spans="1:26" ht="15.75" customHeight="1" x14ac:dyDescent="0.3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spans="1:26" ht="15.75" customHeight="1" x14ac:dyDescent="0.3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spans="1:26" ht="15.75" customHeight="1" x14ac:dyDescent="0.3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spans="1:26" ht="15.75" customHeight="1" x14ac:dyDescent="0.3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spans="1:26" ht="15.75" customHeight="1" x14ac:dyDescent="0.3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spans="1:26" ht="15.75" customHeight="1" x14ac:dyDescent="0.3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spans="1:26" ht="15.75" customHeight="1" x14ac:dyDescent="0.3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spans="1:26" ht="15.75" customHeight="1" x14ac:dyDescent="0.3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spans="1:26" ht="15.75" customHeight="1" x14ac:dyDescent="0.3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spans="1:26" ht="15.75" customHeight="1" x14ac:dyDescent="0.3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spans="1:26" ht="15.75" customHeight="1" x14ac:dyDescent="0.3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spans="1:26" ht="15.75" customHeight="1" x14ac:dyDescent="0.3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spans="1:26" ht="15.75" customHeight="1" x14ac:dyDescent="0.3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spans="1:26" ht="15.75" customHeight="1" x14ac:dyDescent="0.3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spans="1:26" ht="15.75" customHeight="1" x14ac:dyDescent="0.3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spans="1:26" ht="15.75" customHeight="1" x14ac:dyDescent="0.3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spans="1:26" ht="15.75" customHeight="1" x14ac:dyDescent="0.3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spans="1:26" ht="15.75" customHeight="1" x14ac:dyDescent="0.3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spans="1:26" ht="15.75" customHeight="1" x14ac:dyDescent="0.3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spans="1:26" ht="15.75" customHeight="1" x14ac:dyDescent="0.3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spans="1:26" ht="15.75" customHeight="1" x14ac:dyDescent="0.3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spans="1:26" ht="15.75" customHeight="1" x14ac:dyDescent="0.3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spans="1:26" ht="15.75" customHeight="1" x14ac:dyDescent="0.3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spans="1:26" ht="15.75" customHeight="1" x14ac:dyDescent="0.3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spans="1:26" ht="15.75" customHeight="1" x14ac:dyDescent="0.3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spans="1:26" ht="15.75" customHeight="1" x14ac:dyDescent="0.3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spans="1:26" ht="15.75" customHeight="1" x14ac:dyDescent="0.3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spans="1:26" ht="15.75" customHeight="1" x14ac:dyDescent="0.3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spans="1:26" ht="15.75" customHeight="1" x14ac:dyDescent="0.3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spans="1:26" ht="15.75" customHeight="1" x14ac:dyDescent="0.3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spans="1:26" ht="15.75" customHeight="1" x14ac:dyDescent="0.3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spans="1:26" ht="15.75" customHeight="1" x14ac:dyDescent="0.3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spans="1:26" ht="15.75" customHeight="1" x14ac:dyDescent="0.3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spans="1:26" ht="15.75" customHeight="1" x14ac:dyDescent="0.3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spans="1:26" ht="15.75" customHeight="1" x14ac:dyDescent="0.3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spans="1:26" ht="15.75" customHeight="1" x14ac:dyDescent="0.3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spans="1:26" ht="15.75" customHeight="1" x14ac:dyDescent="0.3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spans="1:26" ht="15.75" customHeight="1" x14ac:dyDescent="0.3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spans="1:26" ht="15.75" customHeight="1" x14ac:dyDescent="0.3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spans="1:26" ht="15.75" customHeight="1" x14ac:dyDescent="0.3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spans="1:26" ht="15.75" customHeight="1" x14ac:dyDescent="0.3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spans="1:26" ht="15.75" customHeight="1" x14ac:dyDescent="0.3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spans="1:26" ht="15.75" customHeight="1" x14ac:dyDescent="0.3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spans="1:26" ht="15.75" customHeight="1" x14ac:dyDescent="0.3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spans="1:26" ht="15.75" customHeight="1" x14ac:dyDescent="0.3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spans="1:26" ht="15.75" customHeight="1" x14ac:dyDescent="0.3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spans="1:26" ht="15.75" customHeight="1" x14ac:dyDescent="0.3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spans="1:26" ht="15.75" customHeight="1" x14ac:dyDescent="0.3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spans="1:26" ht="15.75" customHeight="1" x14ac:dyDescent="0.3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spans="1:26" ht="15.75" customHeight="1" x14ac:dyDescent="0.3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spans="1:26" ht="15.75" customHeight="1" x14ac:dyDescent="0.3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spans="1:26" ht="15.75" customHeight="1" x14ac:dyDescent="0.3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spans="1:26" ht="15.75" customHeight="1" x14ac:dyDescent="0.3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spans="1:26" ht="15.75" customHeight="1" x14ac:dyDescent="0.3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spans="1:26" ht="15.75" customHeight="1" x14ac:dyDescent="0.3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spans="1:26" ht="15.75" customHeight="1" x14ac:dyDescent="0.3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spans="1:26" ht="15.75" customHeight="1" x14ac:dyDescent="0.3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spans="1:26" ht="15.75" customHeight="1" x14ac:dyDescent="0.3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spans="1:26" ht="15.75" customHeight="1" x14ac:dyDescent="0.3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spans="1:26" ht="15.75" customHeight="1" x14ac:dyDescent="0.3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spans="1:26" ht="15.75" customHeight="1" x14ac:dyDescent="0.3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spans="1:26" ht="15.75" customHeight="1" x14ac:dyDescent="0.3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spans="1:26" ht="15.75" customHeight="1" x14ac:dyDescent="0.3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spans="1:26" ht="15.75" customHeight="1" x14ac:dyDescent="0.3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spans="1:26" ht="15.75" customHeight="1" x14ac:dyDescent="0.3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spans="1:26" ht="15.75" customHeight="1" x14ac:dyDescent="0.3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spans="1:26" ht="15.75" customHeight="1" x14ac:dyDescent="0.3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spans="1:26" ht="15.75" customHeight="1" x14ac:dyDescent="0.3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spans="1:26" ht="15.75" customHeight="1" x14ac:dyDescent="0.3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spans="1:26" ht="15.75" customHeight="1" x14ac:dyDescent="0.3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spans="1:26" ht="15.75" customHeight="1" x14ac:dyDescent="0.3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spans="1:26" ht="15.75" customHeight="1" x14ac:dyDescent="0.3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spans="1:26" ht="15.75" customHeight="1" x14ac:dyDescent="0.3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spans="1:26" ht="15.75" customHeight="1" x14ac:dyDescent="0.3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spans="1:26" ht="15.75" customHeight="1" x14ac:dyDescent="0.3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spans="1:26" ht="15.75" customHeight="1" x14ac:dyDescent="0.3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spans="1:26" ht="15.75" customHeight="1" x14ac:dyDescent="0.3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spans="1:26" ht="15.75" customHeight="1" x14ac:dyDescent="0.3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spans="1:26" ht="15.75" customHeight="1" x14ac:dyDescent="0.3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spans="1:26" ht="15.75" customHeight="1" x14ac:dyDescent="0.3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spans="1:26" ht="15.75" customHeight="1" x14ac:dyDescent="0.3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spans="1:26" ht="15.75" customHeight="1" x14ac:dyDescent="0.3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spans="1:26" ht="15.75" customHeight="1" x14ac:dyDescent="0.3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spans="1:26" ht="15.75" customHeight="1" x14ac:dyDescent="0.3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spans="1:26" ht="15.75" customHeight="1" x14ac:dyDescent="0.3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spans="1:26" ht="15.75" customHeight="1" x14ac:dyDescent="0.3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spans="1:26" ht="15.75" customHeight="1" x14ac:dyDescent="0.3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spans="1:26" ht="15.75" customHeight="1" x14ac:dyDescent="0.3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spans="1:26" ht="15.75" customHeight="1" x14ac:dyDescent="0.3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spans="1:26" ht="15.75" customHeight="1" x14ac:dyDescent="0.3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spans="1:26" ht="15.75" customHeight="1" x14ac:dyDescent="0.3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spans="1:26" ht="15.75" customHeight="1" x14ac:dyDescent="0.3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spans="1:26" ht="15.75" customHeight="1" x14ac:dyDescent="0.3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spans="1:26" ht="15.75" customHeight="1" x14ac:dyDescent="0.3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spans="1:26" ht="15.75" customHeight="1" x14ac:dyDescent="0.3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spans="1:26" ht="15.75" customHeight="1" x14ac:dyDescent="0.3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spans="1:26" ht="15.75" customHeight="1" x14ac:dyDescent="0.3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spans="1:26" ht="15.75" customHeight="1" x14ac:dyDescent="0.3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spans="1:26" ht="15.75" customHeight="1" x14ac:dyDescent="0.3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spans="1:26" ht="15.75" customHeight="1" x14ac:dyDescent="0.3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spans="1:26" ht="15.75" customHeight="1" x14ac:dyDescent="0.3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spans="1:26" ht="15.75" customHeight="1" x14ac:dyDescent="0.3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spans="1:26" ht="15.75" customHeight="1" x14ac:dyDescent="0.3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spans="1:26" ht="15.75" customHeight="1" x14ac:dyDescent="0.3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spans="1:26" ht="15.75" customHeight="1" x14ac:dyDescent="0.3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spans="1:26" ht="15.75" customHeight="1" x14ac:dyDescent="0.3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spans="1:26" ht="15.75" customHeight="1" x14ac:dyDescent="0.3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spans="1:26" ht="15.75" customHeight="1" x14ac:dyDescent="0.3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spans="1:26" ht="15.75" customHeight="1" x14ac:dyDescent="0.3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spans="1:26" ht="15.75" customHeight="1" x14ac:dyDescent="0.3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spans="1:26" ht="15.75" customHeight="1" x14ac:dyDescent="0.3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spans="1:26" ht="15.75" customHeight="1" x14ac:dyDescent="0.3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spans="1:26" ht="15.75" customHeight="1" x14ac:dyDescent="0.3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spans="1:26" ht="15.75" customHeight="1" x14ac:dyDescent="0.3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spans="1:26" ht="15.75" customHeight="1" x14ac:dyDescent="0.3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spans="1:26" ht="15.75" customHeight="1" x14ac:dyDescent="0.3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spans="1:26" ht="15.75" customHeight="1" x14ac:dyDescent="0.3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spans="1:26" ht="15.75" customHeight="1" x14ac:dyDescent="0.3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spans="1:26" ht="15.75" customHeight="1" x14ac:dyDescent="0.3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spans="1:26" ht="15.75" customHeight="1" x14ac:dyDescent="0.3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spans="1:26" ht="15.75" customHeight="1" x14ac:dyDescent="0.3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spans="1:26" ht="15.75" customHeight="1" x14ac:dyDescent="0.3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spans="1:26" ht="15.75" customHeight="1" x14ac:dyDescent="0.3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spans="1:26" ht="15.75" customHeight="1" x14ac:dyDescent="0.3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spans="1:26" ht="15.75" customHeight="1" x14ac:dyDescent="0.3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spans="1:26" ht="15.75" customHeight="1" x14ac:dyDescent="0.3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spans="1:26" ht="15.75" customHeight="1" x14ac:dyDescent="0.3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spans="1:26" ht="15.75" customHeight="1" x14ac:dyDescent="0.3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spans="1:26" ht="15.75" customHeight="1" x14ac:dyDescent="0.3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spans="1:26" ht="15.75" customHeight="1" x14ac:dyDescent="0.3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spans="1:26" ht="15.75" customHeight="1" x14ac:dyDescent="0.3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spans="1:26" ht="15.75" customHeight="1" x14ac:dyDescent="0.3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spans="1:26" ht="15.75" customHeight="1" x14ac:dyDescent="0.3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spans="1:26" ht="15.75" customHeight="1" x14ac:dyDescent="0.3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spans="1:26" ht="15.75" customHeight="1" x14ac:dyDescent="0.3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spans="1:26" ht="15.75" customHeight="1" x14ac:dyDescent="0.3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spans="1:26" ht="15.75" customHeight="1" x14ac:dyDescent="0.3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spans="1:26" ht="15.75" customHeight="1" x14ac:dyDescent="0.3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spans="1:26" ht="15.75" customHeight="1" x14ac:dyDescent="0.3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spans="1:26" ht="15.75" customHeight="1" x14ac:dyDescent="0.3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spans="1:26" ht="15.75" customHeight="1" x14ac:dyDescent="0.3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spans="1:26" ht="15.75" customHeight="1" x14ac:dyDescent="0.3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spans="1:26" ht="15.75" customHeight="1" x14ac:dyDescent="0.3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spans="1:26" ht="15.75" customHeight="1" x14ac:dyDescent="0.3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spans="1:26" ht="15.75" customHeight="1" x14ac:dyDescent="0.3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spans="1:26" ht="15.75" customHeight="1" x14ac:dyDescent="0.3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spans="1:26" ht="15.75" customHeight="1" x14ac:dyDescent="0.3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spans="1:26" ht="15.75" customHeight="1" x14ac:dyDescent="0.3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spans="1:26" ht="15.75" customHeight="1" x14ac:dyDescent="0.3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spans="1:26" ht="15.75" customHeight="1" x14ac:dyDescent="0.3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spans="1:26" ht="15.75" customHeight="1" x14ac:dyDescent="0.3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spans="1:26" ht="15.75" customHeight="1" x14ac:dyDescent="0.3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spans="1:26" ht="15.75" customHeight="1" x14ac:dyDescent="0.3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spans="1:26" ht="15.75" customHeight="1" x14ac:dyDescent="0.3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spans="1:26" ht="15.75" customHeight="1" x14ac:dyDescent="0.3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spans="1:26" ht="15.75" customHeight="1" x14ac:dyDescent="0.3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spans="1:26" ht="15.75" customHeight="1" x14ac:dyDescent="0.3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spans="1:26" ht="15.75" customHeight="1" x14ac:dyDescent="0.3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spans="1:26" ht="15.75" customHeight="1" x14ac:dyDescent="0.3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spans="1:26" ht="15.75" customHeight="1" x14ac:dyDescent="0.3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spans="1:26" ht="15.75" customHeight="1" x14ac:dyDescent="0.3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spans="1:26" ht="15.75" customHeight="1" x14ac:dyDescent="0.3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spans="1:26" ht="15.75" customHeight="1" x14ac:dyDescent="0.3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spans="1:26" ht="15.75" customHeight="1" x14ac:dyDescent="0.3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spans="1:26" ht="15.75" customHeight="1" x14ac:dyDescent="0.3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spans="1:26" ht="15.75" customHeight="1" x14ac:dyDescent="0.3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spans="1:26" ht="15.75" customHeight="1" x14ac:dyDescent="0.3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spans="1:26" ht="15.75" customHeight="1" x14ac:dyDescent="0.3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spans="1:26" ht="15.75" customHeight="1" x14ac:dyDescent="0.3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spans="1:26" ht="15.75" customHeight="1" x14ac:dyDescent="0.3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spans="1:26" ht="15.75" customHeight="1" x14ac:dyDescent="0.3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spans="1:26" ht="15.75" customHeight="1" x14ac:dyDescent="0.3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spans="1:26" ht="15.75" customHeight="1" x14ac:dyDescent="0.3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spans="1:26" ht="15.75" customHeight="1" x14ac:dyDescent="0.3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spans="1:26" ht="15.75" customHeight="1" x14ac:dyDescent="0.3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spans="1:26" ht="15.75" customHeight="1" x14ac:dyDescent="0.3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spans="1:26" ht="15.75" customHeight="1" x14ac:dyDescent="0.3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spans="1:26" ht="15.75" customHeight="1" x14ac:dyDescent="0.3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spans="1:26" ht="15.75" customHeight="1" x14ac:dyDescent="0.3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spans="1:26" ht="15.75" customHeight="1" x14ac:dyDescent="0.3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spans="1:26" ht="15.75" customHeight="1" x14ac:dyDescent="0.3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spans="1:26" ht="15.75" customHeight="1" x14ac:dyDescent="0.3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spans="1:26" ht="15.75" customHeight="1" x14ac:dyDescent="0.3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spans="1:26" ht="15.75" customHeight="1" x14ac:dyDescent="0.3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spans="1:26" ht="15.75" customHeight="1" x14ac:dyDescent="0.3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spans="1:26" ht="15.75" customHeight="1" x14ac:dyDescent="0.3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spans="1:26" ht="15.75" customHeight="1" x14ac:dyDescent="0.3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spans="1:26" ht="15.75" customHeight="1" x14ac:dyDescent="0.3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spans="1:26" ht="15.75" customHeight="1" x14ac:dyDescent="0.3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spans="1:26" ht="15.75" customHeight="1" x14ac:dyDescent="0.3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spans="1:26" ht="15.75" customHeight="1" x14ac:dyDescent="0.3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spans="1:26" ht="15.75" customHeight="1" x14ac:dyDescent="0.3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spans="1:26" ht="15.75" customHeight="1" x14ac:dyDescent="0.3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spans="1:26" ht="15.75" customHeight="1" x14ac:dyDescent="0.3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spans="1:26" ht="15.75" customHeight="1" x14ac:dyDescent="0.3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spans="1:26" ht="15.75" customHeight="1" x14ac:dyDescent="0.3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spans="1:26" ht="15.75" customHeight="1" x14ac:dyDescent="0.3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spans="1:26" ht="15.75" customHeight="1" x14ac:dyDescent="0.3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spans="1:26" ht="15.75" customHeight="1" x14ac:dyDescent="0.3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spans="1:26" ht="15.75" customHeight="1" x14ac:dyDescent="0.3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spans="1:26" ht="15.75" customHeight="1" x14ac:dyDescent="0.3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spans="1:26" ht="15.75" customHeight="1" x14ac:dyDescent="0.3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spans="1:26" ht="15.75" customHeight="1" x14ac:dyDescent="0.3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spans="1:26" ht="15.75" customHeight="1" x14ac:dyDescent="0.3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spans="1:26" ht="15.75" customHeight="1" x14ac:dyDescent="0.3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spans="1:26" ht="15.75" customHeight="1" x14ac:dyDescent="0.3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spans="1:26" ht="15.75" customHeight="1" x14ac:dyDescent="0.3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spans="1:26" ht="15.75" customHeight="1" x14ac:dyDescent="0.3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spans="1:26" ht="15.75" customHeight="1" x14ac:dyDescent="0.3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spans="1:26" ht="15.75" customHeight="1" x14ac:dyDescent="0.3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spans="1:26" ht="15.75" customHeight="1" x14ac:dyDescent="0.3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spans="1:26" ht="15.75" customHeight="1" x14ac:dyDescent="0.3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spans="1:26" ht="15.75" customHeight="1" x14ac:dyDescent="0.3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spans="1:26" ht="15.75" customHeight="1" x14ac:dyDescent="0.3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spans="1:26" ht="15.75" customHeight="1" x14ac:dyDescent="0.3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spans="1:26" ht="15.75" customHeight="1" x14ac:dyDescent="0.3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spans="1:26" ht="15.75" customHeight="1" x14ac:dyDescent="0.3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spans="1:26" ht="15.75" customHeight="1" x14ac:dyDescent="0.3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spans="1:26" ht="15.75" customHeight="1" x14ac:dyDescent="0.3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spans="1:26" ht="15.75" customHeight="1" x14ac:dyDescent="0.3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spans="1:26" ht="15.75" customHeight="1" x14ac:dyDescent="0.3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spans="1:26" ht="15.75" customHeight="1" x14ac:dyDescent="0.3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spans="1:26" ht="15.75" customHeight="1" x14ac:dyDescent="0.3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spans="1:26" ht="15.75" customHeight="1" x14ac:dyDescent="0.3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spans="1:26" ht="15.75" customHeight="1" x14ac:dyDescent="0.3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spans="1:26" ht="15.75" customHeight="1" x14ac:dyDescent="0.3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spans="1:26" ht="15.75" customHeight="1" x14ac:dyDescent="0.3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spans="1:26" ht="15.75" customHeight="1" x14ac:dyDescent="0.3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spans="1:26" ht="15.75" customHeight="1" x14ac:dyDescent="0.3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spans="1:26" ht="15.75" customHeight="1" x14ac:dyDescent="0.3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spans="1:26" ht="15.75" customHeight="1" x14ac:dyDescent="0.3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spans="1:26" ht="15.75" customHeight="1" x14ac:dyDescent="0.3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spans="1:26" ht="15.75" customHeight="1" x14ac:dyDescent="0.3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spans="1:26" ht="15.75" customHeight="1" x14ac:dyDescent="0.3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spans="1:26" ht="15.75" customHeight="1" x14ac:dyDescent="0.3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spans="1:26" ht="15.75" customHeight="1" x14ac:dyDescent="0.3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spans="1:26" ht="15.75" customHeight="1" x14ac:dyDescent="0.3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spans="1:26" ht="15.75" customHeight="1" x14ac:dyDescent="0.3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spans="1:26" ht="15.75" customHeight="1" x14ac:dyDescent="0.3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spans="1:26" ht="15.75" customHeight="1" x14ac:dyDescent="0.3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spans="1:26" ht="15.75" customHeight="1" x14ac:dyDescent="0.3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spans="1:26" ht="15.75" customHeight="1" x14ac:dyDescent="0.3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spans="1:26" ht="15.75" customHeight="1" x14ac:dyDescent="0.3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spans="1:26" ht="15.75" customHeight="1" x14ac:dyDescent="0.3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spans="1:26" ht="15.75" customHeight="1" x14ac:dyDescent="0.3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spans="1:26" ht="15.75" customHeight="1" x14ac:dyDescent="0.3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spans="1:26" ht="15.75" customHeight="1" x14ac:dyDescent="0.3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spans="1:26" ht="15.75" customHeight="1" x14ac:dyDescent="0.3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spans="1:26" ht="15.75" customHeight="1" x14ac:dyDescent="0.3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spans="1:26" ht="15.75" customHeight="1" x14ac:dyDescent="0.3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spans="1:26" ht="15.75" customHeight="1" x14ac:dyDescent="0.3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spans="1:26" ht="15.75" customHeight="1" x14ac:dyDescent="0.3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spans="1:26" ht="15.75" customHeight="1" x14ac:dyDescent="0.3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spans="1:26" ht="15.75" customHeight="1" x14ac:dyDescent="0.3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spans="1:26" ht="15.75" customHeight="1" x14ac:dyDescent="0.3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spans="1:26" ht="15.75" customHeight="1" x14ac:dyDescent="0.3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spans="1:26" ht="15.75" customHeight="1" x14ac:dyDescent="0.3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spans="1:26" ht="15.75" customHeight="1" x14ac:dyDescent="0.3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spans="1:26" ht="15.75" customHeight="1" x14ac:dyDescent="0.3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spans="1:26" ht="15.75" customHeight="1" x14ac:dyDescent="0.3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spans="1:26" ht="15.75" customHeight="1" x14ac:dyDescent="0.3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spans="1:26" ht="15.75" customHeight="1" x14ac:dyDescent="0.3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spans="1:26" ht="15.75" customHeight="1" x14ac:dyDescent="0.3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spans="1:26" ht="15.75" customHeight="1" x14ac:dyDescent="0.3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spans="1:26" ht="15.75" customHeight="1" x14ac:dyDescent="0.3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spans="1:26" ht="15.75" customHeight="1" x14ac:dyDescent="0.3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spans="1:26" ht="15.75" customHeight="1" x14ac:dyDescent="0.3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spans="1:26" ht="15.75" customHeight="1" x14ac:dyDescent="0.3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spans="1:26" ht="15.75" customHeight="1" x14ac:dyDescent="0.3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spans="1:26" ht="15.75" customHeight="1" x14ac:dyDescent="0.3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spans="1:26" ht="15.75" customHeight="1" x14ac:dyDescent="0.3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spans="1:26" ht="15.75" customHeight="1" x14ac:dyDescent="0.3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spans="1:26" ht="15.75" customHeight="1" x14ac:dyDescent="0.3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spans="1:26" ht="15.75" customHeight="1" x14ac:dyDescent="0.3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spans="1:26" ht="15.75" customHeight="1" x14ac:dyDescent="0.3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spans="1:26" ht="15.75" customHeight="1" x14ac:dyDescent="0.3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spans="1:26" ht="15.75" customHeight="1" x14ac:dyDescent="0.3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spans="1:26" ht="15.75" customHeight="1" x14ac:dyDescent="0.3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spans="1:26" ht="15.75" customHeight="1" x14ac:dyDescent="0.3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spans="1:26" ht="15.75" customHeight="1" x14ac:dyDescent="0.3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spans="1:26" ht="15.75" customHeight="1" x14ac:dyDescent="0.3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spans="1:26" ht="15.75" customHeight="1" x14ac:dyDescent="0.3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spans="1:26" ht="15.75" customHeight="1" x14ac:dyDescent="0.3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spans="1:26" ht="15.75" customHeight="1" x14ac:dyDescent="0.3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spans="1:26" ht="15.75" customHeight="1" x14ac:dyDescent="0.3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spans="1:26" ht="15.75" customHeight="1" x14ac:dyDescent="0.3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spans="1:26" ht="15.75" customHeight="1" x14ac:dyDescent="0.3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spans="1:26" ht="15.75" customHeight="1" x14ac:dyDescent="0.3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spans="1:26" ht="15.75" customHeight="1" x14ac:dyDescent="0.3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spans="1:26" ht="15.75" customHeight="1" x14ac:dyDescent="0.3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spans="1:26" ht="15.75" customHeight="1" x14ac:dyDescent="0.3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spans="1:26" ht="15.75" customHeight="1" x14ac:dyDescent="0.3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spans="1:26" ht="15.75" customHeight="1" x14ac:dyDescent="0.3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spans="1:26" ht="15.75" customHeight="1" x14ac:dyDescent="0.3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spans="1:26" ht="15.75" customHeight="1" x14ac:dyDescent="0.3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spans="1:26" ht="15.75" customHeight="1" x14ac:dyDescent="0.3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spans="1:26" ht="15.75" customHeight="1" x14ac:dyDescent="0.3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spans="1:26" ht="15.75" customHeight="1" x14ac:dyDescent="0.3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spans="1:26" ht="15.75" customHeight="1" x14ac:dyDescent="0.3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spans="1:26" ht="15.75" customHeight="1" x14ac:dyDescent="0.3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spans="1:26" ht="15.75" customHeight="1" x14ac:dyDescent="0.3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spans="1:26" ht="15.75" customHeight="1" x14ac:dyDescent="0.3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spans="1:26" ht="15.75" customHeight="1" x14ac:dyDescent="0.3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spans="1:26" ht="15.75" customHeight="1" x14ac:dyDescent="0.3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spans="1:26" ht="15.75" customHeight="1" x14ac:dyDescent="0.3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spans="1:26" ht="15.75" customHeight="1" x14ac:dyDescent="0.3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spans="1:26" ht="15.75" customHeight="1" x14ac:dyDescent="0.3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spans="1:26" ht="15.75" customHeight="1" x14ac:dyDescent="0.3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spans="1:26" ht="15.75" customHeight="1" x14ac:dyDescent="0.3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spans="1:26" ht="15.75" customHeight="1" x14ac:dyDescent="0.3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spans="1:26" ht="15.75" customHeight="1" x14ac:dyDescent="0.3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spans="1:26" ht="15.75" customHeight="1" x14ac:dyDescent="0.3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spans="1:26" ht="15.75" customHeight="1" x14ac:dyDescent="0.3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spans="1:26" ht="15.75" customHeight="1" x14ac:dyDescent="0.3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spans="1:26" ht="15.75" customHeight="1" x14ac:dyDescent="0.3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spans="1:26" ht="15.75" customHeight="1" x14ac:dyDescent="0.3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spans="1:26" ht="15.75" customHeight="1" x14ac:dyDescent="0.3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spans="1:26" ht="15.75" customHeight="1" x14ac:dyDescent="0.3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spans="1:26" ht="15.75" customHeight="1" x14ac:dyDescent="0.3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spans="1:26" ht="15.75" customHeight="1" x14ac:dyDescent="0.3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spans="1:26" ht="15.75" customHeight="1" x14ac:dyDescent="0.3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spans="1:26" ht="15.75" customHeight="1" x14ac:dyDescent="0.3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spans="1:26" ht="15.75" customHeight="1" x14ac:dyDescent="0.3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spans="1:26" ht="15.75" customHeight="1" x14ac:dyDescent="0.3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spans="1:26" ht="15.75" customHeight="1" x14ac:dyDescent="0.3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spans="1:26" ht="15.75" customHeight="1" x14ac:dyDescent="0.3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spans="1:26" ht="15.75" customHeight="1" x14ac:dyDescent="0.3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spans="1:26" ht="15.75" customHeight="1" x14ac:dyDescent="0.3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spans="1:26" ht="15.75" customHeight="1" x14ac:dyDescent="0.3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spans="1:26" ht="15.75" customHeight="1" x14ac:dyDescent="0.3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spans="1:26" ht="15.75" customHeight="1" x14ac:dyDescent="0.3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spans="1:26" ht="15.75" customHeight="1" x14ac:dyDescent="0.3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spans="1:26" ht="15.75" customHeight="1" x14ac:dyDescent="0.3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spans="1:26" ht="15.75" customHeight="1" x14ac:dyDescent="0.3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spans="1:26" ht="15.75" customHeight="1" x14ac:dyDescent="0.3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spans="1:26" ht="15.75" customHeight="1" x14ac:dyDescent="0.3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spans="1:26" ht="15.75" customHeight="1" x14ac:dyDescent="0.3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spans="1:26" ht="15.75" customHeight="1" x14ac:dyDescent="0.3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spans="1:26" ht="15.75" customHeight="1" x14ac:dyDescent="0.3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spans="1:26" ht="15.75" customHeight="1" x14ac:dyDescent="0.3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spans="1:26" ht="15.75" customHeight="1" x14ac:dyDescent="0.3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spans="1:26" ht="15.75" customHeight="1" x14ac:dyDescent="0.3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spans="1:26" ht="15.75" customHeight="1" x14ac:dyDescent="0.3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spans="1:26" ht="15.75" customHeight="1" x14ac:dyDescent="0.3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spans="1:26" ht="15.75" customHeight="1" x14ac:dyDescent="0.3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spans="1:26" ht="15.75" customHeight="1" x14ac:dyDescent="0.3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spans="1:26" ht="15.75" customHeight="1" x14ac:dyDescent="0.3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spans="1:26" ht="15.75" customHeight="1" x14ac:dyDescent="0.3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spans="1:26" ht="15.75" customHeight="1" x14ac:dyDescent="0.3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spans="1:26" ht="15.75" customHeight="1" x14ac:dyDescent="0.3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spans="1:26" ht="15.75" customHeight="1" x14ac:dyDescent="0.3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spans="1:26" ht="15.75" customHeight="1" x14ac:dyDescent="0.3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spans="1:26" ht="15.75" customHeight="1" x14ac:dyDescent="0.3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spans="1:26" ht="15.75" customHeight="1" x14ac:dyDescent="0.3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spans="1:26" ht="15.75" customHeight="1" x14ac:dyDescent="0.3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spans="1:26" ht="15.75" customHeight="1" x14ac:dyDescent="0.3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spans="1:26" ht="15.75" customHeight="1" x14ac:dyDescent="0.3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spans="1:26" ht="15.75" customHeight="1" x14ac:dyDescent="0.3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spans="1:26" ht="15.75" customHeight="1" x14ac:dyDescent="0.3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spans="1:26" ht="15.75" customHeight="1" x14ac:dyDescent="0.3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spans="1:26" ht="15.75" customHeight="1" x14ac:dyDescent="0.3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spans="1:26" ht="15.75" customHeight="1" x14ac:dyDescent="0.3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spans="1:26" ht="15.75" customHeight="1" x14ac:dyDescent="0.3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spans="1:26" ht="15.75" customHeight="1" x14ac:dyDescent="0.3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spans="1:26" ht="15.75" customHeight="1" x14ac:dyDescent="0.3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spans="1:26" ht="15.75" customHeight="1" x14ac:dyDescent="0.3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spans="1:26" ht="15.75" customHeight="1" x14ac:dyDescent="0.3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spans="1:26" ht="15.75" customHeight="1" x14ac:dyDescent="0.3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spans="1:26" ht="15.75" customHeight="1" x14ac:dyDescent="0.3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spans="1:26" ht="15.75" customHeight="1" x14ac:dyDescent="0.3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spans="1:26" ht="15.75" customHeight="1" x14ac:dyDescent="0.3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spans="1:26" ht="15.75" customHeight="1" x14ac:dyDescent="0.3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spans="1:26" ht="15.75" customHeight="1" x14ac:dyDescent="0.3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spans="1:26" ht="15.75" customHeight="1" x14ac:dyDescent="0.3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spans="1:26" ht="15.75" customHeight="1" x14ac:dyDescent="0.3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spans="1:26" ht="15.75" customHeight="1" x14ac:dyDescent="0.3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spans="1:26" ht="15.75" customHeight="1" x14ac:dyDescent="0.3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spans="1:26" ht="15.75" customHeight="1" x14ac:dyDescent="0.3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spans="1:26" ht="15.75" customHeight="1" x14ac:dyDescent="0.3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spans="1:26" ht="15.75" customHeight="1" x14ac:dyDescent="0.3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spans="1:26" ht="15.75" customHeight="1" x14ac:dyDescent="0.3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spans="1:26" ht="15.75" customHeight="1" x14ac:dyDescent="0.3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spans="1:26" ht="15.75" customHeight="1" x14ac:dyDescent="0.3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spans="1:26" ht="15.75" customHeight="1" x14ac:dyDescent="0.3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spans="1:26" ht="15.75" customHeight="1" x14ac:dyDescent="0.3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spans="1:26" ht="15.75" customHeight="1" x14ac:dyDescent="0.3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spans="1:26" ht="15.75" customHeight="1" x14ac:dyDescent="0.3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spans="1:26" ht="15.75" customHeight="1" x14ac:dyDescent="0.3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spans="1:26" ht="15.75" customHeight="1" x14ac:dyDescent="0.3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spans="1:26" ht="15.75" customHeight="1" x14ac:dyDescent="0.3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spans="1:26" ht="15.75" customHeight="1" x14ac:dyDescent="0.3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spans="1:26" ht="15.75" customHeight="1" x14ac:dyDescent="0.3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spans="1:26" ht="15.75" customHeight="1" x14ac:dyDescent="0.3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spans="1:26" ht="15.75" customHeight="1" x14ac:dyDescent="0.3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spans="1:26" ht="15.75" customHeight="1" x14ac:dyDescent="0.3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spans="1:26" ht="15.75" customHeight="1" x14ac:dyDescent="0.3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spans="1:26" ht="15.75" customHeight="1" x14ac:dyDescent="0.3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spans="1:26" ht="15.75" customHeight="1" x14ac:dyDescent="0.3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spans="1:26" ht="15.75" customHeight="1" x14ac:dyDescent="0.3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spans="1:26" ht="15.75" customHeight="1" x14ac:dyDescent="0.3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spans="1:26" ht="15.75" customHeight="1" x14ac:dyDescent="0.3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spans="1:26" ht="15.75" customHeight="1" x14ac:dyDescent="0.3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spans="1:26" ht="15.75" customHeight="1" x14ac:dyDescent="0.3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spans="1:26" ht="15.75" customHeight="1" x14ac:dyDescent="0.3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 spans="1:26" ht="15.75" customHeight="1" x14ac:dyDescent="0.3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6B832-CBED-4823-8F6A-3A4E3313204B}">
  <sheetPr codeName="Sheet2">
    <tabColor rgb="FF00B050"/>
  </sheetPr>
  <dimension ref="A1:H1000"/>
  <sheetViews>
    <sheetView zoomScale="85" zoomScaleNormal="85" workbookViewId="0">
      <pane ySplit="1" topLeftCell="A2" activePane="bottomLeft" state="frozen"/>
      <selection activeCell="F17" sqref="F17"/>
      <selection pane="bottomLeft" activeCell="L17" sqref="L17"/>
    </sheetView>
  </sheetViews>
  <sheetFormatPr defaultColWidth="12.44140625" defaultRowHeight="15" customHeight="1" x14ac:dyDescent="0.3"/>
  <cols>
    <col min="1" max="1" width="22.109375" style="2" bestFit="1" customWidth="1"/>
    <col min="2" max="2" width="9.88671875" style="2" bestFit="1" customWidth="1"/>
    <col min="3" max="8" width="10.5546875" style="2" bestFit="1" customWidth="1"/>
    <col min="9" max="18" width="8.6640625" style="2" customWidth="1"/>
    <col min="19" max="16384" width="12.44140625" style="2"/>
  </cols>
  <sheetData>
    <row r="1" spans="1:8" thickBot="1" x14ac:dyDescent="0.35">
      <c r="A1" s="3" t="s">
        <v>20</v>
      </c>
      <c r="B1" s="4" t="s">
        <v>21</v>
      </c>
      <c r="C1" s="4" t="str">
        <f>'OBE Details'!$B$20&amp;"_CO1"</f>
        <v>EC118_CO1</v>
      </c>
      <c r="D1" s="4" t="str">
        <f>'OBE Details'!$B$20&amp;"_CO2"</f>
        <v>EC118_CO2</v>
      </c>
      <c r="E1" s="4" t="str">
        <f>'OBE Details'!$B$20&amp;"_CO3"</f>
        <v>EC118_CO3</v>
      </c>
      <c r="F1" s="4" t="str">
        <f>'OBE Details'!$B$20&amp;"_CO4"</f>
        <v>EC118_CO4</v>
      </c>
      <c r="G1" s="4" t="str">
        <f>'OBE Details'!$B$20&amp;"_CO5"</f>
        <v>EC118_CO5</v>
      </c>
      <c r="H1" s="4" t="str">
        <f>'OBE Details'!$B$20&amp;"_CO6"</f>
        <v>EC118_CO6</v>
      </c>
    </row>
    <row r="2" spans="1:8" thickBot="1" x14ac:dyDescent="0.35">
      <c r="A2" s="96" t="s">
        <v>117</v>
      </c>
      <c r="B2" s="91">
        <v>1</v>
      </c>
      <c r="C2" s="6" t="b">
        <v>1</v>
      </c>
      <c r="D2" s="6" t="b">
        <v>1</v>
      </c>
      <c r="E2" s="6" t="b">
        <v>0</v>
      </c>
      <c r="F2" s="6" t="b">
        <v>0</v>
      </c>
      <c r="G2" s="6" t="b">
        <v>0</v>
      </c>
      <c r="H2" s="6" t="b">
        <v>0</v>
      </c>
    </row>
    <row r="3" spans="1:8" thickBot="1" x14ac:dyDescent="0.35">
      <c r="A3" s="96" t="s">
        <v>118</v>
      </c>
      <c r="B3" s="91">
        <v>1</v>
      </c>
      <c r="C3" s="6" t="b">
        <v>1</v>
      </c>
      <c r="D3" s="6" t="b">
        <v>1</v>
      </c>
      <c r="E3" s="6" t="b">
        <v>0</v>
      </c>
      <c r="F3" s="6" t="b">
        <v>0</v>
      </c>
      <c r="G3" s="6" t="b">
        <v>0</v>
      </c>
      <c r="H3" s="6" t="b">
        <v>0</v>
      </c>
    </row>
    <row r="4" spans="1:8" thickBot="1" x14ac:dyDescent="0.35">
      <c r="A4" s="96" t="s">
        <v>119</v>
      </c>
      <c r="B4" s="91">
        <v>1</v>
      </c>
      <c r="C4" s="6" t="b">
        <v>1</v>
      </c>
      <c r="D4" s="6" t="b">
        <v>1</v>
      </c>
      <c r="E4" s="6" t="b">
        <v>0</v>
      </c>
      <c r="F4" s="6" t="b">
        <v>0</v>
      </c>
      <c r="G4" s="6" t="b">
        <v>0</v>
      </c>
      <c r="H4" s="6" t="b">
        <v>0</v>
      </c>
    </row>
    <row r="5" spans="1:8" thickBot="1" x14ac:dyDescent="0.35">
      <c r="A5" s="96" t="s">
        <v>120</v>
      </c>
      <c r="B5" s="91">
        <v>1</v>
      </c>
      <c r="C5" s="6" t="b">
        <v>1</v>
      </c>
      <c r="D5" s="6" t="b">
        <v>1</v>
      </c>
      <c r="E5" s="6" t="b">
        <v>0</v>
      </c>
      <c r="F5" s="6" t="b">
        <v>0</v>
      </c>
      <c r="G5" s="6" t="b">
        <v>0</v>
      </c>
      <c r="H5" s="6" t="b">
        <v>0</v>
      </c>
    </row>
    <row r="6" spans="1:8" thickBot="1" x14ac:dyDescent="0.35">
      <c r="A6" s="96" t="s">
        <v>121</v>
      </c>
      <c r="B6" s="91">
        <v>1</v>
      </c>
      <c r="C6" s="6" t="b">
        <v>1</v>
      </c>
      <c r="D6" s="6" t="b">
        <v>1</v>
      </c>
      <c r="E6" s="6" t="b">
        <v>0</v>
      </c>
      <c r="F6" s="6" t="b">
        <v>0</v>
      </c>
      <c r="G6" s="6" t="b">
        <v>0</v>
      </c>
      <c r="H6" s="6" t="b">
        <v>0</v>
      </c>
    </row>
    <row r="7" spans="1:8" thickBot="1" x14ac:dyDescent="0.35">
      <c r="A7" s="96" t="s">
        <v>122</v>
      </c>
      <c r="B7" s="91">
        <v>2</v>
      </c>
      <c r="C7" s="6" t="b">
        <v>1</v>
      </c>
      <c r="D7" s="6" t="b">
        <v>0</v>
      </c>
      <c r="E7" s="6" t="b">
        <v>0</v>
      </c>
      <c r="F7" s="6" t="b">
        <v>0</v>
      </c>
      <c r="G7" s="6" t="b">
        <v>0</v>
      </c>
      <c r="H7" s="6" t="b">
        <v>0</v>
      </c>
    </row>
    <row r="8" spans="1:8" thickBot="1" x14ac:dyDescent="0.35">
      <c r="A8" s="96" t="s">
        <v>123</v>
      </c>
      <c r="B8" s="91">
        <v>2</v>
      </c>
      <c r="C8" s="6" t="b">
        <v>1</v>
      </c>
      <c r="D8" s="6" t="b">
        <v>0</v>
      </c>
      <c r="E8" s="6" t="b">
        <v>0</v>
      </c>
      <c r="F8" s="6" t="b">
        <v>0</v>
      </c>
      <c r="G8" s="6" t="b">
        <v>0</v>
      </c>
      <c r="H8" s="6" t="b">
        <v>0</v>
      </c>
    </row>
    <row r="9" spans="1:8" thickBot="1" x14ac:dyDescent="0.35">
      <c r="A9" s="96" t="s">
        <v>124</v>
      </c>
      <c r="B9" s="91">
        <v>2</v>
      </c>
      <c r="C9" s="6" t="b">
        <v>1</v>
      </c>
      <c r="D9" s="6" t="b">
        <v>0</v>
      </c>
      <c r="E9" s="6" t="b">
        <v>0</v>
      </c>
      <c r="F9" s="6" t="b">
        <v>0</v>
      </c>
      <c r="G9" s="6" t="b">
        <v>0</v>
      </c>
      <c r="H9" s="6" t="b">
        <v>0</v>
      </c>
    </row>
    <row r="10" spans="1:8" thickBot="1" x14ac:dyDescent="0.35">
      <c r="A10" s="96" t="s">
        <v>125</v>
      </c>
      <c r="B10" s="91">
        <v>2</v>
      </c>
      <c r="C10" s="6" t="b">
        <v>1</v>
      </c>
      <c r="D10" s="6" t="b">
        <v>0</v>
      </c>
      <c r="E10" s="6" t="b">
        <v>0</v>
      </c>
      <c r="F10" s="6" t="b">
        <v>0</v>
      </c>
      <c r="G10" s="6" t="b">
        <v>0</v>
      </c>
      <c r="H10" s="6" t="b">
        <v>0</v>
      </c>
    </row>
    <row r="11" spans="1:8" thickBot="1" x14ac:dyDescent="0.35">
      <c r="A11" s="96" t="s">
        <v>126</v>
      </c>
      <c r="B11" s="91">
        <v>2</v>
      </c>
      <c r="C11" s="6" t="b">
        <v>1</v>
      </c>
      <c r="D11" s="6" t="b">
        <v>0</v>
      </c>
      <c r="E11" s="6" t="b">
        <v>0</v>
      </c>
      <c r="F11" s="6" t="b">
        <v>0</v>
      </c>
      <c r="G11" s="6" t="b">
        <v>0</v>
      </c>
      <c r="H11" s="6" t="b">
        <v>0</v>
      </c>
    </row>
    <row r="12" spans="1:8" thickBot="1" x14ac:dyDescent="0.35">
      <c r="A12" s="96" t="s">
        <v>127</v>
      </c>
      <c r="B12" s="91">
        <v>2</v>
      </c>
      <c r="C12" s="6" t="b">
        <v>1</v>
      </c>
      <c r="D12" s="6" t="b">
        <v>0</v>
      </c>
      <c r="E12" s="6" t="b">
        <v>0</v>
      </c>
      <c r="F12" s="6" t="b">
        <v>0</v>
      </c>
      <c r="G12" s="6" t="b">
        <v>0</v>
      </c>
      <c r="H12" s="6" t="b">
        <v>0</v>
      </c>
    </row>
    <row r="13" spans="1:8" thickBot="1" x14ac:dyDescent="0.35">
      <c r="A13" s="96" t="s">
        <v>128</v>
      </c>
      <c r="B13" s="91">
        <v>5</v>
      </c>
      <c r="C13" s="6" t="b">
        <v>1</v>
      </c>
      <c r="D13" s="6" t="b">
        <v>0</v>
      </c>
      <c r="E13" s="6" t="b">
        <v>0</v>
      </c>
      <c r="F13" s="6" t="b">
        <v>0</v>
      </c>
      <c r="G13" s="6" t="b">
        <v>0</v>
      </c>
      <c r="H13" s="6" t="b">
        <v>0</v>
      </c>
    </row>
    <row r="14" spans="1:8" thickBot="1" x14ac:dyDescent="0.35">
      <c r="A14" s="96" t="s">
        <v>129</v>
      </c>
      <c r="B14" s="91">
        <v>5</v>
      </c>
      <c r="C14" s="6" t="b">
        <v>1</v>
      </c>
      <c r="D14" s="6" t="b">
        <v>0</v>
      </c>
      <c r="E14" s="6" t="b">
        <v>0</v>
      </c>
      <c r="F14" s="6" t="b">
        <v>0</v>
      </c>
      <c r="G14" s="6" t="b">
        <v>0</v>
      </c>
      <c r="H14" s="6" t="b">
        <v>0</v>
      </c>
    </row>
    <row r="15" spans="1:8" thickBot="1" x14ac:dyDescent="0.35">
      <c r="A15" s="96" t="s">
        <v>130</v>
      </c>
      <c r="B15" s="91">
        <v>5</v>
      </c>
      <c r="C15" s="6" t="b">
        <v>0</v>
      </c>
      <c r="D15" s="6" t="b">
        <v>1</v>
      </c>
      <c r="E15" s="6" t="b">
        <v>0</v>
      </c>
      <c r="F15" s="6" t="b">
        <v>0</v>
      </c>
      <c r="G15" s="6" t="b">
        <v>0</v>
      </c>
      <c r="H15" s="6" t="b">
        <v>0</v>
      </c>
    </row>
    <row r="16" spans="1:8" thickBot="1" x14ac:dyDescent="0.35">
      <c r="A16" s="96" t="s">
        <v>131</v>
      </c>
      <c r="B16" s="91">
        <v>5</v>
      </c>
      <c r="C16" s="6" t="b">
        <v>0</v>
      </c>
      <c r="D16" s="6" t="b">
        <v>1</v>
      </c>
      <c r="E16" s="6" t="b">
        <v>0</v>
      </c>
      <c r="F16" s="6" t="b">
        <v>0</v>
      </c>
      <c r="G16" s="6" t="b">
        <v>0</v>
      </c>
      <c r="H16" s="6" t="b">
        <v>0</v>
      </c>
    </row>
    <row r="17" spans="1:8" thickBot="1" x14ac:dyDescent="0.35">
      <c r="A17" s="96" t="s">
        <v>132</v>
      </c>
      <c r="B17" s="91">
        <v>10</v>
      </c>
      <c r="C17" s="6" t="b">
        <v>1</v>
      </c>
      <c r="D17" s="6" t="b">
        <v>0</v>
      </c>
      <c r="E17" s="6" t="b">
        <v>1</v>
      </c>
      <c r="F17" s="6" t="b">
        <v>0</v>
      </c>
      <c r="G17" s="6" t="b">
        <v>0</v>
      </c>
      <c r="H17" s="6" t="b">
        <v>0</v>
      </c>
    </row>
    <row r="18" spans="1:8" thickBot="1" x14ac:dyDescent="0.35">
      <c r="A18" s="96" t="s">
        <v>133</v>
      </c>
      <c r="B18" s="91">
        <v>10</v>
      </c>
      <c r="C18" s="6" t="b">
        <v>0</v>
      </c>
      <c r="D18" s="6" t="b">
        <v>0</v>
      </c>
      <c r="E18" s="6" t="b">
        <v>0</v>
      </c>
      <c r="F18" s="6" t="b">
        <v>0</v>
      </c>
      <c r="G18" s="6" t="b">
        <v>0</v>
      </c>
      <c r="H18" s="6" t="b">
        <v>0</v>
      </c>
    </row>
    <row r="19" spans="1:8" thickBot="1" x14ac:dyDescent="0.35">
      <c r="A19" s="96" t="s">
        <v>134</v>
      </c>
      <c r="B19" s="91">
        <v>10</v>
      </c>
      <c r="C19" s="6" t="b">
        <v>0</v>
      </c>
      <c r="D19" s="6" t="b">
        <v>0</v>
      </c>
      <c r="E19" s="6" t="b">
        <v>0</v>
      </c>
      <c r="F19" s="6" t="b">
        <v>0</v>
      </c>
      <c r="G19" s="6" t="b">
        <v>0</v>
      </c>
      <c r="H19" s="6" t="b">
        <v>0</v>
      </c>
    </row>
    <row r="20" spans="1:8" thickBot="1" x14ac:dyDescent="0.35">
      <c r="A20" s="96" t="s">
        <v>135</v>
      </c>
      <c r="B20" s="91">
        <v>10</v>
      </c>
      <c r="C20" s="6" t="b">
        <v>0</v>
      </c>
      <c r="D20" s="6" t="b">
        <v>0</v>
      </c>
      <c r="E20" s="6" t="b">
        <v>0</v>
      </c>
      <c r="F20" s="6" t="b">
        <v>0</v>
      </c>
      <c r="G20" s="6" t="b">
        <v>0</v>
      </c>
      <c r="H20" s="6" t="b">
        <v>0</v>
      </c>
    </row>
    <row r="21" spans="1:8" ht="15.75" customHeight="1" thickBot="1" x14ac:dyDescent="0.35">
      <c r="A21" s="96" t="s">
        <v>136</v>
      </c>
      <c r="B21" s="91">
        <v>10</v>
      </c>
      <c r="C21" s="6" t="b">
        <v>0</v>
      </c>
      <c r="D21" s="6" t="b">
        <v>0</v>
      </c>
      <c r="E21" s="6" t="b">
        <v>0</v>
      </c>
      <c r="F21" s="6" t="b">
        <v>0</v>
      </c>
      <c r="G21" s="6" t="b">
        <v>0</v>
      </c>
      <c r="H21" s="6" t="b">
        <v>0</v>
      </c>
    </row>
    <row r="22" spans="1:8" ht="15.75" customHeight="1" thickBot="1" x14ac:dyDescent="0.35">
      <c r="A22" s="96" t="s">
        <v>137</v>
      </c>
      <c r="B22" s="91">
        <v>10</v>
      </c>
      <c r="C22" s="7" t="b">
        <v>1</v>
      </c>
      <c r="D22" s="7" t="b">
        <v>1</v>
      </c>
      <c r="E22" s="6" t="b">
        <v>0</v>
      </c>
      <c r="F22" s="6" t="b">
        <v>0</v>
      </c>
      <c r="G22" s="6" t="b">
        <v>0</v>
      </c>
      <c r="H22" s="6" t="b">
        <v>0</v>
      </c>
    </row>
    <row r="23" spans="1:8" ht="15.75" customHeight="1" thickBot="1" x14ac:dyDescent="0.35">
      <c r="A23" s="96" t="s">
        <v>138</v>
      </c>
      <c r="B23" s="91">
        <v>0</v>
      </c>
      <c r="C23" s="6" t="b">
        <v>0</v>
      </c>
      <c r="D23" s="6" t="b">
        <v>0</v>
      </c>
      <c r="E23" s="6" t="b">
        <v>0</v>
      </c>
      <c r="F23" s="6" t="b">
        <v>0</v>
      </c>
      <c r="G23" s="6" t="b">
        <v>0</v>
      </c>
      <c r="H23" s="6" t="b">
        <v>0</v>
      </c>
    </row>
    <row r="24" spans="1:8" ht="15.75" customHeight="1" thickBot="1" x14ac:dyDescent="0.35">
      <c r="A24" s="96" t="s">
        <v>139</v>
      </c>
      <c r="B24" s="91">
        <v>0</v>
      </c>
      <c r="C24" s="6" t="b">
        <v>0</v>
      </c>
      <c r="D24" s="6" t="b">
        <v>0</v>
      </c>
      <c r="E24" s="6" t="b">
        <v>0</v>
      </c>
      <c r="F24" s="6" t="b">
        <v>0</v>
      </c>
      <c r="G24" s="6" t="b">
        <v>0</v>
      </c>
      <c r="H24" s="6" t="b">
        <v>0</v>
      </c>
    </row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12" type="noConversion"/>
  <dataValidations count="1">
    <dataValidation type="custom" allowBlank="1" showDropDown="1" sqref="B2:B24" xr:uid="{13C18D05-8463-4B20-B62E-C9901C550DB7}">
      <formula1>AND(ISNUMBER(B2),(NOT(OR(NOT(ISERROR(DATEVALUE(B2))), AND(ISNUMBER(B2), LEFT(CELL("format", B2))="D")))))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CDC60-E0EB-4C1C-A7AF-38C4C92B8C01}">
  <sheetPr codeName="Sheet10">
    <tabColor rgb="FF00B050"/>
  </sheetPr>
  <dimension ref="A1:AK1000"/>
  <sheetViews>
    <sheetView zoomScaleNormal="100" workbookViewId="0">
      <pane xSplit="8" ySplit="13" topLeftCell="AG14" activePane="bottomRight" state="frozen"/>
      <selection activeCell="F17" sqref="F17"/>
      <selection pane="topRight" activeCell="F17" sqref="F17"/>
      <selection pane="bottomLeft" activeCell="F17" sqref="F17"/>
      <selection pane="bottomRight" activeCell="AJ3" sqref="AJ3"/>
    </sheetView>
  </sheetViews>
  <sheetFormatPr defaultColWidth="12.44140625" defaultRowHeight="15" customHeight="1" x14ac:dyDescent="0.3"/>
  <cols>
    <col min="1" max="1" width="5.33203125" style="2" bestFit="1" customWidth="1"/>
    <col min="2" max="2" width="21.44140625" style="2" bestFit="1" customWidth="1"/>
    <col min="3" max="3" width="26.77734375" style="2" bestFit="1" customWidth="1"/>
    <col min="4" max="4" width="15.44140625" style="2" bestFit="1" customWidth="1"/>
    <col min="5" max="5" width="11.44140625" style="2" bestFit="1" customWidth="1"/>
    <col min="6" max="6" width="20.5546875" style="2" bestFit="1" customWidth="1"/>
    <col min="7" max="7" width="27.21875" style="2" bestFit="1" customWidth="1"/>
    <col min="8" max="8" width="13.44140625" style="2" bestFit="1" customWidth="1"/>
    <col min="9" max="9" width="16.44140625" style="2" bestFit="1" customWidth="1"/>
    <col min="10" max="10" width="17.5546875" style="2" bestFit="1" customWidth="1"/>
    <col min="11" max="11" width="14.44140625" style="2" bestFit="1" customWidth="1"/>
    <col min="12" max="12" width="21.109375" style="2" bestFit="1" customWidth="1"/>
    <col min="13" max="13" width="12.5546875" style="2" bestFit="1" customWidth="1"/>
    <col min="14" max="14" width="12.6640625" style="2" bestFit="1" customWidth="1"/>
    <col min="15" max="15" width="12.5546875" style="2" bestFit="1" customWidth="1"/>
    <col min="16" max="16" width="12.6640625" style="2" bestFit="1" customWidth="1"/>
    <col min="17" max="17" width="12.5546875" style="2" bestFit="1" customWidth="1"/>
    <col min="18" max="25" width="12.88671875" style="2" bestFit="1" customWidth="1"/>
    <col min="26" max="32" width="14" style="2" bestFit="1" customWidth="1"/>
    <col min="33" max="33" width="20.44140625" style="2" bestFit="1" customWidth="1"/>
    <col min="34" max="35" width="13.77734375" style="2" bestFit="1" customWidth="1"/>
    <col min="36" max="36" width="10.44140625" style="2" bestFit="1" customWidth="1"/>
    <col min="37" max="37" width="9.6640625" style="2" bestFit="1" customWidth="1"/>
    <col min="38" max="16384" width="12.44140625" style="2"/>
  </cols>
  <sheetData>
    <row r="1" spans="1:37" ht="14.4" x14ac:dyDescent="0.3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  <c r="G1" s="8" t="s">
        <v>34</v>
      </c>
      <c r="H1" s="8" t="s">
        <v>35</v>
      </c>
      <c r="I1" s="8" t="s">
        <v>36</v>
      </c>
      <c r="J1" s="8" t="s">
        <v>37</v>
      </c>
      <c r="K1" s="9" t="s">
        <v>38</v>
      </c>
      <c r="L1" s="9" t="s">
        <v>39</v>
      </c>
      <c r="M1" s="9" t="str">
        <f t="array" ref="M1:AI1">TRANSPOSE('ST1 CO Question Map'!A2:A24)</f>
        <v>20EC118-ST1-1a</v>
      </c>
      <c r="N1" s="9" t="str">
        <v>20EC118-ST1-1b</v>
      </c>
      <c r="O1" s="9" t="str">
        <v>20EC118-ST1-1c</v>
      </c>
      <c r="P1" s="9" t="str">
        <v>20EC118-ST1-1d</v>
      </c>
      <c r="Q1" s="9" t="str">
        <v>20EC118-ST1-1e</v>
      </c>
      <c r="R1" s="9" t="str">
        <v>20EC118-ST1-Q2</v>
      </c>
      <c r="S1" s="9" t="str">
        <v>20EC118-ST1-Q3</v>
      </c>
      <c r="T1" s="9" t="str">
        <v>20EC118-ST1-Q4</v>
      </c>
      <c r="U1" s="9" t="str">
        <v>20EC118-ST1-Q5</v>
      </c>
      <c r="V1" s="9" t="str">
        <v>20EC118-ST1-Q6</v>
      </c>
      <c r="W1" s="9" t="str">
        <v>20EC118-ST1-Q7</v>
      </c>
      <c r="X1" s="9" t="str">
        <v>20EC118-ST1-Q8</v>
      </c>
      <c r="Y1" s="9" t="str">
        <v>20EC118-ST1-Q9</v>
      </c>
      <c r="Z1" s="9" t="str">
        <v>20EC118-ST1-Q10</v>
      </c>
      <c r="AA1" s="9" t="str">
        <v>20EC118-ST1-Q11</v>
      </c>
      <c r="AB1" s="9" t="str">
        <v>20EC118-ST1-Q12</v>
      </c>
      <c r="AC1" s="9" t="str">
        <v>20EC118-ST1-Q13</v>
      </c>
      <c r="AD1" s="9" t="str">
        <v>20EC118-ST1-Q14</v>
      </c>
      <c r="AE1" s="9" t="str">
        <v>20EC118-ST1-Q15</v>
      </c>
      <c r="AF1" s="9" t="str">
        <v>20EC118-ST1-Q16</v>
      </c>
      <c r="AG1" s="9" t="str">
        <v>20EC118-ST1-Assignment</v>
      </c>
      <c r="AH1" s="9" t="str">
        <v>20EC118-ST1-FA1</v>
      </c>
      <c r="AI1" s="9" t="str">
        <v>20EC118-ST1-FA2</v>
      </c>
      <c r="AJ1" s="9" t="s">
        <v>40</v>
      </c>
      <c r="AK1" s="9" t="s">
        <v>21</v>
      </c>
    </row>
    <row r="2" spans="1:37" ht="14.4" x14ac:dyDescent="0.3">
      <c r="A2" s="10">
        <v>1</v>
      </c>
      <c r="B2" s="11" t="s">
        <v>41</v>
      </c>
      <c r="C2" s="12" t="s">
        <v>42</v>
      </c>
      <c r="D2" s="12"/>
      <c r="E2" s="12" t="s">
        <v>43</v>
      </c>
      <c r="F2" s="12" t="s">
        <v>44</v>
      </c>
      <c r="G2" s="12" t="s">
        <v>45</v>
      </c>
      <c r="H2" s="13" t="s">
        <v>46</v>
      </c>
      <c r="I2" s="12" t="s">
        <v>47</v>
      </c>
      <c r="J2" s="12">
        <v>2020</v>
      </c>
      <c r="K2" s="13">
        <v>4</v>
      </c>
      <c r="L2" s="13" t="s">
        <v>48</v>
      </c>
      <c r="M2" s="13">
        <v>1</v>
      </c>
      <c r="N2" s="14">
        <v>1</v>
      </c>
      <c r="O2" s="14">
        <v>1</v>
      </c>
      <c r="P2" s="14">
        <v>1</v>
      </c>
      <c r="Q2" s="14">
        <v>1</v>
      </c>
      <c r="R2" s="14">
        <v>2</v>
      </c>
      <c r="S2" s="14">
        <v>2</v>
      </c>
      <c r="T2" s="14">
        <v>2</v>
      </c>
      <c r="U2" s="14">
        <v>2</v>
      </c>
      <c r="V2" s="14">
        <v>2</v>
      </c>
      <c r="W2" s="14" t="s">
        <v>49</v>
      </c>
      <c r="X2" s="14">
        <v>1</v>
      </c>
      <c r="Y2" s="14" t="s">
        <v>49</v>
      </c>
      <c r="Z2" s="14">
        <v>5</v>
      </c>
      <c r="AA2" s="14">
        <v>5</v>
      </c>
      <c r="AB2" s="14">
        <v>1</v>
      </c>
      <c r="AC2" s="14" t="s">
        <v>49</v>
      </c>
      <c r="AD2" s="13" t="s">
        <v>49</v>
      </c>
      <c r="AE2" s="13" t="s">
        <v>49</v>
      </c>
      <c r="AF2" s="13" t="s">
        <v>49</v>
      </c>
      <c r="AG2" s="13">
        <v>7</v>
      </c>
      <c r="AH2" s="12" t="s">
        <v>49</v>
      </c>
      <c r="AI2" s="12" t="s">
        <v>49</v>
      </c>
      <c r="AJ2" s="13">
        <v>39</v>
      </c>
      <c r="AK2" s="13">
        <v>50</v>
      </c>
    </row>
    <row r="3" spans="1:37" ht="14.4" x14ac:dyDescent="0.3">
      <c r="A3" s="10">
        <v>2</v>
      </c>
      <c r="B3" s="15" t="s">
        <v>50</v>
      </c>
      <c r="C3" s="10" t="s">
        <v>51</v>
      </c>
      <c r="D3" s="10"/>
      <c r="E3" s="10" t="s">
        <v>43</v>
      </c>
      <c r="F3" s="10" t="s">
        <v>44</v>
      </c>
      <c r="G3" s="10" t="s">
        <v>45</v>
      </c>
      <c r="H3" s="16" t="s">
        <v>46</v>
      </c>
      <c r="I3" s="10" t="s">
        <v>47</v>
      </c>
      <c r="J3" s="10">
        <v>2020</v>
      </c>
      <c r="K3" s="16">
        <v>4</v>
      </c>
      <c r="L3" s="16" t="s">
        <v>48</v>
      </c>
      <c r="M3" s="16">
        <v>1</v>
      </c>
      <c r="N3" s="16">
        <v>1</v>
      </c>
      <c r="O3" s="16">
        <v>1</v>
      </c>
      <c r="P3" s="16">
        <v>1</v>
      </c>
      <c r="Q3" s="16">
        <v>1</v>
      </c>
      <c r="R3" s="16">
        <v>2</v>
      </c>
      <c r="S3" s="16">
        <v>2</v>
      </c>
      <c r="T3" s="16">
        <v>2</v>
      </c>
      <c r="U3" s="16">
        <v>2</v>
      </c>
      <c r="V3" s="16">
        <v>2</v>
      </c>
      <c r="W3" s="16" t="s">
        <v>49</v>
      </c>
      <c r="X3" s="16">
        <v>5</v>
      </c>
      <c r="Y3" s="16" t="s">
        <v>49</v>
      </c>
      <c r="Z3" s="16">
        <v>5</v>
      </c>
      <c r="AA3" s="16">
        <v>5</v>
      </c>
      <c r="AB3" s="16">
        <v>8</v>
      </c>
      <c r="AC3" s="16" t="s">
        <v>49</v>
      </c>
      <c r="AD3" s="16" t="s">
        <v>49</v>
      </c>
      <c r="AE3" s="16" t="s">
        <v>49</v>
      </c>
      <c r="AF3" s="16" t="s">
        <v>49</v>
      </c>
      <c r="AG3" s="16">
        <v>10</v>
      </c>
      <c r="AH3" s="10" t="s">
        <v>49</v>
      </c>
      <c r="AI3" s="10" t="s">
        <v>49</v>
      </c>
      <c r="AJ3" s="16">
        <f t="shared" ref="AJ3:AJ19" si="0">SUM(M3:AG3)</f>
        <v>48</v>
      </c>
      <c r="AK3" s="16">
        <v>50</v>
      </c>
    </row>
    <row r="4" spans="1:37" ht="14.4" x14ac:dyDescent="0.3">
      <c r="A4" s="10">
        <v>3</v>
      </c>
      <c r="B4" s="15" t="s">
        <v>52</v>
      </c>
      <c r="C4" s="10" t="s">
        <v>53</v>
      </c>
      <c r="D4" s="10"/>
      <c r="E4" s="10" t="s">
        <v>43</v>
      </c>
      <c r="F4" s="10" t="s">
        <v>44</v>
      </c>
      <c r="G4" s="10" t="s">
        <v>45</v>
      </c>
      <c r="H4" s="16" t="s">
        <v>46</v>
      </c>
      <c r="I4" s="10" t="s">
        <v>47</v>
      </c>
      <c r="J4" s="10">
        <v>2020</v>
      </c>
      <c r="K4" s="16">
        <v>4</v>
      </c>
      <c r="L4" s="16" t="s">
        <v>48</v>
      </c>
      <c r="M4" s="16">
        <v>1</v>
      </c>
      <c r="N4" s="16">
        <v>1</v>
      </c>
      <c r="O4" s="16">
        <v>1</v>
      </c>
      <c r="P4" s="16">
        <v>1</v>
      </c>
      <c r="Q4" s="16">
        <v>1</v>
      </c>
      <c r="R4" s="16">
        <v>2</v>
      </c>
      <c r="S4" s="16" t="s">
        <v>49</v>
      </c>
      <c r="T4" s="16">
        <v>2</v>
      </c>
      <c r="U4" s="16">
        <v>2</v>
      </c>
      <c r="V4" s="16">
        <v>2</v>
      </c>
      <c r="W4" s="16">
        <v>2</v>
      </c>
      <c r="X4" s="16" t="s">
        <v>49</v>
      </c>
      <c r="Y4" s="16">
        <v>4</v>
      </c>
      <c r="Z4" s="16">
        <v>5</v>
      </c>
      <c r="AA4" s="16">
        <v>2</v>
      </c>
      <c r="AB4" s="16" t="s">
        <v>49</v>
      </c>
      <c r="AC4" s="16">
        <v>1</v>
      </c>
      <c r="AD4" s="16" t="s">
        <v>49</v>
      </c>
      <c r="AE4" s="16" t="s">
        <v>49</v>
      </c>
      <c r="AF4" s="16" t="s">
        <v>49</v>
      </c>
      <c r="AG4" s="16">
        <v>5</v>
      </c>
      <c r="AH4" s="10" t="s">
        <v>49</v>
      </c>
      <c r="AI4" s="10" t="s">
        <v>49</v>
      </c>
      <c r="AJ4" s="16">
        <f t="shared" si="0"/>
        <v>32</v>
      </c>
      <c r="AK4" s="16">
        <v>50</v>
      </c>
    </row>
    <row r="5" spans="1:37" ht="14.4" x14ac:dyDescent="0.3">
      <c r="A5" s="10">
        <v>4</v>
      </c>
      <c r="B5" s="15" t="s">
        <v>54</v>
      </c>
      <c r="C5" s="10" t="s">
        <v>55</v>
      </c>
      <c r="D5" s="10"/>
      <c r="E5" s="10" t="s">
        <v>43</v>
      </c>
      <c r="F5" s="10" t="s">
        <v>44</v>
      </c>
      <c r="G5" s="10" t="s">
        <v>45</v>
      </c>
      <c r="H5" s="16" t="s">
        <v>46</v>
      </c>
      <c r="I5" s="10" t="s">
        <v>47</v>
      </c>
      <c r="J5" s="10">
        <v>2020</v>
      </c>
      <c r="K5" s="16">
        <v>4</v>
      </c>
      <c r="L5" s="16" t="s">
        <v>48</v>
      </c>
      <c r="M5" s="16">
        <v>1</v>
      </c>
      <c r="N5" s="16">
        <v>1</v>
      </c>
      <c r="O5" s="16">
        <v>1</v>
      </c>
      <c r="P5" s="16">
        <v>1</v>
      </c>
      <c r="Q5" s="16">
        <v>1</v>
      </c>
      <c r="R5" s="16">
        <v>2</v>
      </c>
      <c r="S5" s="16">
        <v>2</v>
      </c>
      <c r="T5" s="16" t="s">
        <v>49</v>
      </c>
      <c r="U5" s="16">
        <v>2</v>
      </c>
      <c r="V5" s="16">
        <v>2</v>
      </c>
      <c r="W5" s="16">
        <v>2</v>
      </c>
      <c r="X5" s="16">
        <v>4</v>
      </c>
      <c r="Y5" s="16" t="s">
        <v>49</v>
      </c>
      <c r="Z5" s="16" t="s">
        <v>49</v>
      </c>
      <c r="AA5" s="16" t="s">
        <v>49</v>
      </c>
      <c r="AB5" s="16">
        <v>1</v>
      </c>
      <c r="AC5" s="16" t="s">
        <v>49</v>
      </c>
      <c r="AD5" s="16" t="s">
        <v>49</v>
      </c>
      <c r="AE5" s="16" t="s">
        <v>49</v>
      </c>
      <c r="AF5" s="16" t="s">
        <v>49</v>
      </c>
      <c r="AG5" s="16">
        <v>7</v>
      </c>
      <c r="AH5" s="10" t="s">
        <v>49</v>
      </c>
      <c r="AI5" s="10" t="s">
        <v>49</v>
      </c>
      <c r="AJ5" s="16">
        <f t="shared" si="0"/>
        <v>27</v>
      </c>
      <c r="AK5" s="16">
        <v>50</v>
      </c>
    </row>
    <row r="6" spans="1:37" ht="15" customHeight="1" x14ac:dyDescent="0.3">
      <c r="A6" s="10">
        <v>5</v>
      </c>
      <c r="B6" s="15" t="s">
        <v>56</v>
      </c>
      <c r="C6" s="10" t="s">
        <v>57</v>
      </c>
      <c r="D6" s="10"/>
      <c r="E6" s="10" t="s">
        <v>43</v>
      </c>
      <c r="F6" s="10" t="s">
        <v>44</v>
      </c>
      <c r="G6" s="10" t="s">
        <v>45</v>
      </c>
      <c r="H6" s="16" t="s">
        <v>46</v>
      </c>
      <c r="I6" s="10" t="s">
        <v>47</v>
      </c>
      <c r="J6" s="10">
        <v>2020</v>
      </c>
      <c r="K6" s="16">
        <v>4</v>
      </c>
      <c r="L6" s="16" t="s">
        <v>48</v>
      </c>
      <c r="M6" s="16">
        <v>1</v>
      </c>
      <c r="N6" s="16">
        <v>1</v>
      </c>
      <c r="O6" s="16">
        <v>1</v>
      </c>
      <c r="P6" s="16">
        <v>1</v>
      </c>
      <c r="Q6" s="16">
        <v>1</v>
      </c>
      <c r="R6" s="16">
        <v>2</v>
      </c>
      <c r="S6" s="16">
        <v>2</v>
      </c>
      <c r="T6" s="16">
        <v>2</v>
      </c>
      <c r="U6" s="16">
        <v>2</v>
      </c>
      <c r="V6" s="16">
        <v>2</v>
      </c>
      <c r="W6" s="16" t="s">
        <v>49</v>
      </c>
      <c r="X6" s="16">
        <v>4</v>
      </c>
      <c r="Y6" s="16">
        <v>1</v>
      </c>
      <c r="Z6" s="16">
        <v>5</v>
      </c>
      <c r="AA6" s="16" t="s">
        <v>49</v>
      </c>
      <c r="AB6" s="16" t="s">
        <v>49</v>
      </c>
      <c r="AC6" s="16">
        <v>1</v>
      </c>
      <c r="AD6" s="16" t="s">
        <v>49</v>
      </c>
      <c r="AE6" s="16" t="s">
        <v>49</v>
      </c>
      <c r="AF6" s="16" t="s">
        <v>49</v>
      </c>
      <c r="AG6" s="16">
        <v>5</v>
      </c>
      <c r="AH6" s="10" t="s">
        <v>49</v>
      </c>
      <c r="AI6" s="10" t="s">
        <v>49</v>
      </c>
      <c r="AJ6" s="16">
        <f t="shared" si="0"/>
        <v>31</v>
      </c>
      <c r="AK6" s="16">
        <v>50</v>
      </c>
    </row>
    <row r="7" spans="1:37" ht="15" customHeight="1" x14ac:dyDescent="0.3">
      <c r="A7" s="10">
        <v>6</v>
      </c>
      <c r="B7" s="15" t="s">
        <v>58</v>
      </c>
      <c r="C7" s="10" t="s">
        <v>59</v>
      </c>
      <c r="D7" s="10"/>
      <c r="E7" s="10" t="s">
        <v>43</v>
      </c>
      <c r="F7" s="10" t="s">
        <v>44</v>
      </c>
      <c r="G7" s="10" t="s">
        <v>45</v>
      </c>
      <c r="H7" s="16" t="s">
        <v>46</v>
      </c>
      <c r="I7" s="10" t="s">
        <v>47</v>
      </c>
      <c r="J7" s="10">
        <v>2020</v>
      </c>
      <c r="K7" s="16">
        <v>4</v>
      </c>
      <c r="L7" s="16" t="s">
        <v>48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  <c r="R7" s="16" t="s">
        <v>49</v>
      </c>
      <c r="S7" s="16">
        <v>2</v>
      </c>
      <c r="T7" s="16">
        <v>2</v>
      </c>
      <c r="U7" s="16">
        <v>2</v>
      </c>
      <c r="V7" s="16">
        <v>2</v>
      </c>
      <c r="W7" s="16">
        <v>2</v>
      </c>
      <c r="X7" s="16">
        <v>1</v>
      </c>
      <c r="Y7" s="16">
        <v>4</v>
      </c>
      <c r="Z7" s="16" t="s">
        <v>49</v>
      </c>
      <c r="AA7" s="16">
        <v>5</v>
      </c>
      <c r="AB7" s="16">
        <v>1</v>
      </c>
      <c r="AC7" s="16" t="s">
        <v>49</v>
      </c>
      <c r="AD7" s="16" t="s">
        <v>49</v>
      </c>
      <c r="AE7" s="16" t="s">
        <v>49</v>
      </c>
      <c r="AF7" s="16" t="s">
        <v>49</v>
      </c>
      <c r="AG7" s="16" t="s">
        <v>49</v>
      </c>
      <c r="AH7" s="10" t="s">
        <v>49</v>
      </c>
      <c r="AI7" s="10" t="s">
        <v>49</v>
      </c>
      <c r="AJ7" s="16">
        <f t="shared" si="0"/>
        <v>26</v>
      </c>
      <c r="AK7" s="16">
        <v>50</v>
      </c>
    </row>
    <row r="8" spans="1:37" ht="15" customHeight="1" x14ac:dyDescent="0.3">
      <c r="A8" s="10">
        <v>7</v>
      </c>
      <c r="B8" s="15" t="s">
        <v>60</v>
      </c>
      <c r="C8" s="10" t="s">
        <v>61</v>
      </c>
      <c r="D8" s="10"/>
      <c r="E8" s="10" t="s">
        <v>43</v>
      </c>
      <c r="F8" s="10" t="s">
        <v>44</v>
      </c>
      <c r="G8" s="10" t="s">
        <v>45</v>
      </c>
      <c r="H8" s="16" t="s">
        <v>46</v>
      </c>
      <c r="I8" s="10" t="s">
        <v>47</v>
      </c>
      <c r="J8" s="10">
        <v>2020</v>
      </c>
      <c r="K8" s="16">
        <v>4</v>
      </c>
      <c r="L8" s="16" t="s">
        <v>48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  <c r="R8" s="16">
        <v>2</v>
      </c>
      <c r="S8" s="16">
        <v>2</v>
      </c>
      <c r="T8" s="16">
        <v>2</v>
      </c>
      <c r="U8" s="16">
        <v>2</v>
      </c>
      <c r="V8" s="16" t="s">
        <v>49</v>
      </c>
      <c r="W8" s="16">
        <v>2</v>
      </c>
      <c r="X8" s="16">
        <v>5</v>
      </c>
      <c r="Y8" s="16" t="s">
        <v>49</v>
      </c>
      <c r="Z8" s="16">
        <v>5</v>
      </c>
      <c r="AA8" s="16">
        <v>5</v>
      </c>
      <c r="AB8" s="16">
        <v>2</v>
      </c>
      <c r="AC8" s="16" t="s">
        <v>49</v>
      </c>
      <c r="AD8" s="16" t="s">
        <v>49</v>
      </c>
      <c r="AE8" s="16" t="s">
        <v>49</v>
      </c>
      <c r="AF8" s="16" t="s">
        <v>49</v>
      </c>
      <c r="AG8" s="16">
        <v>10</v>
      </c>
      <c r="AH8" s="10" t="s">
        <v>49</v>
      </c>
      <c r="AI8" s="10" t="s">
        <v>49</v>
      </c>
      <c r="AJ8" s="16">
        <f t="shared" si="0"/>
        <v>42</v>
      </c>
      <c r="AK8" s="16">
        <v>50</v>
      </c>
    </row>
    <row r="9" spans="1:37" ht="15" customHeight="1" x14ac:dyDescent="0.3">
      <c r="A9" s="10">
        <v>8</v>
      </c>
      <c r="B9" s="15" t="s">
        <v>62</v>
      </c>
      <c r="C9" s="10" t="s">
        <v>63</v>
      </c>
      <c r="D9" s="10"/>
      <c r="E9" s="10" t="s">
        <v>43</v>
      </c>
      <c r="F9" s="10" t="s">
        <v>44</v>
      </c>
      <c r="G9" s="10" t="s">
        <v>45</v>
      </c>
      <c r="H9" s="16" t="s">
        <v>46</v>
      </c>
      <c r="I9" s="10" t="s">
        <v>47</v>
      </c>
      <c r="J9" s="10">
        <v>2020</v>
      </c>
      <c r="K9" s="16">
        <v>4</v>
      </c>
      <c r="L9" s="16" t="s">
        <v>48</v>
      </c>
      <c r="M9" s="16">
        <v>1</v>
      </c>
      <c r="N9" s="16">
        <v>1</v>
      </c>
      <c r="O9" s="16">
        <v>1</v>
      </c>
      <c r="P9" s="16">
        <v>1</v>
      </c>
      <c r="Q9" s="16">
        <v>1</v>
      </c>
      <c r="R9" s="16">
        <v>2</v>
      </c>
      <c r="S9" s="16">
        <v>2</v>
      </c>
      <c r="T9" s="16">
        <v>2</v>
      </c>
      <c r="U9" s="16" t="s">
        <v>49</v>
      </c>
      <c r="V9" s="16">
        <v>2</v>
      </c>
      <c r="W9" s="16">
        <v>2</v>
      </c>
      <c r="X9" s="16" t="s">
        <v>49</v>
      </c>
      <c r="Y9" s="16">
        <v>4</v>
      </c>
      <c r="Z9" s="16">
        <v>5</v>
      </c>
      <c r="AA9" s="16">
        <v>4</v>
      </c>
      <c r="AB9" s="16">
        <v>1</v>
      </c>
      <c r="AC9" s="16" t="s">
        <v>49</v>
      </c>
      <c r="AD9" s="16" t="s">
        <v>49</v>
      </c>
      <c r="AE9" s="16" t="s">
        <v>49</v>
      </c>
      <c r="AF9" s="16" t="s">
        <v>49</v>
      </c>
      <c r="AG9" s="16">
        <v>7</v>
      </c>
      <c r="AH9" s="10" t="s">
        <v>49</v>
      </c>
      <c r="AI9" s="10" t="s">
        <v>49</v>
      </c>
      <c r="AJ9" s="16">
        <f t="shared" si="0"/>
        <v>36</v>
      </c>
      <c r="AK9" s="16">
        <v>50</v>
      </c>
    </row>
    <row r="10" spans="1:37" ht="15" customHeight="1" x14ac:dyDescent="0.3">
      <c r="A10" s="10">
        <v>9</v>
      </c>
      <c r="B10" s="15" t="s">
        <v>64</v>
      </c>
      <c r="C10" s="10" t="s">
        <v>65</v>
      </c>
      <c r="D10" s="10"/>
      <c r="E10" s="10" t="s">
        <v>43</v>
      </c>
      <c r="F10" s="10" t="s">
        <v>44</v>
      </c>
      <c r="G10" s="10" t="s">
        <v>45</v>
      </c>
      <c r="H10" s="16" t="s">
        <v>46</v>
      </c>
      <c r="I10" s="10" t="s">
        <v>47</v>
      </c>
      <c r="J10" s="10">
        <v>2020</v>
      </c>
      <c r="K10" s="16">
        <v>4</v>
      </c>
      <c r="L10" s="16" t="s">
        <v>48</v>
      </c>
      <c r="M10" s="16">
        <v>1</v>
      </c>
      <c r="N10" s="16">
        <v>1</v>
      </c>
      <c r="O10" s="16">
        <v>1</v>
      </c>
      <c r="P10" s="16">
        <v>1</v>
      </c>
      <c r="Q10" s="16">
        <v>1</v>
      </c>
      <c r="R10" s="16" t="s">
        <v>49</v>
      </c>
      <c r="S10" s="16">
        <v>2</v>
      </c>
      <c r="T10" s="16">
        <v>2</v>
      </c>
      <c r="U10" s="16">
        <v>2</v>
      </c>
      <c r="V10" s="16">
        <v>2</v>
      </c>
      <c r="W10" s="16">
        <v>2</v>
      </c>
      <c r="X10" s="16">
        <v>4</v>
      </c>
      <c r="Y10" s="16" t="s">
        <v>49</v>
      </c>
      <c r="Z10" s="16" t="s">
        <v>49</v>
      </c>
      <c r="AA10" s="16">
        <v>4</v>
      </c>
      <c r="AB10" s="16" t="s">
        <v>49</v>
      </c>
      <c r="AC10" s="16">
        <v>1</v>
      </c>
      <c r="AD10" s="16" t="s">
        <v>49</v>
      </c>
      <c r="AE10" s="16" t="s">
        <v>49</v>
      </c>
      <c r="AF10" s="16" t="s">
        <v>49</v>
      </c>
      <c r="AG10" s="16">
        <v>5</v>
      </c>
      <c r="AH10" s="10" t="s">
        <v>49</v>
      </c>
      <c r="AI10" s="10" t="s">
        <v>49</v>
      </c>
      <c r="AJ10" s="16">
        <f t="shared" si="0"/>
        <v>29</v>
      </c>
      <c r="AK10" s="16">
        <v>50</v>
      </c>
    </row>
    <row r="11" spans="1:37" ht="15" customHeight="1" x14ac:dyDescent="0.3">
      <c r="A11" s="10">
        <v>10</v>
      </c>
      <c r="B11" s="15" t="s">
        <v>66</v>
      </c>
      <c r="C11" s="10" t="s">
        <v>67</v>
      </c>
      <c r="D11" s="10"/>
      <c r="E11" s="10" t="s">
        <v>43</v>
      </c>
      <c r="F11" s="10" t="s">
        <v>44</v>
      </c>
      <c r="G11" s="10" t="s">
        <v>45</v>
      </c>
      <c r="H11" s="16" t="s">
        <v>46</v>
      </c>
      <c r="I11" s="10" t="s">
        <v>47</v>
      </c>
      <c r="J11" s="10">
        <v>2020</v>
      </c>
      <c r="K11" s="16">
        <v>4</v>
      </c>
      <c r="L11" s="16" t="s">
        <v>48</v>
      </c>
      <c r="M11" s="16">
        <v>1</v>
      </c>
      <c r="N11" s="16">
        <v>1</v>
      </c>
      <c r="O11" s="16">
        <v>1</v>
      </c>
      <c r="P11" s="16">
        <v>1</v>
      </c>
      <c r="Q11" s="16">
        <v>1</v>
      </c>
      <c r="R11" s="16" t="s">
        <v>49</v>
      </c>
      <c r="S11" s="16">
        <v>2</v>
      </c>
      <c r="T11" s="16">
        <v>2</v>
      </c>
      <c r="U11" s="16">
        <v>2</v>
      </c>
      <c r="V11" s="16">
        <v>2</v>
      </c>
      <c r="W11" s="16">
        <v>2</v>
      </c>
      <c r="X11" s="16">
        <v>5</v>
      </c>
      <c r="Y11" s="16">
        <v>5</v>
      </c>
      <c r="Z11" s="16" t="s">
        <v>49</v>
      </c>
      <c r="AA11" s="16">
        <v>5</v>
      </c>
      <c r="AB11" s="16">
        <v>2</v>
      </c>
      <c r="AC11" s="16" t="s">
        <v>49</v>
      </c>
      <c r="AD11" s="16" t="s">
        <v>49</v>
      </c>
      <c r="AE11" s="16" t="s">
        <v>49</v>
      </c>
      <c r="AF11" s="16" t="s">
        <v>49</v>
      </c>
      <c r="AG11" s="16">
        <v>10</v>
      </c>
      <c r="AH11" s="10" t="s">
        <v>49</v>
      </c>
      <c r="AI11" s="10" t="s">
        <v>49</v>
      </c>
      <c r="AJ11" s="16">
        <f t="shared" si="0"/>
        <v>42</v>
      </c>
      <c r="AK11" s="16">
        <v>50</v>
      </c>
    </row>
    <row r="12" spans="1:37" ht="15" customHeight="1" x14ac:dyDescent="0.3">
      <c r="A12" s="10">
        <v>11</v>
      </c>
      <c r="B12" s="15" t="s">
        <v>68</v>
      </c>
      <c r="C12" s="10" t="s">
        <v>69</v>
      </c>
      <c r="D12" s="10"/>
      <c r="E12" s="10" t="s">
        <v>43</v>
      </c>
      <c r="F12" s="10" t="s">
        <v>44</v>
      </c>
      <c r="G12" s="10" t="s">
        <v>45</v>
      </c>
      <c r="H12" s="16" t="s">
        <v>46</v>
      </c>
      <c r="I12" s="10" t="s">
        <v>47</v>
      </c>
      <c r="J12" s="10">
        <v>2020</v>
      </c>
      <c r="K12" s="16">
        <v>4</v>
      </c>
      <c r="L12" s="16" t="s">
        <v>48</v>
      </c>
      <c r="M12" s="16">
        <v>1</v>
      </c>
      <c r="N12" s="16">
        <v>1</v>
      </c>
      <c r="O12" s="16">
        <v>1</v>
      </c>
      <c r="P12" s="16">
        <v>1</v>
      </c>
      <c r="Q12" s="16">
        <v>1</v>
      </c>
      <c r="R12" s="16">
        <v>2</v>
      </c>
      <c r="S12" s="16">
        <v>2</v>
      </c>
      <c r="T12" s="16">
        <v>2</v>
      </c>
      <c r="U12" s="16">
        <v>2</v>
      </c>
      <c r="V12" s="16" t="s">
        <v>49</v>
      </c>
      <c r="W12" s="16">
        <v>2</v>
      </c>
      <c r="X12" s="16">
        <v>5</v>
      </c>
      <c r="Y12" s="16">
        <v>5</v>
      </c>
      <c r="Z12" s="16" t="s">
        <v>49</v>
      </c>
      <c r="AA12" s="16">
        <v>5</v>
      </c>
      <c r="AB12" s="16">
        <v>6</v>
      </c>
      <c r="AC12" s="16" t="s">
        <v>49</v>
      </c>
      <c r="AD12" s="16" t="s">
        <v>49</v>
      </c>
      <c r="AE12" s="16" t="s">
        <v>49</v>
      </c>
      <c r="AF12" s="16" t="s">
        <v>49</v>
      </c>
      <c r="AG12" s="16" t="s">
        <v>49</v>
      </c>
      <c r="AH12" s="10" t="s">
        <v>49</v>
      </c>
      <c r="AI12" s="10" t="s">
        <v>49</v>
      </c>
      <c r="AJ12" s="16">
        <f t="shared" si="0"/>
        <v>36</v>
      </c>
      <c r="AK12" s="16">
        <v>50</v>
      </c>
    </row>
    <row r="13" spans="1:37" ht="15" customHeight="1" x14ac:dyDescent="0.3">
      <c r="A13" s="10">
        <v>12</v>
      </c>
      <c r="B13" s="15" t="s">
        <v>70</v>
      </c>
      <c r="C13" s="10" t="s">
        <v>71</v>
      </c>
      <c r="D13" s="10"/>
      <c r="E13" s="10" t="s">
        <v>43</v>
      </c>
      <c r="F13" s="10" t="s">
        <v>44</v>
      </c>
      <c r="G13" s="10" t="s">
        <v>45</v>
      </c>
      <c r="H13" s="16" t="s">
        <v>46</v>
      </c>
      <c r="I13" s="10" t="s">
        <v>47</v>
      </c>
      <c r="J13" s="10">
        <v>2020</v>
      </c>
      <c r="K13" s="16">
        <v>4</v>
      </c>
      <c r="L13" s="16" t="s">
        <v>48</v>
      </c>
      <c r="M13" s="16">
        <v>1</v>
      </c>
      <c r="N13" s="16">
        <v>1</v>
      </c>
      <c r="O13" s="16">
        <v>1</v>
      </c>
      <c r="P13" s="16">
        <v>1</v>
      </c>
      <c r="Q13" s="16">
        <v>1</v>
      </c>
      <c r="R13" s="16">
        <v>2</v>
      </c>
      <c r="S13" s="16">
        <v>2</v>
      </c>
      <c r="T13" s="16" t="s">
        <v>49</v>
      </c>
      <c r="U13" s="16">
        <v>2</v>
      </c>
      <c r="V13" s="16">
        <v>2</v>
      </c>
      <c r="W13" s="16">
        <v>2</v>
      </c>
      <c r="X13" s="16" t="s">
        <v>49</v>
      </c>
      <c r="Y13" s="16">
        <v>4</v>
      </c>
      <c r="Z13" s="16" t="s">
        <v>49</v>
      </c>
      <c r="AA13" s="16">
        <v>1</v>
      </c>
      <c r="AB13" s="16">
        <v>1</v>
      </c>
      <c r="AC13" s="16" t="s">
        <v>49</v>
      </c>
      <c r="AD13" s="16" t="s">
        <v>49</v>
      </c>
      <c r="AE13" s="16" t="s">
        <v>49</v>
      </c>
      <c r="AF13" s="16" t="s">
        <v>49</v>
      </c>
      <c r="AG13" s="16" t="s">
        <v>49</v>
      </c>
      <c r="AH13" s="10" t="s">
        <v>49</v>
      </c>
      <c r="AI13" s="10" t="s">
        <v>49</v>
      </c>
      <c r="AJ13" s="16">
        <f t="shared" si="0"/>
        <v>21</v>
      </c>
      <c r="AK13" s="16">
        <v>50</v>
      </c>
    </row>
    <row r="14" spans="1:37" ht="15" customHeight="1" x14ac:dyDescent="0.3">
      <c r="A14" s="10">
        <v>13</v>
      </c>
      <c r="B14" s="15" t="s">
        <v>72</v>
      </c>
      <c r="C14" s="10" t="s">
        <v>73</v>
      </c>
      <c r="D14" s="10"/>
      <c r="E14" s="10" t="s">
        <v>43</v>
      </c>
      <c r="F14" s="10" t="s">
        <v>44</v>
      </c>
      <c r="G14" s="10" t="s">
        <v>45</v>
      </c>
      <c r="H14" s="16" t="s">
        <v>46</v>
      </c>
      <c r="I14" s="10" t="s">
        <v>47</v>
      </c>
      <c r="J14" s="10">
        <v>2020</v>
      </c>
      <c r="K14" s="16">
        <v>4</v>
      </c>
      <c r="L14" s="16" t="s">
        <v>48</v>
      </c>
      <c r="M14" s="16">
        <v>1</v>
      </c>
      <c r="N14" s="16">
        <v>1</v>
      </c>
      <c r="O14" s="16">
        <v>1</v>
      </c>
      <c r="P14" s="16">
        <v>1</v>
      </c>
      <c r="Q14" s="16">
        <v>1</v>
      </c>
      <c r="R14" s="16">
        <v>2</v>
      </c>
      <c r="S14" s="16">
        <v>2</v>
      </c>
      <c r="T14" s="16">
        <v>2</v>
      </c>
      <c r="U14" s="16">
        <v>2</v>
      </c>
      <c r="V14" s="16">
        <v>2</v>
      </c>
      <c r="W14" s="16" t="s">
        <v>49</v>
      </c>
      <c r="X14" s="16">
        <v>4</v>
      </c>
      <c r="Y14" s="16">
        <v>5</v>
      </c>
      <c r="Z14" s="16" t="s">
        <v>49</v>
      </c>
      <c r="AA14" s="16">
        <v>3</v>
      </c>
      <c r="AB14" s="16" t="s">
        <v>49</v>
      </c>
      <c r="AC14" s="16">
        <v>1</v>
      </c>
      <c r="AD14" s="16" t="s">
        <v>49</v>
      </c>
      <c r="AE14" s="16" t="s">
        <v>49</v>
      </c>
      <c r="AF14" s="16" t="s">
        <v>49</v>
      </c>
      <c r="AG14" s="16">
        <v>10</v>
      </c>
      <c r="AH14" s="10" t="s">
        <v>49</v>
      </c>
      <c r="AI14" s="10" t="s">
        <v>49</v>
      </c>
      <c r="AJ14" s="16">
        <f t="shared" si="0"/>
        <v>38</v>
      </c>
      <c r="AK14" s="16">
        <v>50</v>
      </c>
    </row>
    <row r="15" spans="1:37" ht="15" customHeight="1" x14ac:dyDescent="0.3">
      <c r="A15" s="10">
        <v>14</v>
      </c>
      <c r="B15" s="15" t="s">
        <v>74</v>
      </c>
      <c r="C15" s="10" t="s">
        <v>75</v>
      </c>
      <c r="D15" s="10"/>
      <c r="E15" s="10" t="s">
        <v>43</v>
      </c>
      <c r="F15" s="10" t="s">
        <v>44</v>
      </c>
      <c r="G15" s="10" t="s">
        <v>45</v>
      </c>
      <c r="H15" s="16" t="s">
        <v>46</v>
      </c>
      <c r="I15" s="10" t="s">
        <v>47</v>
      </c>
      <c r="J15" s="10">
        <v>2020</v>
      </c>
      <c r="K15" s="16">
        <v>4</v>
      </c>
      <c r="L15" s="16" t="s">
        <v>48</v>
      </c>
      <c r="M15" s="16">
        <v>1</v>
      </c>
      <c r="N15" s="16">
        <v>1</v>
      </c>
      <c r="O15" s="16">
        <v>1</v>
      </c>
      <c r="P15" s="16">
        <v>1</v>
      </c>
      <c r="Q15" s="16">
        <v>1</v>
      </c>
      <c r="R15" s="16">
        <v>2</v>
      </c>
      <c r="S15" s="16">
        <v>2</v>
      </c>
      <c r="T15" s="16">
        <v>2</v>
      </c>
      <c r="U15" s="16">
        <v>2</v>
      </c>
      <c r="V15" s="16" t="s">
        <v>49</v>
      </c>
      <c r="W15" s="16">
        <v>2</v>
      </c>
      <c r="X15" s="16" t="s">
        <v>49</v>
      </c>
      <c r="Y15" s="16">
        <v>1</v>
      </c>
      <c r="Z15" s="16" t="s">
        <v>49</v>
      </c>
      <c r="AA15" s="16">
        <v>5</v>
      </c>
      <c r="AB15" s="16" t="s">
        <v>49</v>
      </c>
      <c r="AC15" s="16">
        <v>1</v>
      </c>
      <c r="AD15" s="16" t="s">
        <v>49</v>
      </c>
      <c r="AE15" s="16" t="s">
        <v>49</v>
      </c>
      <c r="AF15" s="16" t="s">
        <v>49</v>
      </c>
      <c r="AG15" s="16">
        <v>5</v>
      </c>
      <c r="AH15" s="10" t="s">
        <v>49</v>
      </c>
      <c r="AI15" s="10" t="s">
        <v>49</v>
      </c>
      <c r="AJ15" s="16">
        <f t="shared" si="0"/>
        <v>27</v>
      </c>
      <c r="AK15" s="16">
        <v>50</v>
      </c>
    </row>
    <row r="16" spans="1:37" ht="15" customHeight="1" x14ac:dyDescent="0.3">
      <c r="A16" s="10">
        <v>15</v>
      </c>
      <c r="B16" s="15" t="s">
        <v>76</v>
      </c>
      <c r="C16" s="10" t="s">
        <v>77</v>
      </c>
      <c r="D16" s="10"/>
      <c r="E16" s="10" t="s">
        <v>43</v>
      </c>
      <c r="F16" s="10" t="s">
        <v>44</v>
      </c>
      <c r="G16" s="10" t="s">
        <v>45</v>
      </c>
      <c r="H16" s="16" t="s">
        <v>46</v>
      </c>
      <c r="I16" s="10" t="s">
        <v>47</v>
      </c>
      <c r="J16" s="10">
        <v>2020</v>
      </c>
      <c r="K16" s="16">
        <v>4</v>
      </c>
      <c r="L16" s="16" t="s">
        <v>48</v>
      </c>
      <c r="M16" s="16">
        <v>1</v>
      </c>
      <c r="N16" s="16">
        <v>1</v>
      </c>
      <c r="O16" s="16">
        <v>1</v>
      </c>
      <c r="P16" s="16">
        <v>1</v>
      </c>
      <c r="Q16" s="16">
        <v>1</v>
      </c>
      <c r="R16" s="16" t="s">
        <v>49</v>
      </c>
      <c r="S16" s="16">
        <v>2</v>
      </c>
      <c r="T16" s="16">
        <v>2</v>
      </c>
      <c r="U16" s="16">
        <v>2</v>
      </c>
      <c r="V16" s="16">
        <v>2</v>
      </c>
      <c r="W16" s="16">
        <v>2</v>
      </c>
      <c r="X16" s="16">
        <v>2</v>
      </c>
      <c r="Y16" s="16">
        <v>5</v>
      </c>
      <c r="Z16" s="16">
        <v>5</v>
      </c>
      <c r="AA16" s="16" t="s">
        <v>49</v>
      </c>
      <c r="AB16" s="16">
        <v>1</v>
      </c>
      <c r="AC16" s="16" t="s">
        <v>49</v>
      </c>
      <c r="AD16" s="16" t="s">
        <v>49</v>
      </c>
      <c r="AE16" s="16" t="s">
        <v>49</v>
      </c>
      <c r="AF16" s="16" t="s">
        <v>49</v>
      </c>
      <c r="AG16" s="16">
        <v>5</v>
      </c>
      <c r="AH16" s="10" t="s">
        <v>49</v>
      </c>
      <c r="AI16" s="10" t="s">
        <v>49</v>
      </c>
      <c r="AJ16" s="16">
        <f t="shared" si="0"/>
        <v>33</v>
      </c>
      <c r="AK16" s="16">
        <v>50</v>
      </c>
    </row>
    <row r="17" spans="1:37" ht="15" customHeight="1" x14ac:dyDescent="0.3">
      <c r="A17" s="10">
        <v>16</v>
      </c>
      <c r="B17" s="15" t="s">
        <v>78</v>
      </c>
      <c r="C17" s="10" t="s">
        <v>79</v>
      </c>
      <c r="D17" s="10"/>
      <c r="E17" s="10" t="s">
        <v>43</v>
      </c>
      <c r="F17" s="10" t="s">
        <v>44</v>
      </c>
      <c r="G17" s="10" t="s">
        <v>45</v>
      </c>
      <c r="H17" s="16" t="s">
        <v>46</v>
      </c>
      <c r="I17" s="10" t="s">
        <v>47</v>
      </c>
      <c r="J17" s="10">
        <v>2020</v>
      </c>
      <c r="K17" s="16">
        <v>4</v>
      </c>
      <c r="L17" s="16" t="s">
        <v>48</v>
      </c>
      <c r="M17" s="16">
        <v>1</v>
      </c>
      <c r="N17" s="16">
        <v>1</v>
      </c>
      <c r="O17" s="16">
        <v>1</v>
      </c>
      <c r="P17" s="16">
        <v>1</v>
      </c>
      <c r="Q17" s="16">
        <v>1</v>
      </c>
      <c r="R17" s="16">
        <v>2</v>
      </c>
      <c r="S17" s="16" t="s">
        <v>49</v>
      </c>
      <c r="T17" s="16">
        <v>2</v>
      </c>
      <c r="U17" s="16">
        <v>2</v>
      </c>
      <c r="V17" s="16">
        <v>2</v>
      </c>
      <c r="W17" s="16">
        <v>2</v>
      </c>
      <c r="X17" s="16">
        <v>5</v>
      </c>
      <c r="Y17" s="16">
        <v>5</v>
      </c>
      <c r="Z17" s="16" t="s">
        <v>49</v>
      </c>
      <c r="AA17" s="16">
        <v>5</v>
      </c>
      <c r="AB17" s="16">
        <v>1</v>
      </c>
      <c r="AC17" s="16" t="s">
        <v>49</v>
      </c>
      <c r="AD17" s="16" t="s">
        <v>49</v>
      </c>
      <c r="AE17" s="16" t="s">
        <v>49</v>
      </c>
      <c r="AF17" s="16" t="s">
        <v>49</v>
      </c>
      <c r="AG17" s="16">
        <v>10</v>
      </c>
      <c r="AH17" s="10" t="s">
        <v>49</v>
      </c>
      <c r="AI17" s="10" t="s">
        <v>49</v>
      </c>
      <c r="AJ17" s="16">
        <f t="shared" si="0"/>
        <v>41</v>
      </c>
      <c r="AK17" s="16">
        <v>50</v>
      </c>
    </row>
    <row r="18" spans="1:37" ht="15" customHeight="1" x14ac:dyDescent="0.3">
      <c r="A18" s="10">
        <v>17</v>
      </c>
      <c r="B18" s="15" t="s">
        <v>80</v>
      </c>
      <c r="C18" s="10" t="s">
        <v>81</v>
      </c>
      <c r="D18" s="10"/>
      <c r="E18" s="10" t="s">
        <v>43</v>
      </c>
      <c r="F18" s="10" t="s">
        <v>44</v>
      </c>
      <c r="G18" s="10" t="s">
        <v>45</v>
      </c>
      <c r="H18" s="16" t="s">
        <v>46</v>
      </c>
      <c r="I18" s="10" t="s">
        <v>47</v>
      </c>
      <c r="J18" s="10">
        <v>2020</v>
      </c>
      <c r="K18" s="16">
        <v>4</v>
      </c>
      <c r="L18" s="16" t="s">
        <v>48</v>
      </c>
      <c r="M18" s="16">
        <v>1</v>
      </c>
      <c r="N18" s="16">
        <v>1</v>
      </c>
      <c r="O18" s="16">
        <v>1</v>
      </c>
      <c r="P18" s="16">
        <v>1</v>
      </c>
      <c r="Q18" s="16">
        <v>1</v>
      </c>
      <c r="R18" s="16">
        <v>2</v>
      </c>
      <c r="S18" s="16">
        <v>2</v>
      </c>
      <c r="T18" s="16">
        <v>2</v>
      </c>
      <c r="U18" s="16">
        <v>2</v>
      </c>
      <c r="V18" s="16" t="s">
        <v>49</v>
      </c>
      <c r="W18" s="16">
        <v>2</v>
      </c>
      <c r="X18" s="16" t="s">
        <v>49</v>
      </c>
      <c r="Y18" s="16">
        <v>2</v>
      </c>
      <c r="Z18" s="16" t="s">
        <v>49</v>
      </c>
      <c r="AA18" s="16" t="s">
        <v>49</v>
      </c>
      <c r="AB18" s="16">
        <v>1</v>
      </c>
      <c r="AC18" s="16" t="s">
        <v>49</v>
      </c>
      <c r="AD18" s="16" t="s">
        <v>49</v>
      </c>
      <c r="AE18" s="16" t="s">
        <v>49</v>
      </c>
      <c r="AF18" s="16" t="s">
        <v>49</v>
      </c>
      <c r="AG18" s="16">
        <v>5</v>
      </c>
      <c r="AH18" s="10" t="s">
        <v>49</v>
      </c>
      <c r="AI18" s="10" t="s">
        <v>49</v>
      </c>
      <c r="AJ18" s="16">
        <f t="shared" si="0"/>
        <v>23</v>
      </c>
      <c r="AK18" s="16">
        <v>50</v>
      </c>
    </row>
    <row r="19" spans="1:37" ht="15" customHeight="1" x14ac:dyDescent="0.3">
      <c r="A19" s="10">
        <v>18</v>
      </c>
      <c r="B19" s="15" t="s">
        <v>82</v>
      </c>
      <c r="C19" s="10" t="s">
        <v>83</v>
      </c>
      <c r="D19" s="10"/>
      <c r="E19" s="10" t="s">
        <v>43</v>
      </c>
      <c r="F19" s="10" t="s">
        <v>44</v>
      </c>
      <c r="G19" s="10" t="s">
        <v>45</v>
      </c>
      <c r="H19" s="16" t="s">
        <v>46</v>
      </c>
      <c r="I19" s="10" t="s">
        <v>47</v>
      </c>
      <c r="J19" s="10">
        <v>2020</v>
      </c>
      <c r="K19" s="16">
        <v>4</v>
      </c>
      <c r="L19" s="16" t="s">
        <v>48</v>
      </c>
      <c r="M19" s="16">
        <v>1</v>
      </c>
      <c r="N19" s="16">
        <v>1</v>
      </c>
      <c r="O19" s="16">
        <v>1</v>
      </c>
      <c r="P19" s="16">
        <v>1</v>
      </c>
      <c r="Q19" s="16">
        <v>1</v>
      </c>
      <c r="R19" s="16">
        <v>2</v>
      </c>
      <c r="S19" s="16">
        <v>2</v>
      </c>
      <c r="T19" s="16">
        <v>2</v>
      </c>
      <c r="U19" s="16">
        <v>2</v>
      </c>
      <c r="V19" s="16" t="s">
        <v>49</v>
      </c>
      <c r="W19" s="16">
        <v>2</v>
      </c>
      <c r="X19" s="16">
        <v>4</v>
      </c>
      <c r="Y19" s="16">
        <v>2</v>
      </c>
      <c r="Z19" s="16">
        <v>5</v>
      </c>
      <c r="AA19" s="16" t="s">
        <v>49</v>
      </c>
      <c r="AB19" s="16" t="s">
        <v>49</v>
      </c>
      <c r="AC19" s="16">
        <v>1</v>
      </c>
      <c r="AD19" s="16" t="s">
        <v>49</v>
      </c>
      <c r="AE19" s="16" t="s">
        <v>49</v>
      </c>
      <c r="AF19" s="16" t="s">
        <v>49</v>
      </c>
      <c r="AG19" s="16">
        <v>7</v>
      </c>
      <c r="AH19" s="10" t="s">
        <v>49</v>
      </c>
      <c r="AI19" s="10" t="s">
        <v>49</v>
      </c>
      <c r="AJ19" s="16">
        <f t="shared" si="0"/>
        <v>34</v>
      </c>
      <c r="AK19" s="16">
        <v>50</v>
      </c>
    </row>
    <row r="20" spans="1:37" ht="14.4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spans="1:37" ht="15.75" customHeight="1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spans="1:37" ht="15.75" customHeight="1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spans="1:37" ht="15.75" customHeight="1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spans="1:37" ht="15.75" customHeight="1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spans="1:37" ht="15.75" customHeight="1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spans="1:37" ht="15.75" customHeight="1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spans="1:37" ht="15.75" customHeight="1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spans="1:37" ht="15.75" customHeight="1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spans="1:37" ht="15.75" customHeight="1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spans="1:37" ht="15.7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spans="1:37" ht="15.75" customHeight="1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spans="1:37" ht="15.75" customHeight="1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ht="15.75" customHeight="1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spans="1:37" ht="15.75" customHeight="1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spans="1:37" ht="15.75" customHeight="1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spans="1:37" ht="15.75" customHeight="1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spans="1:37" ht="15.75" customHeight="1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spans="1:37" ht="15.75" customHeight="1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spans="1:37" ht="15.75" customHeight="1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spans="1:37" ht="15.75" customHeight="1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spans="1:37" ht="15.75" customHeight="1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spans="1:37" ht="15.75" customHeight="1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spans="1:37" ht="15.75" customHeight="1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spans="1:37" ht="15.75" customHeight="1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spans="1:37" ht="15.75" customHeight="1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spans="1:37" ht="15.75" customHeight="1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spans="1:37" ht="15.75" customHeight="1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spans="1:37" ht="15.75" customHeight="1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spans="1:37" ht="15.75" customHeight="1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spans="1:37" ht="15.75" customHeight="1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spans="1:37" ht="15.75" customHeight="1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spans="1:37" ht="15.75" customHeight="1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spans="1:37" ht="15.75" customHeight="1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spans="1:37" ht="15.75" customHeight="1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spans="1:37" ht="15.75" customHeight="1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spans="1:37" ht="15.75" customHeight="1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spans="1:37" ht="15.75" customHeight="1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spans="1:37" ht="15.75" customHeight="1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spans="1:37" ht="15.75" customHeight="1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spans="1:37" ht="15.75" customHeight="1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spans="1:37" ht="15.75" customHeight="1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spans="1:37" ht="15.75" customHeight="1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spans="1:37" ht="15.75" customHeight="1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spans="1:37" ht="15.75" customHeight="1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spans="1:37" ht="15.75" customHeight="1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spans="1:37" ht="15.75" customHeight="1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spans="1:37" ht="15.75" customHeight="1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spans="1:37" ht="15.75" customHeight="1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spans="1:37" ht="15.75" customHeight="1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spans="1:37" ht="15.75" customHeight="1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spans="1:37" ht="15.75" customHeight="1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spans="1:37" ht="15.75" customHeight="1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spans="1:37" ht="15.75" customHeight="1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spans="1:37" ht="15.75" customHeight="1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spans="1:37" ht="15.75" customHeight="1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spans="1:37" ht="15.75" customHeight="1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spans="1:37" ht="15.75" customHeight="1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spans="1:37" ht="15.75" customHeight="1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spans="1:37" ht="15.75" customHeight="1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spans="1:37" ht="15.75" customHeight="1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spans="1:37" ht="15.75" customHeight="1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spans="1:37" ht="15.75" customHeight="1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spans="1:37" ht="15.75" customHeight="1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spans="1:37" ht="15.75" customHeight="1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spans="1:37" ht="15.75" customHeight="1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spans="1:37" ht="15.75" customHeight="1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spans="1:37" ht="15.75" customHeight="1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spans="1:37" ht="15.75" customHeight="1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spans="1:37" ht="15.75" customHeight="1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spans="1:37" ht="15.75" customHeight="1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spans="1:37" ht="15.75" customHeight="1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spans="1:37" ht="15.75" customHeight="1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spans="1:37" ht="15.75" customHeight="1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spans="1:37" ht="15.75" customHeight="1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spans="1:37" ht="15.75" customHeight="1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spans="1:37" ht="15.75" customHeight="1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spans="1:37" ht="15.75" customHeight="1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spans="1:37" ht="15.75" customHeight="1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spans="1:37" ht="15.75" customHeight="1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spans="1:37" ht="15.75" customHeight="1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spans="1:37" ht="15.75" customHeight="1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spans="1:37" ht="15.75" customHeight="1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spans="1:37" ht="15.7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spans="1:37" ht="15.75" customHeight="1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spans="1:37" ht="15.75" customHeight="1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spans="1:37" ht="15.75" customHeight="1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spans="1:37" ht="15.75" customHeight="1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spans="1:37" ht="15.75" customHeight="1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spans="1:37" ht="15.7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spans="1:37" ht="15.75" customHeight="1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spans="1:37" ht="15.75" customHeight="1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spans="1:37" ht="15.75" customHeight="1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spans="1:37" ht="15.75" customHeight="1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spans="1:37" ht="15.75" customHeight="1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spans="1:37" ht="15.75" customHeight="1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spans="1:37" ht="15.75" customHeight="1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spans="1:37" ht="15.75" customHeight="1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spans="1:37" ht="15.75" customHeight="1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spans="1:37" ht="15.75" customHeight="1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spans="1:37" ht="15.75" customHeight="1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spans="1:37" ht="15.75" customHeight="1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spans="1:37" ht="15.75" customHeight="1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spans="1:37" ht="15.75" customHeight="1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spans="1:37" ht="15.75" customHeight="1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spans="1:37" ht="15.75" customHeight="1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spans="1:37" ht="15.75" customHeight="1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spans="1:37" ht="15.75" customHeight="1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spans="1:37" ht="15.75" customHeight="1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spans="1:37" ht="15.75" customHeight="1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spans="1:37" ht="15.75" customHeight="1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spans="1:37" ht="15.75" customHeight="1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spans="1:37" ht="15.75" customHeight="1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spans="1:37" ht="15.75" customHeight="1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spans="1:37" ht="15.75" customHeight="1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spans="1:37" ht="15.75" customHeight="1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spans="1:37" ht="15.75" customHeight="1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spans="1:37" ht="15.75" customHeight="1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spans="1:37" ht="15.75" customHeight="1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spans="1:37" ht="15.75" customHeight="1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spans="1:37" ht="15.75" customHeight="1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spans="1:37" ht="15.75" customHeight="1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spans="1:37" ht="15.75" customHeight="1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spans="1:37" ht="15.75" customHeight="1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spans="1:37" ht="15.75" customHeight="1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spans="1:37" ht="15.75" customHeight="1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spans="1:37" ht="15.75" customHeight="1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spans="1:37" ht="15.75" customHeight="1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spans="1:37" ht="15.75" customHeight="1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spans="1:37" ht="15.75" customHeight="1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spans="1:37" ht="15.75" customHeight="1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spans="1:37" ht="15.75" customHeight="1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spans="1:37" ht="15.75" customHeight="1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spans="1:37" ht="15.75" customHeight="1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spans="1:37" ht="15.75" customHeight="1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spans="1:37" ht="15.75" customHeight="1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spans="1:37" ht="15.75" customHeight="1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spans="1:37" ht="15.75" customHeight="1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spans="1:37" ht="15.75" customHeight="1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spans="1:37" ht="15.75" customHeight="1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spans="1:37" ht="15.75" customHeight="1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spans="1:37" ht="15.75" customHeight="1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spans="1:37" ht="15.75" customHeight="1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spans="1:37" ht="15.75" customHeight="1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spans="1:37" ht="15.75" customHeight="1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spans="1:37" ht="15.75" customHeight="1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spans="1:37" ht="15.75" customHeight="1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spans="1:37" ht="15.75" customHeight="1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spans="1:37" ht="15.75" customHeight="1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spans="1:37" ht="15.75" customHeight="1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spans="1:37" ht="15.75" customHeight="1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spans="1:37" ht="15.75" customHeight="1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spans="1:37" ht="15.75" customHeight="1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spans="1:37" ht="15.75" customHeight="1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spans="1:37" ht="15.75" customHeight="1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spans="1:37" ht="15.75" customHeight="1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spans="1:37" ht="15.75" customHeight="1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spans="1:37" ht="15.75" customHeight="1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spans="1:37" ht="15.75" customHeight="1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spans="1:37" ht="15.75" customHeight="1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spans="1:37" ht="15.75" customHeight="1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spans="1:37" ht="15.75" customHeight="1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spans="1:37" ht="15.75" customHeight="1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spans="1:37" ht="15.75" customHeight="1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spans="1:37" ht="15.75" customHeight="1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spans="1:37" ht="15.75" customHeight="1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spans="1:37" ht="15.75" customHeight="1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spans="1:37" ht="15.75" customHeight="1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spans="1:37" ht="15.75" customHeight="1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spans="1:37" ht="15.75" customHeight="1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spans="1:37" ht="15.75" customHeight="1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spans="1:37" ht="15.75" customHeight="1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spans="1:37" ht="15.75" customHeight="1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spans="1:37" ht="15.75" customHeight="1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spans="1:37" ht="15.75" customHeight="1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spans="1:37" ht="15.75" customHeight="1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spans="1:37" ht="15.75" customHeight="1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spans="1:37" ht="15.75" customHeight="1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spans="1:37" ht="15.75" customHeight="1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spans="1:37" ht="15.75" customHeight="1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spans="1:37" ht="15.75" customHeight="1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spans="1:37" ht="15.75" customHeight="1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spans="1:37" ht="15.75" customHeight="1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spans="1:37" ht="15.75" customHeight="1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spans="1:37" ht="15.75" customHeight="1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spans="1:37" ht="15.75" customHeight="1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spans="1:37" ht="15.75" customHeight="1" x14ac:dyDescent="0.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spans="1:37" ht="15.75" customHeight="1" x14ac:dyDescent="0.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spans="1:37" ht="15.75" customHeight="1" x14ac:dyDescent="0.3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spans="1:37" ht="15.75" customHeight="1" x14ac:dyDescent="0.3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spans="1:37" ht="15.75" customHeight="1" x14ac:dyDescent="0.3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spans="1:37" ht="15.75" customHeight="1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spans="1:37" ht="15.75" customHeight="1" x14ac:dyDescent="0.3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spans="1:37" ht="15.75" customHeight="1" x14ac:dyDescent="0.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spans="1:37" ht="15.75" customHeight="1" x14ac:dyDescent="0.3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spans="1:37" ht="15.75" customHeight="1" x14ac:dyDescent="0.3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spans="1:37" ht="15.75" customHeight="1" x14ac:dyDescent="0.3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spans="1:37" ht="15.75" customHeight="1" x14ac:dyDescent="0.3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spans="1:37" ht="15.75" customHeight="1" x14ac:dyDescent="0.3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spans="1:37" ht="15.75" customHeight="1" x14ac:dyDescent="0.3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spans="1:37" ht="15.75" customHeight="1" x14ac:dyDescent="0.3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spans="1:37" ht="15.75" customHeight="1" x14ac:dyDescent="0.3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</row>
    <row r="222" spans="1:37" ht="15.75" customHeight="1" x14ac:dyDescent="0.3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</row>
    <row r="223" spans="1:37" ht="15.75" customHeight="1" x14ac:dyDescent="0.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</row>
    <row r="224" spans="1:37" ht="15.75" customHeight="1" x14ac:dyDescent="0.3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</row>
    <row r="225" spans="1:37" ht="15.75" customHeight="1" x14ac:dyDescent="0.3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</row>
    <row r="226" spans="1:37" ht="15.75" customHeight="1" x14ac:dyDescent="0.3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</row>
    <row r="227" spans="1:37" ht="15.75" customHeight="1" x14ac:dyDescent="0.3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</row>
    <row r="228" spans="1:37" ht="15.75" customHeight="1" x14ac:dyDescent="0.3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</row>
    <row r="229" spans="1:37" ht="15.75" customHeight="1" x14ac:dyDescent="0.3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</row>
    <row r="230" spans="1:37" ht="15.75" customHeight="1" x14ac:dyDescent="0.3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</row>
    <row r="231" spans="1:37" ht="15.75" customHeight="1" x14ac:dyDescent="0.3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</row>
    <row r="232" spans="1:37" ht="15.75" customHeight="1" x14ac:dyDescent="0.3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</row>
    <row r="233" spans="1:37" ht="15.75" customHeight="1" x14ac:dyDescent="0.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</row>
    <row r="234" spans="1:37" ht="15.75" customHeight="1" x14ac:dyDescent="0.3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</row>
    <row r="235" spans="1:37" ht="15.75" customHeight="1" x14ac:dyDescent="0.3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</row>
    <row r="236" spans="1:37" ht="15.75" customHeight="1" x14ac:dyDescent="0.3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</row>
    <row r="237" spans="1:37" ht="15.75" customHeight="1" x14ac:dyDescent="0.3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</row>
    <row r="238" spans="1:37" ht="15.75" customHeight="1" x14ac:dyDescent="0.3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</row>
    <row r="239" spans="1:37" ht="15.75" customHeight="1" x14ac:dyDescent="0.3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</row>
    <row r="240" spans="1:37" ht="15.75" customHeight="1" x14ac:dyDescent="0.3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</row>
    <row r="241" spans="1:37" ht="15.75" customHeight="1" x14ac:dyDescent="0.3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</row>
    <row r="242" spans="1:37" ht="15.75" customHeight="1" x14ac:dyDescent="0.3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</row>
    <row r="243" spans="1:37" ht="15.75" customHeight="1" x14ac:dyDescent="0.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</row>
    <row r="244" spans="1:37" ht="15.75" customHeight="1" x14ac:dyDescent="0.3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</row>
    <row r="245" spans="1:37" ht="15.75" customHeight="1" x14ac:dyDescent="0.3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</row>
    <row r="246" spans="1:37" ht="15.75" customHeight="1" x14ac:dyDescent="0.3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</row>
    <row r="247" spans="1:37" ht="15.75" customHeight="1" x14ac:dyDescent="0.3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</row>
    <row r="248" spans="1:37" ht="15.75" customHeight="1" x14ac:dyDescent="0.3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</row>
    <row r="249" spans="1:37" ht="15.75" customHeight="1" x14ac:dyDescent="0.3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</row>
    <row r="250" spans="1:37" ht="15.75" customHeight="1" x14ac:dyDescent="0.3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</row>
    <row r="251" spans="1:37" ht="15.75" customHeight="1" x14ac:dyDescent="0.3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</row>
    <row r="252" spans="1:37" ht="15.75" customHeight="1" x14ac:dyDescent="0.3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</row>
    <row r="253" spans="1:37" ht="15.75" customHeight="1" x14ac:dyDescent="0.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</row>
    <row r="254" spans="1:37" ht="15.75" customHeight="1" x14ac:dyDescent="0.3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</row>
    <row r="255" spans="1:37" ht="15.75" customHeight="1" x14ac:dyDescent="0.3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</row>
    <row r="256" spans="1:37" ht="15.75" customHeight="1" x14ac:dyDescent="0.3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</row>
    <row r="257" spans="1:37" ht="15.75" customHeight="1" x14ac:dyDescent="0.3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</row>
    <row r="258" spans="1:37" ht="15.75" customHeight="1" x14ac:dyDescent="0.3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</row>
    <row r="259" spans="1:37" ht="15.75" customHeight="1" x14ac:dyDescent="0.3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</row>
    <row r="260" spans="1:37" ht="15.75" customHeight="1" x14ac:dyDescent="0.3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</row>
    <row r="261" spans="1:37" ht="15.75" customHeight="1" x14ac:dyDescent="0.3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</row>
    <row r="262" spans="1:37" ht="15.75" customHeight="1" x14ac:dyDescent="0.3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</row>
    <row r="263" spans="1:37" ht="15.75" customHeight="1" x14ac:dyDescent="0.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</row>
    <row r="264" spans="1:37" ht="15.75" customHeight="1" x14ac:dyDescent="0.3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</row>
    <row r="265" spans="1:37" ht="15.75" customHeight="1" x14ac:dyDescent="0.3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</row>
    <row r="266" spans="1:37" ht="15.75" customHeight="1" x14ac:dyDescent="0.3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</row>
    <row r="267" spans="1:37" ht="15.75" customHeight="1" x14ac:dyDescent="0.3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</row>
    <row r="268" spans="1:37" ht="15.75" customHeight="1" x14ac:dyDescent="0.3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</row>
    <row r="269" spans="1:37" ht="15.75" customHeight="1" x14ac:dyDescent="0.3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</row>
    <row r="270" spans="1:37" ht="15.75" customHeight="1" x14ac:dyDescent="0.3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</row>
    <row r="271" spans="1:37" ht="15.75" customHeight="1" x14ac:dyDescent="0.3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</row>
    <row r="272" spans="1:37" ht="15.75" customHeight="1" x14ac:dyDescent="0.3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</row>
    <row r="273" spans="1:37" ht="15.75" customHeight="1" x14ac:dyDescent="0.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</row>
    <row r="274" spans="1:37" ht="15.75" customHeight="1" x14ac:dyDescent="0.3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</row>
    <row r="275" spans="1:37" ht="15.75" customHeight="1" x14ac:dyDescent="0.3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</row>
    <row r="276" spans="1:37" ht="15.75" customHeight="1" x14ac:dyDescent="0.3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</row>
    <row r="277" spans="1:37" ht="15.75" customHeight="1" x14ac:dyDescent="0.3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</row>
    <row r="278" spans="1:37" ht="15.75" customHeight="1" x14ac:dyDescent="0.3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</row>
    <row r="279" spans="1:37" ht="15.75" customHeight="1" x14ac:dyDescent="0.3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</row>
    <row r="280" spans="1:37" ht="15.75" customHeight="1" x14ac:dyDescent="0.3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</row>
    <row r="281" spans="1:37" ht="15.75" customHeight="1" x14ac:dyDescent="0.3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</row>
    <row r="282" spans="1:37" ht="15.75" customHeight="1" x14ac:dyDescent="0.3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</row>
    <row r="283" spans="1:37" ht="15.75" customHeight="1" x14ac:dyDescent="0.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</row>
    <row r="284" spans="1:37" ht="15.75" customHeight="1" x14ac:dyDescent="0.3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</row>
    <row r="285" spans="1:37" ht="15.75" customHeight="1" x14ac:dyDescent="0.3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</row>
    <row r="286" spans="1:37" ht="15.75" customHeight="1" x14ac:dyDescent="0.3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</row>
    <row r="287" spans="1:37" ht="15.75" customHeight="1" x14ac:dyDescent="0.3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</row>
    <row r="288" spans="1:37" ht="15.75" customHeight="1" x14ac:dyDescent="0.3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</row>
    <row r="289" spans="1:37" ht="15.75" customHeight="1" x14ac:dyDescent="0.3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</row>
    <row r="290" spans="1:37" ht="15.75" customHeight="1" x14ac:dyDescent="0.3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</row>
    <row r="291" spans="1:37" ht="15.75" customHeight="1" x14ac:dyDescent="0.3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</row>
    <row r="292" spans="1:37" ht="15.75" customHeight="1" x14ac:dyDescent="0.3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</row>
    <row r="293" spans="1:37" ht="15.75" customHeight="1" x14ac:dyDescent="0.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</row>
    <row r="294" spans="1:37" ht="15.75" customHeight="1" x14ac:dyDescent="0.3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</row>
    <row r="295" spans="1:37" ht="15.75" customHeight="1" x14ac:dyDescent="0.3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</row>
    <row r="296" spans="1:37" ht="15.75" customHeight="1" x14ac:dyDescent="0.3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</row>
    <row r="297" spans="1:37" ht="15.75" customHeight="1" x14ac:dyDescent="0.3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</row>
    <row r="298" spans="1:37" ht="15.75" customHeight="1" x14ac:dyDescent="0.3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</row>
    <row r="299" spans="1:37" ht="15.75" customHeight="1" x14ac:dyDescent="0.3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</row>
    <row r="300" spans="1:37" ht="15.75" customHeight="1" x14ac:dyDescent="0.3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</row>
    <row r="301" spans="1:37" ht="15.75" customHeight="1" x14ac:dyDescent="0.3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</row>
    <row r="302" spans="1:37" ht="15.75" customHeight="1" x14ac:dyDescent="0.3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</row>
    <row r="303" spans="1:37" ht="15.75" customHeight="1" x14ac:dyDescent="0.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</row>
    <row r="304" spans="1:37" ht="15.75" customHeight="1" x14ac:dyDescent="0.3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</row>
    <row r="305" spans="1:37" ht="15.75" customHeight="1" x14ac:dyDescent="0.3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</row>
    <row r="306" spans="1:37" ht="15.75" customHeight="1" x14ac:dyDescent="0.3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</row>
    <row r="307" spans="1:37" ht="15.75" customHeight="1" x14ac:dyDescent="0.3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</row>
    <row r="308" spans="1:37" ht="15.75" customHeight="1" x14ac:dyDescent="0.3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</row>
    <row r="309" spans="1:37" ht="15.75" customHeight="1" x14ac:dyDescent="0.3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</row>
    <row r="310" spans="1:37" ht="15.75" customHeight="1" x14ac:dyDescent="0.3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</row>
    <row r="311" spans="1:37" ht="15.75" customHeight="1" x14ac:dyDescent="0.3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</row>
    <row r="312" spans="1:37" ht="15.75" customHeight="1" x14ac:dyDescent="0.3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</row>
    <row r="313" spans="1:37" ht="15.75" customHeight="1" x14ac:dyDescent="0.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</row>
    <row r="314" spans="1:37" ht="15.75" customHeight="1" x14ac:dyDescent="0.3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</row>
    <row r="315" spans="1:37" ht="15.75" customHeight="1" x14ac:dyDescent="0.3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</row>
    <row r="316" spans="1:37" ht="15.75" customHeight="1" x14ac:dyDescent="0.3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</row>
    <row r="317" spans="1:37" ht="15.75" customHeight="1" x14ac:dyDescent="0.3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</row>
    <row r="318" spans="1:37" ht="15.75" customHeight="1" x14ac:dyDescent="0.3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</row>
    <row r="319" spans="1:37" ht="15.75" customHeight="1" x14ac:dyDescent="0.3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</row>
    <row r="320" spans="1:37" ht="15.75" customHeight="1" x14ac:dyDescent="0.3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</row>
    <row r="321" spans="1:37" ht="15.75" customHeight="1" x14ac:dyDescent="0.3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</row>
    <row r="322" spans="1:37" ht="15.75" customHeight="1" x14ac:dyDescent="0.3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</row>
    <row r="323" spans="1:37" ht="15.75" customHeight="1" x14ac:dyDescent="0.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</row>
    <row r="324" spans="1:37" ht="15.75" customHeight="1" x14ac:dyDescent="0.3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</row>
    <row r="325" spans="1:37" ht="15.75" customHeight="1" x14ac:dyDescent="0.3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</row>
    <row r="326" spans="1:37" ht="15.75" customHeight="1" x14ac:dyDescent="0.3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</row>
    <row r="327" spans="1:37" ht="15.75" customHeight="1" x14ac:dyDescent="0.3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</row>
    <row r="328" spans="1:37" ht="15.75" customHeight="1" x14ac:dyDescent="0.3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</row>
    <row r="329" spans="1:37" ht="15.75" customHeight="1" x14ac:dyDescent="0.3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</row>
    <row r="330" spans="1:37" ht="15.75" customHeight="1" x14ac:dyDescent="0.3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</row>
    <row r="331" spans="1:37" ht="15.75" customHeight="1" x14ac:dyDescent="0.3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</row>
    <row r="332" spans="1:37" ht="15.75" customHeight="1" x14ac:dyDescent="0.3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</row>
    <row r="333" spans="1:37" ht="15.75" customHeight="1" x14ac:dyDescent="0.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</row>
    <row r="334" spans="1:37" ht="15.75" customHeight="1" x14ac:dyDescent="0.3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</row>
    <row r="335" spans="1:37" ht="15.75" customHeight="1" x14ac:dyDescent="0.3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</row>
    <row r="336" spans="1:37" ht="15.75" customHeight="1" x14ac:dyDescent="0.3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</row>
    <row r="337" spans="1:37" ht="15.75" customHeight="1" x14ac:dyDescent="0.3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</row>
    <row r="338" spans="1:37" ht="15.75" customHeight="1" x14ac:dyDescent="0.3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</row>
    <row r="339" spans="1:37" ht="15.75" customHeight="1" x14ac:dyDescent="0.3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</row>
    <row r="340" spans="1:37" ht="15.75" customHeight="1" x14ac:dyDescent="0.3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</row>
    <row r="341" spans="1:37" ht="15.75" customHeight="1" x14ac:dyDescent="0.3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</row>
    <row r="342" spans="1:37" ht="15.75" customHeight="1" x14ac:dyDescent="0.3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</row>
    <row r="343" spans="1:37" ht="15.75" customHeight="1" x14ac:dyDescent="0.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</row>
    <row r="344" spans="1:37" ht="15.75" customHeight="1" x14ac:dyDescent="0.3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</row>
    <row r="345" spans="1:37" ht="15.75" customHeight="1" x14ac:dyDescent="0.3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</row>
    <row r="346" spans="1:37" ht="15.75" customHeight="1" x14ac:dyDescent="0.3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</row>
    <row r="347" spans="1:37" ht="15.75" customHeight="1" x14ac:dyDescent="0.3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</row>
    <row r="348" spans="1:37" ht="15.75" customHeight="1" x14ac:dyDescent="0.3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</row>
    <row r="349" spans="1:37" ht="15.75" customHeight="1" x14ac:dyDescent="0.3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</row>
    <row r="350" spans="1:37" ht="15.75" customHeight="1" x14ac:dyDescent="0.3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</row>
    <row r="351" spans="1:37" ht="15.75" customHeight="1" x14ac:dyDescent="0.3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</row>
    <row r="352" spans="1:37" ht="15.75" customHeight="1" x14ac:dyDescent="0.3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</row>
    <row r="353" spans="1:37" ht="15.75" customHeight="1" x14ac:dyDescent="0.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</row>
    <row r="354" spans="1:37" ht="15.75" customHeight="1" x14ac:dyDescent="0.3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</row>
    <row r="355" spans="1:37" ht="15.75" customHeight="1" x14ac:dyDescent="0.3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</row>
    <row r="356" spans="1:37" ht="15.75" customHeight="1" x14ac:dyDescent="0.3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</row>
    <row r="357" spans="1:37" ht="15.75" customHeight="1" x14ac:dyDescent="0.3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</row>
    <row r="358" spans="1:37" ht="15.75" customHeight="1" x14ac:dyDescent="0.3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</row>
    <row r="359" spans="1:37" ht="15.75" customHeight="1" x14ac:dyDescent="0.3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</row>
    <row r="360" spans="1:37" ht="15.75" customHeight="1" x14ac:dyDescent="0.3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</row>
    <row r="361" spans="1:37" ht="15.75" customHeight="1" x14ac:dyDescent="0.3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</row>
    <row r="362" spans="1:37" ht="15.75" customHeight="1" x14ac:dyDescent="0.3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</row>
    <row r="363" spans="1:37" ht="15.75" customHeight="1" x14ac:dyDescent="0.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</row>
    <row r="364" spans="1:37" ht="15.75" customHeight="1" x14ac:dyDescent="0.3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</row>
    <row r="365" spans="1:37" ht="15.75" customHeight="1" x14ac:dyDescent="0.3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</row>
    <row r="366" spans="1:37" ht="15.75" customHeight="1" x14ac:dyDescent="0.3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</row>
    <row r="367" spans="1:37" ht="15.75" customHeight="1" x14ac:dyDescent="0.3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</row>
    <row r="368" spans="1:37" ht="15.75" customHeight="1" x14ac:dyDescent="0.3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</row>
    <row r="369" spans="1:37" ht="15.75" customHeight="1" x14ac:dyDescent="0.3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</row>
    <row r="370" spans="1:37" ht="15.75" customHeight="1" x14ac:dyDescent="0.3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</row>
    <row r="371" spans="1:37" ht="15.75" customHeight="1" x14ac:dyDescent="0.3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</row>
    <row r="372" spans="1:37" ht="15.75" customHeight="1" x14ac:dyDescent="0.3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</row>
    <row r="373" spans="1:37" ht="15.75" customHeight="1" x14ac:dyDescent="0.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</row>
    <row r="374" spans="1:37" ht="15.75" customHeight="1" x14ac:dyDescent="0.3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</row>
    <row r="375" spans="1:37" ht="15.75" customHeight="1" x14ac:dyDescent="0.3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</row>
    <row r="376" spans="1:37" ht="15.75" customHeight="1" x14ac:dyDescent="0.3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</row>
    <row r="377" spans="1:37" ht="15.75" customHeight="1" x14ac:dyDescent="0.3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</row>
    <row r="378" spans="1:37" ht="15.75" customHeight="1" x14ac:dyDescent="0.3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</row>
    <row r="379" spans="1:37" ht="15.75" customHeight="1" x14ac:dyDescent="0.3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</row>
    <row r="380" spans="1:37" ht="15.75" customHeight="1" x14ac:dyDescent="0.3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</row>
    <row r="381" spans="1:37" ht="15.75" customHeight="1" x14ac:dyDescent="0.3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</row>
    <row r="382" spans="1:37" ht="15.75" customHeight="1" x14ac:dyDescent="0.3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</row>
    <row r="383" spans="1:37" ht="15.75" customHeight="1" x14ac:dyDescent="0.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</row>
    <row r="384" spans="1:37" ht="15.75" customHeight="1" x14ac:dyDescent="0.3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</row>
    <row r="385" spans="1:37" ht="15.75" customHeight="1" x14ac:dyDescent="0.3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</row>
    <row r="386" spans="1:37" ht="15.75" customHeight="1" x14ac:dyDescent="0.3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</row>
    <row r="387" spans="1:37" ht="15.75" customHeight="1" x14ac:dyDescent="0.3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</row>
    <row r="388" spans="1:37" ht="15.75" customHeight="1" x14ac:dyDescent="0.3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</row>
    <row r="389" spans="1:37" ht="15.75" customHeight="1" x14ac:dyDescent="0.3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</row>
    <row r="390" spans="1:37" ht="15.75" customHeight="1" x14ac:dyDescent="0.3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</row>
    <row r="391" spans="1:37" ht="15.75" customHeight="1" x14ac:dyDescent="0.3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</row>
    <row r="392" spans="1:37" ht="15.75" customHeight="1" x14ac:dyDescent="0.3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</row>
    <row r="393" spans="1:37" ht="15.75" customHeight="1" x14ac:dyDescent="0.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</row>
    <row r="394" spans="1:37" ht="15.75" customHeight="1" x14ac:dyDescent="0.3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</row>
    <row r="395" spans="1:37" ht="15.75" customHeight="1" x14ac:dyDescent="0.3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</row>
    <row r="396" spans="1:37" ht="15.75" customHeight="1" x14ac:dyDescent="0.3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</row>
    <row r="397" spans="1:37" ht="15.75" customHeight="1" x14ac:dyDescent="0.3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</row>
    <row r="398" spans="1:37" ht="15.75" customHeight="1" x14ac:dyDescent="0.3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</row>
    <row r="399" spans="1:37" ht="15.75" customHeight="1" x14ac:dyDescent="0.3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</row>
    <row r="400" spans="1:37" ht="15.75" customHeight="1" x14ac:dyDescent="0.3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</row>
    <row r="401" spans="1:37" ht="15.75" customHeight="1" x14ac:dyDescent="0.3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</row>
    <row r="402" spans="1:37" ht="15.75" customHeight="1" x14ac:dyDescent="0.3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</row>
    <row r="403" spans="1:37" ht="15.75" customHeight="1" x14ac:dyDescent="0.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</row>
    <row r="404" spans="1:37" ht="15.75" customHeight="1" x14ac:dyDescent="0.3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</row>
    <row r="405" spans="1:37" ht="15.75" customHeight="1" x14ac:dyDescent="0.3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</row>
    <row r="406" spans="1:37" ht="15.75" customHeight="1" x14ac:dyDescent="0.3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</row>
    <row r="407" spans="1:37" ht="15.75" customHeight="1" x14ac:dyDescent="0.3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</row>
    <row r="408" spans="1:37" ht="15.75" customHeight="1" x14ac:dyDescent="0.3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</row>
    <row r="409" spans="1:37" ht="15.75" customHeight="1" x14ac:dyDescent="0.3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</row>
    <row r="410" spans="1:37" ht="15.75" customHeight="1" x14ac:dyDescent="0.3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</row>
    <row r="411" spans="1:37" ht="15.75" customHeight="1" x14ac:dyDescent="0.3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</row>
    <row r="412" spans="1:37" ht="15.75" customHeight="1" x14ac:dyDescent="0.3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</row>
    <row r="413" spans="1:37" ht="15.75" customHeight="1" x14ac:dyDescent="0.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</row>
    <row r="414" spans="1:37" ht="15.75" customHeight="1" x14ac:dyDescent="0.3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</row>
    <row r="415" spans="1:37" ht="15.75" customHeight="1" x14ac:dyDescent="0.3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</row>
    <row r="416" spans="1:37" ht="15.75" customHeight="1" x14ac:dyDescent="0.3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</row>
    <row r="417" spans="1:37" ht="15.75" customHeight="1" x14ac:dyDescent="0.3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</row>
    <row r="418" spans="1:37" ht="15.75" customHeight="1" x14ac:dyDescent="0.3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</row>
    <row r="419" spans="1:37" ht="15.75" customHeight="1" x14ac:dyDescent="0.3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</row>
    <row r="420" spans="1:37" ht="15.75" customHeight="1" x14ac:dyDescent="0.3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</row>
    <row r="421" spans="1:37" ht="15.75" customHeight="1" x14ac:dyDescent="0.3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</row>
    <row r="422" spans="1:37" ht="15.75" customHeight="1" x14ac:dyDescent="0.3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</row>
    <row r="423" spans="1:37" ht="15.75" customHeight="1" x14ac:dyDescent="0.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</row>
    <row r="424" spans="1:37" ht="15.75" customHeight="1" x14ac:dyDescent="0.3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</row>
    <row r="425" spans="1:37" ht="15.75" customHeight="1" x14ac:dyDescent="0.3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</row>
    <row r="426" spans="1:37" ht="15.75" customHeight="1" x14ac:dyDescent="0.3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</row>
    <row r="427" spans="1:37" ht="15.75" customHeight="1" x14ac:dyDescent="0.3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</row>
    <row r="428" spans="1:37" ht="15.75" customHeight="1" x14ac:dyDescent="0.3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</row>
    <row r="429" spans="1:37" ht="15.75" customHeight="1" x14ac:dyDescent="0.3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</row>
    <row r="430" spans="1:37" ht="15.75" customHeight="1" x14ac:dyDescent="0.3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</row>
    <row r="431" spans="1:37" ht="15.75" customHeight="1" x14ac:dyDescent="0.3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</row>
    <row r="432" spans="1:37" ht="15.75" customHeight="1" x14ac:dyDescent="0.3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</row>
    <row r="433" spans="1:37" ht="15.75" customHeight="1" x14ac:dyDescent="0.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</row>
    <row r="434" spans="1:37" ht="15.75" customHeight="1" x14ac:dyDescent="0.3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</row>
    <row r="435" spans="1:37" ht="15.75" customHeight="1" x14ac:dyDescent="0.3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</row>
    <row r="436" spans="1:37" ht="15.75" customHeight="1" x14ac:dyDescent="0.3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</row>
    <row r="437" spans="1:37" ht="15.75" customHeight="1" x14ac:dyDescent="0.3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</row>
    <row r="438" spans="1:37" ht="15.75" customHeight="1" x14ac:dyDescent="0.3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</row>
    <row r="439" spans="1:37" ht="15.75" customHeight="1" x14ac:dyDescent="0.3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</row>
    <row r="440" spans="1:37" ht="15.75" customHeight="1" x14ac:dyDescent="0.3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</row>
    <row r="441" spans="1:37" ht="15.75" customHeight="1" x14ac:dyDescent="0.3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</row>
    <row r="442" spans="1:37" ht="15.75" customHeight="1" x14ac:dyDescent="0.3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</row>
    <row r="443" spans="1:37" ht="15.75" customHeight="1" x14ac:dyDescent="0.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</row>
    <row r="444" spans="1:37" ht="15.75" customHeight="1" x14ac:dyDescent="0.3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</row>
    <row r="445" spans="1:37" ht="15.75" customHeight="1" x14ac:dyDescent="0.3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</row>
    <row r="446" spans="1:37" ht="15.75" customHeight="1" x14ac:dyDescent="0.3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</row>
    <row r="447" spans="1:37" ht="15.75" customHeight="1" x14ac:dyDescent="0.3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</row>
    <row r="448" spans="1:37" ht="15.75" customHeight="1" x14ac:dyDescent="0.3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</row>
    <row r="449" spans="1:37" ht="15.75" customHeight="1" x14ac:dyDescent="0.3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</row>
    <row r="450" spans="1:37" ht="15.75" customHeight="1" x14ac:dyDescent="0.3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</row>
    <row r="451" spans="1:37" ht="15.75" customHeight="1" x14ac:dyDescent="0.3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</row>
    <row r="452" spans="1:37" ht="15.75" customHeight="1" x14ac:dyDescent="0.3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</row>
    <row r="453" spans="1:37" ht="15.75" customHeight="1" x14ac:dyDescent="0.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</row>
    <row r="454" spans="1:37" ht="15.75" customHeight="1" x14ac:dyDescent="0.3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</row>
    <row r="455" spans="1:37" ht="15.75" customHeight="1" x14ac:dyDescent="0.3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</row>
    <row r="456" spans="1:37" ht="15.75" customHeight="1" x14ac:dyDescent="0.3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</row>
    <row r="457" spans="1:37" ht="15.75" customHeight="1" x14ac:dyDescent="0.3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</row>
    <row r="458" spans="1:37" ht="15.75" customHeight="1" x14ac:dyDescent="0.3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</row>
    <row r="459" spans="1:37" ht="15.75" customHeight="1" x14ac:dyDescent="0.3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</row>
    <row r="460" spans="1:37" ht="15.75" customHeight="1" x14ac:dyDescent="0.3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</row>
    <row r="461" spans="1:37" ht="15.75" customHeight="1" x14ac:dyDescent="0.3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</row>
    <row r="462" spans="1:37" ht="15.75" customHeight="1" x14ac:dyDescent="0.3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</row>
    <row r="463" spans="1:37" ht="15.75" customHeight="1" x14ac:dyDescent="0.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</row>
    <row r="464" spans="1:37" ht="15.75" customHeight="1" x14ac:dyDescent="0.3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</row>
    <row r="465" spans="1:37" ht="15.75" customHeight="1" x14ac:dyDescent="0.3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</row>
    <row r="466" spans="1:37" ht="15.75" customHeight="1" x14ac:dyDescent="0.3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</row>
    <row r="467" spans="1:37" ht="15.75" customHeight="1" x14ac:dyDescent="0.3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</row>
    <row r="468" spans="1:37" ht="15.75" customHeight="1" x14ac:dyDescent="0.3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</row>
    <row r="469" spans="1:37" ht="15.75" customHeight="1" x14ac:dyDescent="0.3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</row>
    <row r="470" spans="1:37" ht="15.75" customHeight="1" x14ac:dyDescent="0.3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</row>
    <row r="471" spans="1:37" ht="15.75" customHeight="1" x14ac:dyDescent="0.3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</row>
    <row r="472" spans="1:37" ht="15.75" customHeight="1" x14ac:dyDescent="0.3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</row>
    <row r="473" spans="1:37" ht="15.75" customHeight="1" x14ac:dyDescent="0.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</row>
    <row r="474" spans="1:37" ht="15.75" customHeight="1" x14ac:dyDescent="0.3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</row>
    <row r="475" spans="1:37" ht="15.75" customHeight="1" x14ac:dyDescent="0.3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</row>
    <row r="476" spans="1:37" ht="15.75" customHeight="1" x14ac:dyDescent="0.3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</row>
    <row r="477" spans="1:37" ht="15.75" customHeight="1" x14ac:dyDescent="0.3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</row>
    <row r="478" spans="1:37" ht="15.75" customHeight="1" x14ac:dyDescent="0.3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</row>
    <row r="479" spans="1:37" ht="15.75" customHeight="1" x14ac:dyDescent="0.3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</row>
    <row r="480" spans="1:37" ht="15.75" customHeight="1" x14ac:dyDescent="0.3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</row>
    <row r="481" spans="1:37" ht="15.75" customHeight="1" x14ac:dyDescent="0.3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</row>
    <row r="482" spans="1:37" ht="15.75" customHeight="1" x14ac:dyDescent="0.3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</row>
    <row r="483" spans="1:37" ht="15.75" customHeight="1" x14ac:dyDescent="0.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</row>
    <row r="484" spans="1:37" ht="15.75" customHeight="1" x14ac:dyDescent="0.3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</row>
    <row r="485" spans="1:37" ht="15.75" customHeight="1" x14ac:dyDescent="0.3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</row>
    <row r="486" spans="1:37" ht="15.75" customHeight="1" x14ac:dyDescent="0.3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</row>
    <row r="487" spans="1:37" ht="15.75" customHeight="1" x14ac:dyDescent="0.3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</row>
    <row r="488" spans="1:37" ht="15.75" customHeight="1" x14ac:dyDescent="0.3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</row>
    <row r="489" spans="1:37" ht="15.75" customHeight="1" x14ac:dyDescent="0.3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</row>
    <row r="490" spans="1:37" ht="15.75" customHeight="1" x14ac:dyDescent="0.3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</row>
    <row r="491" spans="1:37" ht="15.75" customHeight="1" x14ac:dyDescent="0.3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</row>
    <row r="492" spans="1:37" ht="15.75" customHeight="1" x14ac:dyDescent="0.3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</row>
    <row r="493" spans="1:37" ht="15.75" customHeight="1" x14ac:dyDescent="0.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</row>
    <row r="494" spans="1:37" ht="15.75" customHeight="1" x14ac:dyDescent="0.3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</row>
    <row r="495" spans="1:37" ht="15.75" customHeight="1" x14ac:dyDescent="0.3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</row>
    <row r="496" spans="1:37" ht="15.75" customHeight="1" x14ac:dyDescent="0.3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</row>
    <row r="497" spans="1:37" ht="15.75" customHeight="1" x14ac:dyDescent="0.3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</row>
    <row r="498" spans="1:37" ht="15.75" customHeight="1" x14ac:dyDescent="0.3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</row>
    <row r="499" spans="1:37" ht="15.75" customHeight="1" x14ac:dyDescent="0.3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</row>
    <row r="500" spans="1:37" ht="15.75" customHeight="1" x14ac:dyDescent="0.3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</row>
    <row r="501" spans="1:37" ht="15.75" customHeight="1" x14ac:dyDescent="0.3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</row>
    <row r="502" spans="1:37" ht="15.75" customHeight="1" x14ac:dyDescent="0.3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</row>
    <row r="503" spans="1:37" ht="15.75" customHeight="1" x14ac:dyDescent="0.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</row>
    <row r="504" spans="1:37" ht="15.75" customHeight="1" x14ac:dyDescent="0.3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</row>
    <row r="505" spans="1:37" ht="15.75" customHeight="1" x14ac:dyDescent="0.3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</row>
    <row r="506" spans="1:37" ht="15.75" customHeight="1" x14ac:dyDescent="0.3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</row>
    <row r="507" spans="1:37" ht="15.75" customHeight="1" x14ac:dyDescent="0.3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</row>
    <row r="508" spans="1:37" ht="15.75" customHeight="1" x14ac:dyDescent="0.3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</row>
    <row r="509" spans="1:37" ht="15.75" customHeight="1" x14ac:dyDescent="0.3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</row>
    <row r="510" spans="1:37" ht="15.75" customHeight="1" x14ac:dyDescent="0.3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</row>
    <row r="511" spans="1:37" ht="15.75" customHeight="1" x14ac:dyDescent="0.3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</row>
    <row r="512" spans="1:37" ht="15.75" customHeight="1" x14ac:dyDescent="0.3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</row>
    <row r="513" spans="1:37" ht="15.75" customHeight="1" x14ac:dyDescent="0.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</row>
    <row r="514" spans="1:37" ht="15.75" customHeight="1" x14ac:dyDescent="0.3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</row>
    <row r="515" spans="1:37" ht="15.75" customHeight="1" x14ac:dyDescent="0.3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</row>
    <row r="516" spans="1:37" ht="15.75" customHeight="1" x14ac:dyDescent="0.3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</row>
    <row r="517" spans="1:37" ht="15.75" customHeight="1" x14ac:dyDescent="0.3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</row>
    <row r="518" spans="1:37" ht="15.75" customHeight="1" x14ac:dyDescent="0.3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</row>
    <row r="519" spans="1:37" ht="15.75" customHeight="1" x14ac:dyDescent="0.3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</row>
    <row r="520" spans="1:37" ht="15.75" customHeight="1" x14ac:dyDescent="0.3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</row>
    <row r="521" spans="1:37" ht="15.75" customHeight="1" x14ac:dyDescent="0.3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</row>
    <row r="522" spans="1:37" ht="15.75" customHeight="1" x14ac:dyDescent="0.3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</row>
    <row r="523" spans="1:37" ht="15.75" customHeight="1" x14ac:dyDescent="0.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</row>
    <row r="524" spans="1:37" ht="15.75" customHeight="1" x14ac:dyDescent="0.3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</row>
    <row r="525" spans="1:37" ht="15.75" customHeight="1" x14ac:dyDescent="0.3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</row>
    <row r="526" spans="1:37" ht="15.75" customHeight="1" x14ac:dyDescent="0.3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</row>
    <row r="527" spans="1:37" ht="15.75" customHeight="1" x14ac:dyDescent="0.3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</row>
    <row r="528" spans="1:37" ht="15.75" customHeight="1" x14ac:dyDescent="0.3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</row>
    <row r="529" spans="1:37" ht="15.75" customHeight="1" x14ac:dyDescent="0.3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</row>
    <row r="530" spans="1:37" ht="15.75" customHeight="1" x14ac:dyDescent="0.3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</row>
    <row r="531" spans="1:37" ht="15.75" customHeight="1" x14ac:dyDescent="0.3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</row>
    <row r="532" spans="1:37" ht="15.75" customHeight="1" x14ac:dyDescent="0.3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</row>
    <row r="533" spans="1:37" ht="15.75" customHeight="1" x14ac:dyDescent="0.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</row>
    <row r="534" spans="1:37" ht="15.75" customHeight="1" x14ac:dyDescent="0.3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</row>
    <row r="535" spans="1:37" ht="15.75" customHeight="1" x14ac:dyDescent="0.3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</row>
    <row r="536" spans="1:37" ht="15.75" customHeight="1" x14ac:dyDescent="0.3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</row>
    <row r="537" spans="1:37" ht="15.75" customHeight="1" x14ac:dyDescent="0.3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</row>
    <row r="538" spans="1:37" ht="15.75" customHeight="1" x14ac:dyDescent="0.3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</row>
    <row r="539" spans="1:37" ht="15.75" customHeight="1" x14ac:dyDescent="0.3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</row>
    <row r="540" spans="1:37" ht="15.75" customHeight="1" x14ac:dyDescent="0.3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</row>
    <row r="541" spans="1:37" ht="15.75" customHeight="1" x14ac:dyDescent="0.3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</row>
    <row r="542" spans="1:37" ht="15.75" customHeight="1" x14ac:dyDescent="0.3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</row>
    <row r="543" spans="1:37" ht="15.75" customHeight="1" x14ac:dyDescent="0.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</row>
    <row r="544" spans="1:37" ht="15.75" customHeight="1" x14ac:dyDescent="0.3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</row>
    <row r="545" spans="1:37" ht="15.75" customHeight="1" x14ac:dyDescent="0.3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</row>
    <row r="546" spans="1:37" ht="15.75" customHeight="1" x14ac:dyDescent="0.3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</row>
    <row r="547" spans="1:37" ht="15.75" customHeight="1" x14ac:dyDescent="0.3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</row>
    <row r="548" spans="1:37" ht="15.75" customHeight="1" x14ac:dyDescent="0.3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</row>
    <row r="549" spans="1:37" ht="15.75" customHeight="1" x14ac:dyDescent="0.3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</row>
    <row r="550" spans="1:37" ht="15.75" customHeight="1" x14ac:dyDescent="0.3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</row>
    <row r="551" spans="1:37" ht="15.75" customHeight="1" x14ac:dyDescent="0.3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</row>
    <row r="552" spans="1:37" ht="15.75" customHeight="1" x14ac:dyDescent="0.3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</row>
    <row r="553" spans="1:37" ht="15.75" customHeight="1" x14ac:dyDescent="0.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</row>
    <row r="554" spans="1:37" ht="15.75" customHeight="1" x14ac:dyDescent="0.3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</row>
    <row r="555" spans="1:37" ht="15.75" customHeight="1" x14ac:dyDescent="0.3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</row>
    <row r="556" spans="1:37" ht="15.75" customHeight="1" x14ac:dyDescent="0.3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</row>
    <row r="557" spans="1:37" ht="15.75" customHeight="1" x14ac:dyDescent="0.3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</row>
    <row r="558" spans="1:37" ht="15.75" customHeight="1" x14ac:dyDescent="0.3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</row>
    <row r="559" spans="1:37" ht="15.75" customHeight="1" x14ac:dyDescent="0.3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</row>
    <row r="560" spans="1:37" ht="15.75" customHeight="1" x14ac:dyDescent="0.3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</row>
    <row r="561" spans="1:37" ht="15.75" customHeight="1" x14ac:dyDescent="0.3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</row>
    <row r="562" spans="1:37" ht="15.75" customHeight="1" x14ac:dyDescent="0.3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</row>
    <row r="563" spans="1:37" ht="15.75" customHeight="1" x14ac:dyDescent="0.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</row>
    <row r="564" spans="1:37" ht="15.75" customHeight="1" x14ac:dyDescent="0.3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</row>
    <row r="565" spans="1:37" ht="15.75" customHeight="1" x14ac:dyDescent="0.3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</row>
    <row r="566" spans="1:37" ht="15.75" customHeight="1" x14ac:dyDescent="0.3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</row>
    <row r="567" spans="1:37" ht="15.75" customHeight="1" x14ac:dyDescent="0.3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</row>
    <row r="568" spans="1:37" ht="15.75" customHeight="1" x14ac:dyDescent="0.3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</row>
    <row r="569" spans="1:37" ht="15.75" customHeight="1" x14ac:dyDescent="0.3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</row>
    <row r="570" spans="1:37" ht="15.75" customHeight="1" x14ac:dyDescent="0.3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</row>
    <row r="571" spans="1:37" ht="15.75" customHeight="1" x14ac:dyDescent="0.3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</row>
    <row r="572" spans="1:37" ht="15.75" customHeight="1" x14ac:dyDescent="0.3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</row>
    <row r="573" spans="1:37" ht="15.75" customHeight="1" x14ac:dyDescent="0.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</row>
    <row r="574" spans="1:37" ht="15.75" customHeight="1" x14ac:dyDescent="0.3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</row>
    <row r="575" spans="1:37" ht="15.75" customHeight="1" x14ac:dyDescent="0.3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</row>
    <row r="576" spans="1:37" ht="15.75" customHeight="1" x14ac:dyDescent="0.3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</row>
    <row r="577" spans="1:37" ht="15.75" customHeight="1" x14ac:dyDescent="0.3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</row>
    <row r="578" spans="1:37" ht="15.75" customHeight="1" x14ac:dyDescent="0.3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</row>
    <row r="579" spans="1:37" ht="15.75" customHeight="1" x14ac:dyDescent="0.3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</row>
    <row r="580" spans="1:37" ht="15.75" customHeight="1" x14ac:dyDescent="0.3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</row>
    <row r="581" spans="1:37" ht="15.75" customHeight="1" x14ac:dyDescent="0.3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</row>
    <row r="582" spans="1:37" ht="15.75" customHeight="1" x14ac:dyDescent="0.3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</row>
    <row r="583" spans="1:37" ht="15.75" customHeight="1" x14ac:dyDescent="0.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</row>
    <row r="584" spans="1:37" ht="15.75" customHeight="1" x14ac:dyDescent="0.3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</row>
    <row r="585" spans="1:37" ht="15.75" customHeight="1" x14ac:dyDescent="0.3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</row>
    <row r="586" spans="1:37" ht="15.75" customHeight="1" x14ac:dyDescent="0.3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</row>
    <row r="587" spans="1:37" ht="15.75" customHeight="1" x14ac:dyDescent="0.3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</row>
    <row r="588" spans="1:37" ht="15.75" customHeight="1" x14ac:dyDescent="0.3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</row>
    <row r="589" spans="1:37" ht="15.75" customHeight="1" x14ac:dyDescent="0.3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</row>
    <row r="590" spans="1:37" ht="15.75" customHeight="1" x14ac:dyDescent="0.3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</row>
    <row r="591" spans="1:37" ht="15.75" customHeight="1" x14ac:dyDescent="0.3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</row>
    <row r="592" spans="1:37" ht="15.75" customHeight="1" x14ac:dyDescent="0.3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</row>
    <row r="593" spans="1:37" ht="15.75" customHeight="1" x14ac:dyDescent="0.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</row>
    <row r="594" spans="1:37" ht="15.75" customHeight="1" x14ac:dyDescent="0.3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</row>
    <row r="595" spans="1:37" ht="15.75" customHeight="1" x14ac:dyDescent="0.3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</row>
    <row r="596" spans="1:37" ht="15.75" customHeight="1" x14ac:dyDescent="0.3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</row>
    <row r="597" spans="1:37" ht="15.75" customHeight="1" x14ac:dyDescent="0.3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</row>
    <row r="598" spans="1:37" ht="15.75" customHeight="1" x14ac:dyDescent="0.3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</row>
    <row r="599" spans="1:37" ht="15.75" customHeight="1" x14ac:dyDescent="0.3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</row>
    <row r="600" spans="1:37" ht="15.75" customHeight="1" x14ac:dyDescent="0.3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</row>
    <row r="601" spans="1:37" ht="15.75" customHeight="1" x14ac:dyDescent="0.3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</row>
    <row r="602" spans="1:37" ht="15.75" customHeight="1" x14ac:dyDescent="0.3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</row>
    <row r="603" spans="1:37" ht="15.75" customHeight="1" x14ac:dyDescent="0.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</row>
    <row r="604" spans="1:37" ht="15.75" customHeight="1" x14ac:dyDescent="0.3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</row>
    <row r="605" spans="1:37" ht="15.75" customHeight="1" x14ac:dyDescent="0.3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</row>
    <row r="606" spans="1:37" ht="15.75" customHeight="1" x14ac:dyDescent="0.3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</row>
    <row r="607" spans="1:37" ht="15.75" customHeight="1" x14ac:dyDescent="0.3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</row>
    <row r="608" spans="1:37" ht="15.75" customHeight="1" x14ac:dyDescent="0.3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</row>
    <row r="609" spans="1:37" ht="15.75" customHeight="1" x14ac:dyDescent="0.3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</row>
    <row r="610" spans="1:37" ht="15.75" customHeight="1" x14ac:dyDescent="0.3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</row>
    <row r="611" spans="1:37" ht="15.75" customHeight="1" x14ac:dyDescent="0.3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</row>
    <row r="612" spans="1:37" ht="15.75" customHeight="1" x14ac:dyDescent="0.3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</row>
    <row r="613" spans="1:37" ht="15.75" customHeight="1" x14ac:dyDescent="0.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</row>
    <row r="614" spans="1:37" ht="15.75" customHeight="1" x14ac:dyDescent="0.3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</row>
    <row r="615" spans="1:37" ht="15.75" customHeight="1" x14ac:dyDescent="0.3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</row>
    <row r="616" spans="1:37" ht="15.75" customHeight="1" x14ac:dyDescent="0.3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</row>
    <row r="617" spans="1:37" ht="15.75" customHeight="1" x14ac:dyDescent="0.3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</row>
    <row r="618" spans="1:37" ht="15.75" customHeight="1" x14ac:dyDescent="0.3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</row>
    <row r="619" spans="1:37" ht="15.75" customHeight="1" x14ac:dyDescent="0.3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</row>
    <row r="620" spans="1:37" ht="15.75" customHeight="1" x14ac:dyDescent="0.3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</row>
    <row r="621" spans="1:37" ht="15.75" customHeight="1" x14ac:dyDescent="0.3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</row>
    <row r="622" spans="1:37" ht="15.75" customHeight="1" x14ac:dyDescent="0.3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</row>
    <row r="623" spans="1:37" ht="15.75" customHeight="1" x14ac:dyDescent="0.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</row>
    <row r="624" spans="1:37" ht="15.75" customHeight="1" x14ac:dyDescent="0.3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</row>
    <row r="625" spans="1:37" ht="15.75" customHeight="1" x14ac:dyDescent="0.3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</row>
    <row r="626" spans="1:37" ht="15.75" customHeight="1" x14ac:dyDescent="0.3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</row>
    <row r="627" spans="1:37" ht="15.75" customHeight="1" x14ac:dyDescent="0.3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</row>
    <row r="628" spans="1:37" ht="15.75" customHeight="1" x14ac:dyDescent="0.3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</row>
    <row r="629" spans="1:37" ht="15.75" customHeight="1" x14ac:dyDescent="0.3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</row>
    <row r="630" spans="1:37" ht="15.75" customHeight="1" x14ac:dyDescent="0.3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</row>
    <row r="631" spans="1:37" ht="15.75" customHeight="1" x14ac:dyDescent="0.3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</row>
    <row r="632" spans="1:37" ht="15.75" customHeight="1" x14ac:dyDescent="0.3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</row>
    <row r="633" spans="1:37" ht="15.75" customHeight="1" x14ac:dyDescent="0.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</row>
    <row r="634" spans="1:37" ht="15.75" customHeight="1" x14ac:dyDescent="0.3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</row>
    <row r="635" spans="1:37" ht="15.75" customHeight="1" x14ac:dyDescent="0.3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</row>
    <row r="636" spans="1:37" ht="15.75" customHeight="1" x14ac:dyDescent="0.3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</row>
    <row r="637" spans="1:37" ht="15.75" customHeight="1" x14ac:dyDescent="0.3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</row>
    <row r="638" spans="1:37" ht="15.75" customHeight="1" x14ac:dyDescent="0.3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</row>
    <row r="639" spans="1:37" ht="15.75" customHeight="1" x14ac:dyDescent="0.3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</row>
    <row r="640" spans="1:37" ht="15.75" customHeight="1" x14ac:dyDescent="0.3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</row>
    <row r="641" spans="1:37" ht="15.75" customHeight="1" x14ac:dyDescent="0.3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</row>
    <row r="642" spans="1:37" ht="15.75" customHeight="1" x14ac:dyDescent="0.3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</row>
    <row r="643" spans="1:37" ht="15.75" customHeight="1" x14ac:dyDescent="0.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</row>
    <row r="644" spans="1:37" ht="15.75" customHeight="1" x14ac:dyDescent="0.3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</row>
    <row r="645" spans="1:37" ht="15.75" customHeight="1" x14ac:dyDescent="0.3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</row>
    <row r="646" spans="1:37" ht="15.75" customHeight="1" x14ac:dyDescent="0.3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</row>
    <row r="647" spans="1:37" ht="15.75" customHeight="1" x14ac:dyDescent="0.3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</row>
    <row r="648" spans="1:37" ht="15.75" customHeight="1" x14ac:dyDescent="0.3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</row>
    <row r="649" spans="1:37" ht="15.75" customHeight="1" x14ac:dyDescent="0.3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</row>
    <row r="650" spans="1:37" ht="15.75" customHeight="1" x14ac:dyDescent="0.3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</row>
    <row r="651" spans="1:37" ht="15.75" customHeight="1" x14ac:dyDescent="0.3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</row>
    <row r="652" spans="1:37" ht="15.75" customHeight="1" x14ac:dyDescent="0.3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</row>
    <row r="653" spans="1:37" ht="15.75" customHeight="1" x14ac:dyDescent="0.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</row>
    <row r="654" spans="1:37" ht="15.75" customHeight="1" x14ac:dyDescent="0.3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</row>
    <row r="655" spans="1:37" ht="15.75" customHeight="1" x14ac:dyDescent="0.3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</row>
    <row r="656" spans="1:37" ht="15.75" customHeight="1" x14ac:dyDescent="0.3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</row>
    <row r="657" spans="1:37" ht="15.75" customHeight="1" x14ac:dyDescent="0.3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</row>
    <row r="658" spans="1:37" ht="15.75" customHeight="1" x14ac:dyDescent="0.3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</row>
    <row r="659" spans="1:37" ht="15.75" customHeight="1" x14ac:dyDescent="0.3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</row>
    <row r="660" spans="1:37" ht="15.75" customHeight="1" x14ac:dyDescent="0.3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</row>
    <row r="661" spans="1:37" ht="15.75" customHeight="1" x14ac:dyDescent="0.3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</row>
    <row r="662" spans="1:37" ht="15.75" customHeight="1" x14ac:dyDescent="0.3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</row>
    <row r="663" spans="1:37" ht="15.75" customHeight="1" x14ac:dyDescent="0.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</row>
    <row r="664" spans="1:37" ht="15.75" customHeight="1" x14ac:dyDescent="0.3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</row>
    <row r="665" spans="1:37" ht="15.75" customHeight="1" x14ac:dyDescent="0.3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</row>
    <row r="666" spans="1:37" ht="15.75" customHeight="1" x14ac:dyDescent="0.3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</row>
    <row r="667" spans="1:37" ht="15.75" customHeight="1" x14ac:dyDescent="0.3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</row>
    <row r="668" spans="1:37" ht="15.75" customHeight="1" x14ac:dyDescent="0.3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</row>
    <row r="669" spans="1:37" ht="15.75" customHeight="1" x14ac:dyDescent="0.3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</row>
    <row r="670" spans="1:37" ht="15.75" customHeight="1" x14ac:dyDescent="0.3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</row>
    <row r="671" spans="1:37" ht="15.75" customHeight="1" x14ac:dyDescent="0.3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</row>
    <row r="672" spans="1:37" ht="15.75" customHeight="1" x14ac:dyDescent="0.3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</row>
    <row r="673" spans="1:37" ht="15.75" customHeight="1" x14ac:dyDescent="0.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</row>
    <row r="674" spans="1:37" ht="15.75" customHeight="1" x14ac:dyDescent="0.3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</row>
    <row r="675" spans="1:37" ht="15.75" customHeight="1" x14ac:dyDescent="0.3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</row>
    <row r="676" spans="1:37" ht="15.75" customHeight="1" x14ac:dyDescent="0.3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</row>
    <row r="677" spans="1:37" ht="15.75" customHeight="1" x14ac:dyDescent="0.3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</row>
    <row r="678" spans="1:37" ht="15.75" customHeight="1" x14ac:dyDescent="0.3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</row>
    <row r="679" spans="1:37" ht="15.75" customHeight="1" x14ac:dyDescent="0.3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</row>
    <row r="680" spans="1:37" ht="15.75" customHeight="1" x14ac:dyDescent="0.3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</row>
    <row r="681" spans="1:37" ht="15.75" customHeight="1" x14ac:dyDescent="0.3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</row>
    <row r="682" spans="1:37" ht="15.75" customHeight="1" x14ac:dyDescent="0.3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</row>
    <row r="683" spans="1:37" ht="15.75" customHeight="1" x14ac:dyDescent="0.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</row>
    <row r="684" spans="1:37" ht="15.75" customHeight="1" x14ac:dyDescent="0.3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</row>
    <row r="685" spans="1:37" ht="15.75" customHeight="1" x14ac:dyDescent="0.3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</row>
    <row r="686" spans="1:37" ht="15.75" customHeight="1" x14ac:dyDescent="0.3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</row>
    <row r="687" spans="1:37" ht="15.75" customHeight="1" x14ac:dyDescent="0.3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</row>
    <row r="688" spans="1:37" ht="15.75" customHeight="1" x14ac:dyDescent="0.3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</row>
    <row r="689" spans="1:37" ht="15.75" customHeight="1" x14ac:dyDescent="0.3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</row>
    <row r="690" spans="1:37" ht="15.75" customHeight="1" x14ac:dyDescent="0.3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</row>
    <row r="691" spans="1:37" ht="15.75" customHeight="1" x14ac:dyDescent="0.3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</row>
    <row r="692" spans="1:37" ht="15.75" customHeight="1" x14ac:dyDescent="0.3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</row>
    <row r="693" spans="1:37" ht="15.75" customHeight="1" x14ac:dyDescent="0.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</row>
    <row r="694" spans="1:37" ht="15.75" customHeight="1" x14ac:dyDescent="0.3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</row>
    <row r="695" spans="1:37" ht="15.75" customHeight="1" x14ac:dyDescent="0.3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</row>
    <row r="696" spans="1:37" ht="15.75" customHeight="1" x14ac:dyDescent="0.3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</row>
    <row r="697" spans="1:37" ht="15.75" customHeight="1" x14ac:dyDescent="0.3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</row>
    <row r="698" spans="1:37" ht="15.75" customHeight="1" x14ac:dyDescent="0.3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</row>
    <row r="699" spans="1:37" ht="15.75" customHeight="1" x14ac:dyDescent="0.3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</row>
    <row r="700" spans="1:37" ht="15.75" customHeight="1" x14ac:dyDescent="0.3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</row>
    <row r="701" spans="1:37" ht="15.75" customHeight="1" x14ac:dyDescent="0.3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</row>
    <row r="702" spans="1:37" ht="15.75" customHeight="1" x14ac:dyDescent="0.3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</row>
    <row r="703" spans="1:37" ht="15.75" customHeight="1" x14ac:dyDescent="0.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</row>
    <row r="704" spans="1:37" ht="15.75" customHeight="1" x14ac:dyDescent="0.3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</row>
    <row r="705" spans="1:37" ht="15.75" customHeight="1" x14ac:dyDescent="0.3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</row>
    <row r="706" spans="1:37" ht="15.75" customHeight="1" x14ac:dyDescent="0.3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</row>
    <row r="707" spans="1:37" ht="15.75" customHeight="1" x14ac:dyDescent="0.3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</row>
    <row r="708" spans="1:37" ht="15.75" customHeight="1" x14ac:dyDescent="0.3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</row>
    <row r="709" spans="1:37" ht="15.75" customHeight="1" x14ac:dyDescent="0.3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</row>
    <row r="710" spans="1:37" ht="15.75" customHeight="1" x14ac:dyDescent="0.3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</row>
    <row r="711" spans="1:37" ht="15.75" customHeight="1" x14ac:dyDescent="0.3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</row>
    <row r="712" spans="1:37" ht="15.75" customHeight="1" x14ac:dyDescent="0.3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</row>
    <row r="713" spans="1:37" ht="15.75" customHeight="1" x14ac:dyDescent="0.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</row>
    <row r="714" spans="1:37" ht="15.75" customHeight="1" x14ac:dyDescent="0.3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</row>
    <row r="715" spans="1:37" ht="15.75" customHeight="1" x14ac:dyDescent="0.3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</row>
    <row r="716" spans="1:37" ht="15.75" customHeight="1" x14ac:dyDescent="0.3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</row>
    <row r="717" spans="1:37" ht="15.75" customHeight="1" x14ac:dyDescent="0.3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</row>
    <row r="718" spans="1:37" ht="15.75" customHeight="1" x14ac:dyDescent="0.3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</row>
    <row r="719" spans="1:37" ht="15.75" customHeight="1" x14ac:dyDescent="0.3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</row>
    <row r="720" spans="1:37" ht="15.75" customHeight="1" x14ac:dyDescent="0.3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</row>
    <row r="721" spans="1:37" ht="15.75" customHeight="1" x14ac:dyDescent="0.3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</row>
    <row r="722" spans="1:37" ht="15.75" customHeight="1" x14ac:dyDescent="0.3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</row>
    <row r="723" spans="1:37" ht="15.75" customHeight="1" x14ac:dyDescent="0.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</row>
    <row r="724" spans="1:37" ht="15.75" customHeight="1" x14ac:dyDescent="0.3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</row>
    <row r="725" spans="1:37" ht="15.75" customHeight="1" x14ac:dyDescent="0.3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</row>
    <row r="726" spans="1:37" ht="15.75" customHeight="1" x14ac:dyDescent="0.3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</row>
    <row r="727" spans="1:37" ht="15.75" customHeight="1" x14ac:dyDescent="0.3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</row>
    <row r="728" spans="1:37" ht="15.75" customHeight="1" x14ac:dyDescent="0.3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</row>
    <row r="729" spans="1:37" ht="15.75" customHeight="1" x14ac:dyDescent="0.3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</row>
    <row r="730" spans="1:37" ht="15.75" customHeight="1" x14ac:dyDescent="0.3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</row>
    <row r="731" spans="1:37" ht="15.75" customHeight="1" x14ac:dyDescent="0.3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</row>
    <row r="732" spans="1:37" ht="15.75" customHeight="1" x14ac:dyDescent="0.3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</row>
    <row r="733" spans="1:37" ht="15.75" customHeight="1" x14ac:dyDescent="0.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</row>
    <row r="734" spans="1:37" ht="15.75" customHeight="1" x14ac:dyDescent="0.3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</row>
    <row r="735" spans="1:37" ht="15.75" customHeight="1" x14ac:dyDescent="0.3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</row>
    <row r="736" spans="1:37" ht="15.75" customHeight="1" x14ac:dyDescent="0.3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</row>
    <row r="737" spans="1:37" ht="15.75" customHeight="1" x14ac:dyDescent="0.3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</row>
    <row r="738" spans="1:37" ht="15.75" customHeight="1" x14ac:dyDescent="0.3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</row>
    <row r="739" spans="1:37" ht="15.75" customHeight="1" x14ac:dyDescent="0.3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</row>
    <row r="740" spans="1:37" ht="15.75" customHeight="1" x14ac:dyDescent="0.3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</row>
    <row r="741" spans="1:37" ht="15.75" customHeight="1" x14ac:dyDescent="0.3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</row>
    <row r="742" spans="1:37" ht="15.75" customHeight="1" x14ac:dyDescent="0.3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</row>
    <row r="743" spans="1:37" ht="15.75" customHeight="1" x14ac:dyDescent="0.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</row>
    <row r="744" spans="1:37" ht="15.75" customHeight="1" x14ac:dyDescent="0.3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</row>
    <row r="745" spans="1:37" ht="15.75" customHeight="1" x14ac:dyDescent="0.3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</row>
    <row r="746" spans="1:37" ht="15.75" customHeight="1" x14ac:dyDescent="0.3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</row>
    <row r="747" spans="1:37" ht="15.75" customHeight="1" x14ac:dyDescent="0.3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</row>
    <row r="748" spans="1:37" ht="15.75" customHeight="1" x14ac:dyDescent="0.3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</row>
    <row r="749" spans="1:37" ht="15.75" customHeight="1" x14ac:dyDescent="0.3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</row>
    <row r="750" spans="1:37" ht="15.75" customHeight="1" x14ac:dyDescent="0.3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</row>
    <row r="751" spans="1:37" ht="15.75" customHeight="1" x14ac:dyDescent="0.3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</row>
    <row r="752" spans="1:37" ht="15.75" customHeight="1" x14ac:dyDescent="0.3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</row>
    <row r="753" spans="1:37" ht="15.75" customHeight="1" x14ac:dyDescent="0.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</row>
    <row r="754" spans="1:37" ht="15.75" customHeight="1" x14ac:dyDescent="0.3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</row>
    <row r="755" spans="1:37" ht="15.75" customHeight="1" x14ac:dyDescent="0.3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</row>
    <row r="756" spans="1:37" ht="15.75" customHeight="1" x14ac:dyDescent="0.3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</row>
    <row r="757" spans="1:37" ht="15.75" customHeight="1" x14ac:dyDescent="0.3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</row>
    <row r="758" spans="1:37" ht="15.75" customHeight="1" x14ac:dyDescent="0.3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</row>
    <row r="759" spans="1:37" ht="15.75" customHeight="1" x14ac:dyDescent="0.3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</row>
    <row r="760" spans="1:37" ht="15.75" customHeight="1" x14ac:dyDescent="0.3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</row>
    <row r="761" spans="1:37" ht="15.75" customHeight="1" x14ac:dyDescent="0.3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</row>
    <row r="762" spans="1:37" ht="15.75" customHeight="1" x14ac:dyDescent="0.3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</row>
    <row r="763" spans="1:37" ht="15.75" customHeight="1" x14ac:dyDescent="0.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</row>
    <row r="764" spans="1:37" ht="15.75" customHeight="1" x14ac:dyDescent="0.3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</row>
    <row r="765" spans="1:37" ht="15.75" customHeight="1" x14ac:dyDescent="0.3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</row>
    <row r="766" spans="1:37" ht="15.75" customHeight="1" x14ac:dyDescent="0.3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</row>
    <row r="767" spans="1:37" ht="15.75" customHeight="1" x14ac:dyDescent="0.3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</row>
    <row r="768" spans="1:37" ht="15.75" customHeight="1" x14ac:dyDescent="0.3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</row>
    <row r="769" spans="1:37" ht="15.75" customHeight="1" x14ac:dyDescent="0.3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</row>
    <row r="770" spans="1:37" ht="15.75" customHeight="1" x14ac:dyDescent="0.3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</row>
    <row r="771" spans="1:37" ht="15.75" customHeight="1" x14ac:dyDescent="0.3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</row>
    <row r="772" spans="1:37" ht="15.75" customHeight="1" x14ac:dyDescent="0.3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</row>
    <row r="773" spans="1:37" ht="15.75" customHeight="1" x14ac:dyDescent="0.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</row>
    <row r="774" spans="1:37" ht="15.75" customHeight="1" x14ac:dyDescent="0.3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</row>
    <row r="775" spans="1:37" ht="15.75" customHeight="1" x14ac:dyDescent="0.3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</row>
    <row r="776" spans="1:37" ht="15.75" customHeight="1" x14ac:dyDescent="0.3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</row>
    <row r="777" spans="1:37" ht="15.75" customHeight="1" x14ac:dyDescent="0.3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</row>
    <row r="778" spans="1:37" ht="15.75" customHeight="1" x14ac:dyDescent="0.3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</row>
    <row r="779" spans="1:37" ht="15.75" customHeight="1" x14ac:dyDescent="0.3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</row>
    <row r="780" spans="1:37" ht="15.75" customHeight="1" x14ac:dyDescent="0.3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</row>
    <row r="781" spans="1:37" ht="15.75" customHeight="1" x14ac:dyDescent="0.3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</row>
    <row r="782" spans="1:37" ht="15.75" customHeight="1" x14ac:dyDescent="0.3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</row>
    <row r="783" spans="1:37" ht="15.75" customHeight="1" x14ac:dyDescent="0.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</row>
    <row r="784" spans="1:37" ht="15.75" customHeight="1" x14ac:dyDescent="0.3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</row>
    <row r="785" spans="1:37" ht="15.75" customHeight="1" x14ac:dyDescent="0.3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</row>
    <row r="786" spans="1:37" ht="15.75" customHeight="1" x14ac:dyDescent="0.3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</row>
    <row r="787" spans="1:37" ht="15.75" customHeight="1" x14ac:dyDescent="0.3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</row>
    <row r="788" spans="1:37" ht="15.75" customHeight="1" x14ac:dyDescent="0.3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</row>
    <row r="789" spans="1:37" ht="15.75" customHeight="1" x14ac:dyDescent="0.3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</row>
    <row r="790" spans="1:37" ht="15.75" customHeight="1" x14ac:dyDescent="0.3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</row>
    <row r="791" spans="1:37" ht="15.75" customHeight="1" x14ac:dyDescent="0.3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</row>
    <row r="792" spans="1:37" ht="15.75" customHeight="1" x14ac:dyDescent="0.3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</row>
    <row r="793" spans="1:37" ht="15.75" customHeight="1" x14ac:dyDescent="0.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</row>
    <row r="794" spans="1:37" ht="15.75" customHeight="1" x14ac:dyDescent="0.3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</row>
    <row r="795" spans="1:37" ht="15.75" customHeight="1" x14ac:dyDescent="0.3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</row>
    <row r="796" spans="1:37" ht="15.75" customHeight="1" x14ac:dyDescent="0.3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</row>
    <row r="797" spans="1:37" ht="15.75" customHeight="1" x14ac:dyDescent="0.3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</row>
    <row r="798" spans="1:37" ht="15.75" customHeight="1" x14ac:dyDescent="0.3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</row>
    <row r="799" spans="1:37" ht="15.75" customHeight="1" x14ac:dyDescent="0.3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</row>
    <row r="800" spans="1:37" ht="15.75" customHeight="1" x14ac:dyDescent="0.3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</row>
    <row r="801" spans="1:37" ht="15.75" customHeight="1" x14ac:dyDescent="0.3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</row>
    <row r="802" spans="1:37" ht="15.75" customHeight="1" x14ac:dyDescent="0.3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</row>
    <row r="803" spans="1:37" ht="15.75" customHeight="1" x14ac:dyDescent="0.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</row>
    <row r="804" spans="1:37" ht="15.75" customHeight="1" x14ac:dyDescent="0.3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</row>
    <row r="805" spans="1:37" ht="15.75" customHeight="1" x14ac:dyDescent="0.3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</row>
    <row r="806" spans="1:37" ht="15.75" customHeight="1" x14ac:dyDescent="0.3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</row>
    <row r="807" spans="1:37" ht="15.75" customHeight="1" x14ac:dyDescent="0.3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</row>
    <row r="808" spans="1:37" ht="15.75" customHeight="1" x14ac:dyDescent="0.3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</row>
    <row r="809" spans="1:37" ht="15.75" customHeight="1" x14ac:dyDescent="0.3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</row>
    <row r="810" spans="1:37" ht="15.75" customHeight="1" x14ac:dyDescent="0.3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</row>
    <row r="811" spans="1:37" ht="15.75" customHeight="1" x14ac:dyDescent="0.3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</row>
    <row r="812" spans="1:37" ht="15.75" customHeight="1" x14ac:dyDescent="0.3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</row>
    <row r="813" spans="1:37" ht="15.75" customHeight="1" x14ac:dyDescent="0.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</row>
    <row r="814" spans="1:37" ht="15.75" customHeight="1" x14ac:dyDescent="0.3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</row>
    <row r="815" spans="1:37" ht="15.75" customHeight="1" x14ac:dyDescent="0.3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</row>
    <row r="816" spans="1:37" ht="15.75" customHeight="1" x14ac:dyDescent="0.3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</row>
    <row r="817" spans="1:37" ht="15.75" customHeight="1" x14ac:dyDescent="0.3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</row>
    <row r="818" spans="1:37" ht="15.75" customHeight="1" x14ac:dyDescent="0.3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</row>
    <row r="819" spans="1:37" ht="15.75" customHeight="1" x14ac:dyDescent="0.3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</row>
    <row r="820" spans="1:37" ht="15.75" customHeight="1" x14ac:dyDescent="0.3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</row>
    <row r="821" spans="1:37" ht="15.75" customHeight="1" x14ac:dyDescent="0.3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</row>
    <row r="822" spans="1:37" ht="15.75" customHeight="1" x14ac:dyDescent="0.3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</row>
    <row r="823" spans="1:37" ht="15.75" customHeight="1" x14ac:dyDescent="0.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</row>
    <row r="824" spans="1:37" ht="15.75" customHeight="1" x14ac:dyDescent="0.3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</row>
    <row r="825" spans="1:37" ht="15.75" customHeight="1" x14ac:dyDescent="0.3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</row>
    <row r="826" spans="1:37" ht="15.75" customHeight="1" x14ac:dyDescent="0.3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</row>
    <row r="827" spans="1:37" ht="15.75" customHeight="1" x14ac:dyDescent="0.3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</row>
    <row r="828" spans="1:37" ht="15.75" customHeight="1" x14ac:dyDescent="0.3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</row>
    <row r="829" spans="1:37" ht="15.75" customHeight="1" x14ac:dyDescent="0.3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</row>
    <row r="830" spans="1:37" ht="15.75" customHeight="1" x14ac:dyDescent="0.3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</row>
    <row r="831" spans="1:37" ht="15.75" customHeight="1" x14ac:dyDescent="0.3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</row>
    <row r="832" spans="1:37" ht="15.75" customHeight="1" x14ac:dyDescent="0.3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</row>
    <row r="833" spans="1:37" ht="15.75" customHeight="1" x14ac:dyDescent="0.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</row>
    <row r="834" spans="1:37" ht="15.75" customHeight="1" x14ac:dyDescent="0.3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</row>
    <row r="835" spans="1:37" ht="15.75" customHeight="1" x14ac:dyDescent="0.3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</row>
    <row r="836" spans="1:37" ht="15.75" customHeight="1" x14ac:dyDescent="0.3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</row>
    <row r="837" spans="1:37" ht="15.75" customHeight="1" x14ac:dyDescent="0.3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</row>
    <row r="838" spans="1:37" ht="15.75" customHeight="1" x14ac:dyDescent="0.3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</row>
    <row r="839" spans="1:37" ht="15.75" customHeight="1" x14ac:dyDescent="0.3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</row>
    <row r="840" spans="1:37" ht="15.75" customHeight="1" x14ac:dyDescent="0.3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</row>
    <row r="841" spans="1:37" ht="15.75" customHeight="1" x14ac:dyDescent="0.3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</row>
    <row r="842" spans="1:37" ht="15.75" customHeight="1" x14ac:dyDescent="0.3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</row>
    <row r="843" spans="1:37" ht="15.75" customHeight="1" x14ac:dyDescent="0.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</row>
    <row r="844" spans="1:37" ht="15.75" customHeight="1" x14ac:dyDescent="0.3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</row>
    <row r="845" spans="1:37" ht="15.75" customHeight="1" x14ac:dyDescent="0.3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</row>
    <row r="846" spans="1:37" ht="15.75" customHeight="1" x14ac:dyDescent="0.3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</row>
    <row r="847" spans="1:37" ht="15.75" customHeight="1" x14ac:dyDescent="0.3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</row>
    <row r="848" spans="1:37" ht="15.75" customHeight="1" x14ac:dyDescent="0.3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</row>
    <row r="849" spans="1:37" ht="15.75" customHeight="1" x14ac:dyDescent="0.3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</row>
    <row r="850" spans="1:37" ht="15.75" customHeight="1" x14ac:dyDescent="0.3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</row>
    <row r="851" spans="1:37" ht="15.75" customHeight="1" x14ac:dyDescent="0.3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</row>
    <row r="852" spans="1:37" ht="15.75" customHeight="1" x14ac:dyDescent="0.3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</row>
    <row r="853" spans="1:37" ht="15.75" customHeight="1" x14ac:dyDescent="0.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</row>
    <row r="854" spans="1:37" ht="15.75" customHeight="1" x14ac:dyDescent="0.3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</row>
    <row r="855" spans="1:37" ht="15.75" customHeight="1" x14ac:dyDescent="0.3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</row>
    <row r="856" spans="1:37" ht="15.75" customHeight="1" x14ac:dyDescent="0.3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</row>
    <row r="857" spans="1:37" ht="15.75" customHeight="1" x14ac:dyDescent="0.3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</row>
    <row r="858" spans="1:37" ht="15.75" customHeight="1" x14ac:dyDescent="0.3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</row>
    <row r="859" spans="1:37" ht="15.75" customHeight="1" x14ac:dyDescent="0.3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</row>
    <row r="860" spans="1:37" ht="15.75" customHeight="1" x14ac:dyDescent="0.3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</row>
    <row r="861" spans="1:37" ht="15.75" customHeight="1" x14ac:dyDescent="0.3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</row>
    <row r="862" spans="1:37" ht="15.75" customHeight="1" x14ac:dyDescent="0.3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</row>
    <row r="863" spans="1:37" ht="15.75" customHeight="1" x14ac:dyDescent="0.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</row>
    <row r="864" spans="1:37" ht="15.75" customHeight="1" x14ac:dyDescent="0.3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</row>
    <row r="865" spans="1:37" ht="15.75" customHeight="1" x14ac:dyDescent="0.3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</row>
    <row r="866" spans="1:37" ht="15.75" customHeight="1" x14ac:dyDescent="0.3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</row>
    <row r="867" spans="1:37" ht="15.75" customHeight="1" x14ac:dyDescent="0.3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</row>
    <row r="868" spans="1:37" ht="15.75" customHeight="1" x14ac:dyDescent="0.3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</row>
    <row r="869" spans="1:37" ht="15.75" customHeight="1" x14ac:dyDescent="0.3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</row>
    <row r="870" spans="1:37" ht="15.75" customHeight="1" x14ac:dyDescent="0.3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</row>
    <row r="871" spans="1:37" ht="15.75" customHeight="1" x14ac:dyDescent="0.3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</row>
    <row r="872" spans="1:37" ht="15.75" customHeight="1" x14ac:dyDescent="0.3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</row>
    <row r="873" spans="1:37" ht="15.75" customHeight="1" x14ac:dyDescent="0.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</row>
    <row r="874" spans="1:37" ht="15.75" customHeight="1" x14ac:dyDescent="0.3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</row>
    <row r="875" spans="1:37" ht="15.75" customHeight="1" x14ac:dyDescent="0.3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</row>
    <row r="876" spans="1:37" ht="15.75" customHeight="1" x14ac:dyDescent="0.3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</row>
    <row r="877" spans="1:37" ht="15.75" customHeight="1" x14ac:dyDescent="0.3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</row>
    <row r="878" spans="1:37" ht="15.75" customHeight="1" x14ac:dyDescent="0.3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</row>
    <row r="879" spans="1:37" ht="15.75" customHeight="1" x14ac:dyDescent="0.3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</row>
    <row r="880" spans="1:37" ht="15.75" customHeight="1" x14ac:dyDescent="0.3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</row>
    <row r="881" spans="1:37" ht="15.75" customHeight="1" x14ac:dyDescent="0.3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</row>
    <row r="882" spans="1:37" ht="15.75" customHeight="1" x14ac:dyDescent="0.3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</row>
    <row r="883" spans="1:37" ht="15.75" customHeight="1" x14ac:dyDescent="0.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</row>
    <row r="884" spans="1:37" ht="15.75" customHeight="1" x14ac:dyDescent="0.3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</row>
    <row r="885" spans="1:37" ht="15.75" customHeight="1" x14ac:dyDescent="0.3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</row>
    <row r="886" spans="1:37" ht="15.75" customHeight="1" x14ac:dyDescent="0.3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</row>
    <row r="887" spans="1:37" ht="15.75" customHeight="1" x14ac:dyDescent="0.3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</row>
    <row r="888" spans="1:37" ht="15.75" customHeight="1" x14ac:dyDescent="0.3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</row>
    <row r="889" spans="1:37" ht="15.75" customHeight="1" x14ac:dyDescent="0.3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</row>
    <row r="890" spans="1:37" ht="15.75" customHeight="1" x14ac:dyDescent="0.3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</row>
    <row r="891" spans="1:37" ht="15.75" customHeight="1" x14ac:dyDescent="0.3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</row>
    <row r="892" spans="1:37" ht="15.75" customHeight="1" x14ac:dyDescent="0.3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</row>
    <row r="893" spans="1:37" ht="15.75" customHeight="1" x14ac:dyDescent="0.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</row>
    <row r="894" spans="1:37" ht="15.75" customHeight="1" x14ac:dyDescent="0.3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</row>
    <row r="895" spans="1:37" ht="15.75" customHeight="1" x14ac:dyDescent="0.3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</row>
    <row r="896" spans="1:37" ht="15.75" customHeight="1" x14ac:dyDescent="0.3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</row>
    <row r="897" spans="1:37" ht="15.75" customHeight="1" x14ac:dyDescent="0.3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</row>
    <row r="898" spans="1:37" ht="15.75" customHeight="1" x14ac:dyDescent="0.3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</row>
    <row r="899" spans="1:37" ht="15.75" customHeight="1" x14ac:dyDescent="0.3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</row>
    <row r="900" spans="1:37" ht="15.75" customHeight="1" x14ac:dyDescent="0.3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</row>
    <row r="901" spans="1:37" ht="15.75" customHeight="1" x14ac:dyDescent="0.3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</row>
    <row r="902" spans="1:37" ht="15.75" customHeight="1" x14ac:dyDescent="0.3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</row>
    <row r="903" spans="1:37" ht="15.75" customHeight="1" x14ac:dyDescent="0.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</row>
    <row r="904" spans="1:37" ht="15.75" customHeight="1" x14ac:dyDescent="0.3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</row>
    <row r="905" spans="1:37" ht="15.75" customHeight="1" x14ac:dyDescent="0.3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</row>
    <row r="906" spans="1:37" ht="15.75" customHeight="1" x14ac:dyDescent="0.3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</row>
    <row r="907" spans="1:37" ht="15.75" customHeight="1" x14ac:dyDescent="0.3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</row>
    <row r="908" spans="1:37" ht="15.75" customHeight="1" x14ac:dyDescent="0.3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</row>
    <row r="909" spans="1:37" ht="15.75" customHeight="1" x14ac:dyDescent="0.3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</row>
    <row r="910" spans="1:37" ht="15.75" customHeight="1" x14ac:dyDescent="0.3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</row>
    <row r="911" spans="1:37" ht="15.75" customHeight="1" x14ac:dyDescent="0.3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</row>
    <row r="912" spans="1:37" ht="15.75" customHeight="1" x14ac:dyDescent="0.3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</row>
    <row r="913" spans="1:37" ht="15.75" customHeight="1" x14ac:dyDescent="0.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</row>
    <row r="914" spans="1:37" ht="15.75" customHeight="1" x14ac:dyDescent="0.3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</row>
    <row r="915" spans="1:37" ht="15.75" customHeight="1" x14ac:dyDescent="0.3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</row>
    <row r="916" spans="1:37" ht="15.75" customHeight="1" x14ac:dyDescent="0.3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</row>
    <row r="917" spans="1:37" ht="15.75" customHeight="1" x14ac:dyDescent="0.3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</row>
    <row r="918" spans="1:37" ht="15.75" customHeight="1" x14ac:dyDescent="0.3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</row>
    <row r="919" spans="1:37" ht="15.75" customHeight="1" x14ac:dyDescent="0.3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</row>
    <row r="920" spans="1:37" ht="15.75" customHeight="1" x14ac:dyDescent="0.3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</row>
    <row r="921" spans="1:37" ht="15.75" customHeight="1" x14ac:dyDescent="0.3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</row>
    <row r="922" spans="1:37" ht="15.75" customHeight="1" x14ac:dyDescent="0.3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</row>
    <row r="923" spans="1:37" ht="15.75" customHeight="1" x14ac:dyDescent="0.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</row>
    <row r="924" spans="1:37" ht="15.75" customHeight="1" x14ac:dyDescent="0.3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</row>
    <row r="925" spans="1:37" ht="15.75" customHeight="1" x14ac:dyDescent="0.3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</row>
    <row r="926" spans="1:37" ht="15.75" customHeight="1" x14ac:dyDescent="0.3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</row>
    <row r="927" spans="1:37" ht="15.75" customHeight="1" x14ac:dyDescent="0.3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</row>
    <row r="928" spans="1:37" ht="15.75" customHeight="1" x14ac:dyDescent="0.3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</row>
    <row r="929" spans="1:37" ht="15.75" customHeight="1" x14ac:dyDescent="0.3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</row>
    <row r="930" spans="1:37" ht="15.75" customHeight="1" x14ac:dyDescent="0.3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</row>
    <row r="931" spans="1:37" ht="15.75" customHeight="1" x14ac:dyDescent="0.3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</row>
    <row r="932" spans="1:37" ht="15.75" customHeight="1" x14ac:dyDescent="0.3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</row>
    <row r="933" spans="1:37" ht="15.75" customHeight="1" x14ac:dyDescent="0.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</row>
    <row r="934" spans="1:37" ht="15.75" customHeight="1" x14ac:dyDescent="0.3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</row>
    <row r="935" spans="1:37" ht="15.75" customHeight="1" x14ac:dyDescent="0.3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</row>
    <row r="936" spans="1:37" ht="15.75" customHeight="1" x14ac:dyDescent="0.3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</row>
    <row r="937" spans="1:37" ht="15.75" customHeight="1" x14ac:dyDescent="0.3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</row>
    <row r="938" spans="1:37" ht="15.75" customHeight="1" x14ac:dyDescent="0.3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</row>
    <row r="939" spans="1:37" ht="15.75" customHeight="1" x14ac:dyDescent="0.3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</row>
    <row r="940" spans="1:37" ht="15.75" customHeight="1" x14ac:dyDescent="0.3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</row>
    <row r="941" spans="1:37" ht="15.75" customHeight="1" x14ac:dyDescent="0.3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</row>
    <row r="942" spans="1:37" ht="15.75" customHeight="1" x14ac:dyDescent="0.3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</row>
    <row r="943" spans="1:37" ht="15.75" customHeight="1" x14ac:dyDescent="0.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</row>
    <row r="944" spans="1:37" ht="15.75" customHeight="1" x14ac:dyDescent="0.3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</row>
    <row r="945" spans="1:37" ht="15.75" customHeight="1" x14ac:dyDescent="0.3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</row>
    <row r="946" spans="1:37" ht="15.75" customHeight="1" x14ac:dyDescent="0.3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</row>
    <row r="947" spans="1:37" ht="15.75" customHeight="1" x14ac:dyDescent="0.3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</row>
    <row r="948" spans="1:37" ht="15.75" customHeight="1" x14ac:dyDescent="0.3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</row>
    <row r="949" spans="1:37" ht="15.75" customHeight="1" x14ac:dyDescent="0.3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</row>
    <row r="950" spans="1:37" ht="15.75" customHeight="1" x14ac:dyDescent="0.3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</row>
    <row r="951" spans="1:37" ht="15.75" customHeight="1" x14ac:dyDescent="0.3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</row>
    <row r="952" spans="1:37" ht="15.75" customHeight="1" x14ac:dyDescent="0.3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</row>
    <row r="953" spans="1:37" ht="15.75" customHeight="1" x14ac:dyDescent="0.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</row>
    <row r="954" spans="1:37" ht="15.75" customHeight="1" x14ac:dyDescent="0.3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</row>
    <row r="955" spans="1:37" ht="15.75" customHeight="1" x14ac:dyDescent="0.3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</row>
    <row r="956" spans="1:37" ht="15.75" customHeight="1" x14ac:dyDescent="0.3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</row>
    <row r="957" spans="1:37" ht="15.75" customHeight="1" x14ac:dyDescent="0.3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</row>
    <row r="958" spans="1:37" ht="15.75" customHeight="1" x14ac:dyDescent="0.3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</row>
    <row r="959" spans="1:37" ht="15.75" customHeight="1" x14ac:dyDescent="0.3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</row>
    <row r="960" spans="1:37" ht="15.75" customHeight="1" x14ac:dyDescent="0.3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</row>
    <row r="961" spans="1:37" ht="15.75" customHeight="1" x14ac:dyDescent="0.3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</row>
    <row r="962" spans="1:37" ht="15.75" customHeight="1" x14ac:dyDescent="0.3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</row>
    <row r="963" spans="1:37" ht="15.75" customHeight="1" x14ac:dyDescent="0.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</row>
    <row r="964" spans="1:37" ht="15.75" customHeight="1" x14ac:dyDescent="0.3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</row>
    <row r="965" spans="1:37" ht="15.75" customHeight="1" x14ac:dyDescent="0.3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</row>
    <row r="966" spans="1:37" ht="15.75" customHeight="1" x14ac:dyDescent="0.3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</row>
    <row r="967" spans="1:37" ht="15.75" customHeight="1" x14ac:dyDescent="0.3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</row>
    <row r="968" spans="1:37" ht="15.75" customHeight="1" x14ac:dyDescent="0.3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</row>
    <row r="969" spans="1:37" ht="15.75" customHeight="1" x14ac:dyDescent="0.3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</row>
    <row r="970" spans="1:37" ht="15.75" customHeight="1" x14ac:dyDescent="0.3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</row>
    <row r="971" spans="1:37" ht="15.75" customHeight="1" x14ac:dyDescent="0.3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</row>
    <row r="972" spans="1:37" ht="15.75" customHeight="1" x14ac:dyDescent="0.3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</row>
    <row r="973" spans="1:37" ht="15.75" customHeight="1" x14ac:dyDescent="0.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</row>
    <row r="974" spans="1:37" ht="15.75" customHeight="1" x14ac:dyDescent="0.3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</row>
    <row r="975" spans="1:37" ht="15.75" customHeight="1" x14ac:dyDescent="0.3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</row>
    <row r="976" spans="1:37" ht="15.75" customHeight="1" x14ac:dyDescent="0.3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</row>
    <row r="977" spans="1:37" ht="15.75" customHeight="1" x14ac:dyDescent="0.3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</row>
    <row r="978" spans="1:37" ht="15.75" customHeight="1" x14ac:dyDescent="0.3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</row>
    <row r="979" spans="1:37" ht="15.75" customHeight="1" x14ac:dyDescent="0.3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</row>
    <row r="980" spans="1:37" ht="15.75" customHeight="1" x14ac:dyDescent="0.3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</row>
    <row r="981" spans="1:37" ht="15.75" customHeight="1" x14ac:dyDescent="0.3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</row>
    <row r="982" spans="1:37" ht="15.75" customHeight="1" x14ac:dyDescent="0.3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</row>
    <row r="983" spans="1:37" ht="15.75" customHeight="1" x14ac:dyDescent="0.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</row>
    <row r="984" spans="1:37" ht="15.75" customHeight="1" x14ac:dyDescent="0.3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</row>
    <row r="985" spans="1:37" ht="15.75" customHeight="1" x14ac:dyDescent="0.3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</row>
    <row r="986" spans="1:37" ht="15.75" customHeight="1" x14ac:dyDescent="0.3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</row>
    <row r="987" spans="1:37" ht="15.75" customHeight="1" x14ac:dyDescent="0.3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</row>
    <row r="988" spans="1:37" ht="15.75" customHeight="1" x14ac:dyDescent="0.3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</row>
    <row r="989" spans="1:37" ht="15.75" customHeight="1" x14ac:dyDescent="0.3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</row>
    <row r="990" spans="1:37" ht="15.75" customHeight="1" x14ac:dyDescent="0.3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</row>
    <row r="991" spans="1:37" ht="15.75" customHeight="1" x14ac:dyDescent="0.3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</row>
    <row r="992" spans="1:37" ht="15.75" customHeight="1" x14ac:dyDescent="0.3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</row>
    <row r="993" spans="1:37" ht="15.75" customHeight="1" x14ac:dyDescent="0.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</row>
    <row r="994" spans="1:37" ht="15.75" customHeight="1" x14ac:dyDescent="0.3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</row>
    <row r="995" spans="1:37" ht="15.75" customHeight="1" x14ac:dyDescent="0.3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</row>
    <row r="996" spans="1:37" ht="15.75" customHeight="1" x14ac:dyDescent="0.3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</row>
    <row r="997" spans="1:37" ht="15.75" customHeight="1" x14ac:dyDescent="0.3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</row>
    <row r="998" spans="1:37" ht="15.75" customHeight="1" x14ac:dyDescent="0.3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</row>
    <row r="999" spans="1:37" ht="15.75" customHeight="1" x14ac:dyDescent="0.3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</row>
    <row r="1000" spans="1:37" ht="15.75" customHeight="1" x14ac:dyDescent="0.3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4851-426A-49FD-AB32-FB81851EF4AF}">
  <sheetPr codeName="Sheet11">
    <tabColor rgb="FF00B050"/>
  </sheetPr>
  <dimension ref="A1:H1000"/>
  <sheetViews>
    <sheetView workbookViewId="0">
      <pane ySplit="1" topLeftCell="A2" activePane="bottomLeft" state="frozen"/>
      <selection activeCell="F17" sqref="F17"/>
      <selection pane="bottomLeft" activeCell="A22" sqref="A22"/>
    </sheetView>
  </sheetViews>
  <sheetFormatPr defaultColWidth="12.44140625" defaultRowHeight="15" customHeight="1" x14ac:dyDescent="0.3"/>
  <cols>
    <col min="1" max="1" width="22.109375" style="2" bestFit="1" customWidth="1"/>
    <col min="2" max="2" width="9.44140625" style="2" bestFit="1" customWidth="1"/>
    <col min="3" max="8" width="10.5546875" style="2" bestFit="1" customWidth="1"/>
    <col min="9" max="26" width="8.6640625" style="2" customWidth="1"/>
    <col min="27" max="16384" width="12.44140625" style="2"/>
  </cols>
  <sheetData>
    <row r="1" spans="1:8" ht="14.4" x14ac:dyDescent="0.3">
      <c r="A1" s="3" t="s">
        <v>20</v>
      </c>
      <c r="B1" s="4" t="s">
        <v>21</v>
      </c>
      <c r="C1" s="4" t="str">
        <f>'OBE Details'!$B$20&amp;"_CO1"</f>
        <v>EC118_CO1</v>
      </c>
      <c r="D1" s="4" t="str">
        <f>'OBE Details'!$B$20&amp;"_CO2"</f>
        <v>EC118_CO2</v>
      </c>
      <c r="E1" s="4" t="str">
        <f>'OBE Details'!$B$20&amp;"_CO3"</f>
        <v>EC118_CO3</v>
      </c>
      <c r="F1" s="4" t="str">
        <f>'OBE Details'!$B$20&amp;"_CO4"</f>
        <v>EC118_CO4</v>
      </c>
      <c r="G1" s="4" t="str">
        <f>'OBE Details'!$B$20&amp;"_CO5"</f>
        <v>EC118_CO5</v>
      </c>
      <c r="H1" s="4" t="str">
        <f>'OBE Details'!$B$20&amp;"_CO6"</f>
        <v>EC118_CO6</v>
      </c>
    </row>
    <row r="2" spans="1:8" ht="14.4" x14ac:dyDescent="0.3">
      <c r="A2" s="96" t="s">
        <v>140</v>
      </c>
      <c r="B2" s="5">
        <v>1</v>
      </c>
      <c r="C2" s="5" t="b">
        <v>1</v>
      </c>
      <c r="D2" s="5" t="b">
        <v>1</v>
      </c>
      <c r="E2" s="5" t="b">
        <v>0</v>
      </c>
      <c r="F2" s="5" t="b">
        <v>0</v>
      </c>
      <c r="G2" s="5" t="b">
        <v>0</v>
      </c>
      <c r="H2" s="5" t="b">
        <v>0</v>
      </c>
    </row>
    <row r="3" spans="1:8" ht="14.4" x14ac:dyDescent="0.3">
      <c r="A3" s="96" t="s">
        <v>141</v>
      </c>
      <c r="B3" s="5">
        <v>1</v>
      </c>
      <c r="C3" s="5" t="b">
        <v>1</v>
      </c>
      <c r="D3" s="5" t="b">
        <v>1</v>
      </c>
      <c r="E3" s="5" t="b">
        <v>0</v>
      </c>
      <c r="F3" s="5" t="b">
        <v>0</v>
      </c>
      <c r="G3" s="5" t="b">
        <v>0</v>
      </c>
      <c r="H3" s="5" t="b">
        <v>0</v>
      </c>
    </row>
    <row r="4" spans="1:8" ht="14.4" x14ac:dyDescent="0.3">
      <c r="A4" s="96" t="s">
        <v>142</v>
      </c>
      <c r="B4" s="5">
        <v>1</v>
      </c>
      <c r="C4" s="5" t="b">
        <v>1</v>
      </c>
      <c r="D4" s="5" t="b">
        <v>1</v>
      </c>
      <c r="E4" s="5" t="b">
        <v>0</v>
      </c>
      <c r="F4" s="5" t="b">
        <v>0</v>
      </c>
      <c r="G4" s="5" t="b">
        <v>0</v>
      </c>
      <c r="H4" s="5" t="b">
        <v>0</v>
      </c>
    </row>
    <row r="5" spans="1:8" ht="14.4" x14ac:dyDescent="0.3">
      <c r="A5" s="96" t="s">
        <v>143</v>
      </c>
      <c r="B5" s="5">
        <v>1</v>
      </c>
      <c r="C5" s="5" t="b">
        <v>1</v>
      </c>
      <c r="D5" s="5" t="b">
        <v>1</v>
      </c>
      <c r="E5" s="5" t="b">
        <v>0</v>
      </c>
      <c r="F5" s="5" t="b">
        <v>0</v>
      </c>
      <c r="G5" s="5" t="b">
        <v>0</v>
      </c>
      <c r="H5" s="5" t="b">
        <v>0</v>
      </c>
    </row>
    <row r="6" spans="1:8" ht="14.4" x14ac:dyDescent="0.3">
      <c r="A6" s="96" t="s">
        <v>144</v>
      </c>
      <c r="B6" s="5">
        <v>1</v>
      </c>
      <c r="C6" s="5" t="b">
        <v>1</v>
      </c>
      <c r="D6" s="5" t="b">
        <v>1</v>
      </c>
      <c r="E6" s="5" t="b">
        <v>0</v>
      </c>
      <c r="F6" s="5" t="b">
        <v>0</v>
      </c>
      <c r="G6" s="5" t="b">
        <v>0</v>
      </c>
      <c r="H6" s="5" t="b">
        <v>0</v>
      </c>
    </row>
    <row r="7" spans="1:8" ht="14.4" x14ac:dyDescent="0.3">
      <c r="A7" s="96" t="s">
        <v>145</v>
      </c>
      <c r="B7" s="5">
        <v>2</v>
      </c>
      <c r="C7" s="5" t="b">
        <v>0</v>
      </c>
      <c r="D7" s="5" t="b">
        <v>1</v>
      </c>
      <c r="E7" s="5" t="b">
        <v>0</v>
      </c>
      <c r="F7" s="5" t="b">
        <v>0</v>
      </c>
      <c r="G7" s="5" t="b">
        <v>0</v>
      </c>
      <c r="H7" s="5" t="b">
        <v>0</v>
      </c>
    </row>
    <row r="8" spans="1:8" ht="14.4" x14ac:dyDescent="0.3">
      <c r="A8" s="96" t="s">
        <v>146</v>
      </c>
      <c r="B8" s="5">
        <v>2</v>
      </c>
      <c r="C8" s="5" t="b">
        <v>0</v>
      </c>
      <c r="D8" s="5" t="b">
        <v>1</v>
      </c>
      <c r="E8" s="5" t="b">
        <v>0</v>
      </c>
      <c r="F8" s="5" t="b">
        <v>0</v>
      </c>
      <c r="G8" s="5" t="b">
        <v>0</v>
      </c>
      <c r="H8" s="5" t="b">
        <v>0</v>
      </c>
    </row>
    <row r="9" spans="1:8" ht="14.4" x14ac:dyDescent="0.3">
      <c r="A9" s="96" t="s">
        <v>147</v>
      </c>
      <c r="B9" s="5">
        <v>2</v>
      </c>
      <c r="C9" s="5" t="b">
        <v>0</v>
      </c>
      <c r="D9" s="5" t="b">
        <v>1</v>
      </c>
      <c r="E9" s="5" t="b">
        <v>0</v>
      </c>
      <c r="F9" s="5" t="b">
        <v>0</v>
      </c>
      <c r="G9" s="5" t="b">
        <v>0</v>
      </c>
      <c r="H9" s="5" t="b">
        <v>0</v>
      </c>
    </row>
    <row r="10" spans="1:8" ht="14.4" x14ac:dyDescent="0.3">
      <c r="A10" s="96" t="s">
        <v>148</v>
      </c>
      <c r="B10" s="5">
        <v>2</v>
      </c>
      <c r="C10" s="5" t="b">
        <v>0</v>
      </c>
      <c r="D10" s="5" t="b">
        <v>1</v>
      </c>
      <c r="E10" s="5" t="b">
        <v>0</v>
      </c>
      <c r="F10" s="5" t="b">
        <v>0</v>
      </c>
      <c r="G10" s="5" t="b">
        <v>0</v>
      </c>
      <c r="H10" s="5" t="b">
        <v>0</v>
      </c>
    </row>
    <row r="11" spans="1:8" ht="14.4" x14ac:dyDescent="0.3">
      <c r="A11" s="96" t="s">
        <v>149</v>
      </c>
      <c r="B11" s="5">
        <v>2</v>
      </c>
      <c r="C11" s="5" t="b">
        <v>0</v>
      </c>
      <c r="D11" s="5" t="b">
        <v>1</v>
      </c>
      <c r="E11" s="5" t="b">
        <v>0</v>
      </c>
      <c r="F11" s="5" t="b">
        <v>0</v>
      </c>
      <c r="G11" s="5" t="b">
        <v>0</v>
      </c>
      <c r="H11" s="5" t="b">
        <v>0</v>
      </c>
    </row>
    <row r="12" spans="1:8" ht="14.4" x14ac:dyDescent="0.3">
      <c r="A12" s="96" t="s">
        <v>150</v>
      </c>
      <c r="B12" s="5">
        <v>2</v>
      </c>
      <c r="C12" s="5" t="b">
        <v>1</v>
      </c>
      <c r="D12" s="5" t="b">
        <v>1</v>
      </c>
      <c r="E12" s="5" t="b">
        <v>0</v>
      </c>
      <c r="F12" s="5" t="b">
        <v>0</v>
      </c>
      <c r="G12" s="5" t="b">
        <v>0</v>
      </c>
      <c r="H12" s="5" t="b">
        <v>0</v>
      </c>
    </row>
    <row r="13" spans="1:8" ht="14.4" x14ac:dyDescent="0.3">
      <c r="A13" s="96" t="s">
        <v>151</v>
      </c>
      <c r="B13" s="5">
        <v>5</v>
      </c>
      <c r="C13" s="5" t="b">
        <v>1</v>
      </c>
      <c r="D13" s="5" t="b">
        <v>1</v>
      </c>
      <c r="E13" s="5" t="b">
        <v>0</v>
      </c>
      <c r="F13" s="5" t="b">
        <v>0</v>
      </c>
      <c r="G13" s="5" t="b">
        <v>0</v>
      </c>
      <c r="H13" s="5" t="b">
        <v>0</v>
      </c>
    </row>
    <row r="14" spans="1:8" ht="14.4" x14ac:dyDescent="0.3">
      <c r="A14" s="96" t="s">
        <v>152</v>
      </c>
      <c r="B14" s="5">
        <v>5</v>
      </c>
      <c r="C14" s="5" t="b">
        <v>1</v>
      </c>
      <c r="D14" s="5" t="b">
        <v>1</v>
      </c>
      <c r="E14" s="5" t="b">
        <v>0</v>
      </c>
      <c r="F14" s="5" t="b">
        <v>0</v>
      </c>
      <c r="G14" s="5" t="b">
        <v>0</v>
      </c>
      <c r="H14" s="5" t="b">
        <v>0</v>
      </c>
    </row>
    <row r="15" spans="1:8" ht="14.4" x14ac:dyDescent="0.3">
      <c r="A15" s="96" t="s">
        <v>153</v>
      </c>
      <c r="B15" s="5">
        <v>5</v>
      </c>
      <c r="C15" s="5" t="b">
        <v>0</v>
      </c>
      <c r="D15" s="5" t="b">
        <v>1</v>
      </c>
      <c r="E15" s="5" t="b">
        <v>1</v>
      </c>
      <c r="F15" s="5" t="b">
        <v>0</v>
      </c>
      <c r="G15" s="5" t="b">
        <v>0</v>
      </c>
      <c r="H15" s="5" t="b">
        <v>0</v>
      </c>
    </row>
    <row r="16" spans="1:8" ht="14.4" x14ac:dyDescent="0.3">
      <c r="A16" s="96" t="s">
        <v>154</v>
      </c>
      <c r="B16" s="5">
        <v>5</v>
      </c>
      <c r="C16" s="5" t="b">
        <v>0</v>
      </c>
      <c r="D16" s="5" t="b">
        <v>1</v>
      </c>
      <c r="E16" s="5" t="b">
        <v>1</v>
      </c>
      <c r="F16" s="5" t="b">
        <v>0</v>
      </c>
      <c r="G16" s="5" t="b">
        <v>0</v>
      </c>
      <c r="H16" s="5" t="b">
        <v>0</v>
      </c>
    </row>
    <row r="17" spans="1:8" ht="14.4" x14ac:dyDescent="0.3">
      <c r="A17" s="96" t="s">
        <v>155</v>
      </c>
      <c r="B17" s="5">
        <v>5</v>
      </c>
      <c r="C17" s="5" t="b">
        <v>0</v>
      </c>
      <c r="D17" s="5" t="b">
        <v>1</v>
      </c>
      <c r="E17" s="5" t="b">
        <v>0</v>
      </c>
      <c r="F17" s="5" t="b">
        <v>0</v>
      </c>
      <c r="G17" s="5" t="b">
        <v>0</v>
      </c>
      <c r="H17" s="5" t="b">
        <v>0</v>
      </c>
    </row>
    <row r="18" spans="1:8" ht="14.4" x14ac:dyDescent="0.3">
      <c r="A18" s="96" t="s">
        <v>156</v>
      </c>
      <c r="B18" s="5">
        <v>5</v>
      </c>
      <c r="C18" s="5" t="b">
        <v>0</v>
      </c>
      <c r="D18" s="5" t="b">
        <v>1</v>
      </c>
      <c r="E18" s="5" t="b">
        <v>0</v>
      </c>
      <c r="F18" s="5" t="b">
        <v>0</v>
      </c>
      <c r="G18" s="5" t="b">
        <v>0</v>
      </c>
      <c r="H18" s="5" t="b">
        <v>0</v>
      </c>
    </row>
    <row r="19" spans="1:8" ht="14.4" x14ac:dyDescent="0.3">
      <c r="A19" s="96" t="s">
        <v>157</v>
      </c>
      <c r="B19" s="5">
        <v>10</v>
      </c>
      <c r="C19" s="5" t="b">
        <v>0</v>
      </c>
      <c r="D19" s="5" t="b">
        <v>0</v>
      </c>
      <c r="E19" s="5" t="b">
        <v>0</v>
      </c>
      <c r="F19" s="5" t="b">
        <v>0</v>
      </c>
      <c r="G19" s="5" t="b">
        <v>0</v>
      </c>
      <c r="H19" s="5" t="b">
        <v>0</v>
      </c>
    </row>
    <row r="20" spans="1:8" ht="14.4" x14ac:dyDescent="0.3">
      <c r="A20" s="96" t="s">
        <v>158</v>
      </c>
      <c r="B20" s="5">
        <v>10</v>
      </c>
      <c r="C20" s="5" t="b">
        <v>0</v>
      </c>
      <c r="D20" s="5" t="b">
        <v>0</v>
      </c>
      <c r="E20" s="5" t="b">
        <v>0</v>
      </c>
      <c r="F20" s="5" t="b">
        <v>0</v>
      </c>
      <c r="G20" s="5" t="b">
        <v>0</v>
      </c>
      <c r="H20" s="5" t="b">
        <v>0</v>
      </c>
    </row>
    <row r="21" spans="1:8" ht="15.75" customHeight="1" x14ac:dyDescent="0.3">
      <c r="A21" s="96" t="s">
        <v>159</v>
      </c>
      <c r="B21" s="5">
        <v>10</v>
      </c>
      <c r="C21" s="5" t="b">
        <v>0</v>
      </c>
      <c r="D21" s="5" t="b">
        <v>0</v>
      </c>
      <c r="E21" s="5" t="b">
        <v>0</v>
      </c>
      <c r="F21" s="5" t="b">
        <v>0</v>
      </c>
      <c r="G21" s="5" t="b">
        <v>0</v>
      </c>
      <c r="H21" s="5" t="b">
        <v>0</v>
      </c>
    </row>
    <row r="22" spans="1:8" ht="15.75" customHeight="1" x14ac:dyDescent="0.3">
      <c r="A22" s="96" t="s">
        <v>160</v>
      </c>
      <c r="B22" s="5">
        <v>10</v>
      </c>
      <c r="C22" s="5" t="b">
        <v>0</v>
      </c>
      <c r="D22" s="5" t="b">
        <v>1</v>
      </c>
      <c r="E22" s="5" t="b">
        <v>1</v>
      </c>
      <c r="F22" s="5" t="b">
        <v>0</v>
      </c>
      <c r="G22" s="5" t="b">
        <v>0</v>
      </c>
      <c r="H22" s="5" t="b">
        <v>0</v>
      </c>
    </row>
    <row r="23" spans="1:8" ht="15.75" customHeight="1" x14ac:dyDescent="0.3">
      <c r="A23" s="96" t="s">
        <v>161</v>
      </c>
      <c r="B23" s="5">
        <v>0</v>
      </c>
      <c r="C23" s="5" t="b">
        <v>0</v>
      </c>
      <c r="D23" s="5" t="b">
        <v>0</v>
      </c>
      <c r="E23" s="5" t="b">
        <v>0</v>
      </c>
      <c r="F23" s="5" t="b">
        <v>0</v>
      </c>
      <c r="G23" s="5" t="b">
        <v>0</v>
      </c>
      <c r="H23" s="5" t="b">
        <v>0</v>
      </c>
    </row>
    <row r="24" spans="1:8" ht="15.75" customHeight="1" x14ac:dyDescent="0.3">
      <c r="A24" s="96" t="s">
        <v>162</v>
      </c>
      <c r="B24" s="5">
        <v>0</v>
      </c>
      <c r="C24" s="5" t="b">
        <v>0</v>
      </c>
      <c r="D24" s="5" t="b">
        <v>0</v>
      </c>
      <c r="E24" s="5" t="b">
        <v>0</v>
      </c>
      <c r="F24" s="5" t="b">
        <v>0</v>
      </c>
      <c r="G24" s="5" t="b">
        <v>0</v>
      </c>
      <c r="H24" s="5" t="b">
        <v>0</v>
      </c>
    </row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12" type="noConversion"/>
  <dataValidations count="2">
    <dataValidation type="list" allowBlank="1" showDropDown="1" showErrorMessage="1" sqref="C2:H24" xr:uid="{D4A9DFB7-143B-4EFC-91ED-1D82ACF89805}">
      <formula1>"FALSE,TRUE"</formula1>
    </dataValidation>
    <dataValidation type="custom" allowBlank="1" showDropDown="1" sqref="B2:B24" xr:uid="{54837265-FD23-4404-9E93-889B3CAFE234}">
      <formula1>AND(ISNUMBER(B2),(NOT(OR(NOT(ISERROR(DATEVALUE(B2))), AND(ISNUMBER(B2), LEFT(CELL("format", B2))="D")))))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9E09A-DA68-4AAE-BB00-18EA8FBC3EBF}">
  <sheetPr codeName="Sheet19">
    <tabColor rgb="FF00B050"/>
  </sheetPr>
  <dimension ref="A1:AK1000"/>
  <sheetViews>
    <sheetView topLeftCell="W1" workbookViewId="0">
      <selection activeCell="AJ2" sqref="AJ2"/>
    </sheetView>
  </sheetViews>
  <sheetFormatPr defaultColWidth="12.44140625" defaultRowHeight="15" customHeight="1" x14ac:dyDescent="0.3"/>
  <cols>
    <col min="1" max="1" width="5.21875" style="2" bestFit="1" customWidth="1"/>
    <col min="2" max="2" width="20.44140625" style="2" bestFit="1" customWidth="1"/>
    <col min="3" max="3" width="26.77734375" style="2" bestFit="1" customWidth="1"/>
    <col min="4" max="4" width="14.44140625" style="2" bestFit="1" customWidth="1"/>
    <col min="5" max="5" width="11.33203125" style="2" bestFit="1" customWidth="1"/>
    <col min="6" max="6" width="20.5546875" style="2" bestFit="1" customWidth="1"/>
    <col min="7" max="7" width="26.21875" style="2" bestFit="1" customWidth="1"/>
    <col min="8" max="8" width="13.21875" style="2" bestFit="1" customWidth="1"/>
    <col min="9" max="9" width="15.88671875" style="2" bestFit="1" customWidth="1"/>
    <col min="10" max="10" width="16.88671875" style="2" bestFit="1" customWidth="1"/>
    <col min="11" max="11" width="14" style="2" bestFit="1" customWidth="1"/>
    <col min="12" max="12" width="20.44140625" style="2" bestFit="1" customWidth="1"/>
    <col min="13" max="17" width="12.44140625" style="2" bestFit="1" customWidth="1"/>
    <col min="18" max="25" width="12.77734375" style="2" bestFit="1" customWidth="1"/>
    <col min="26" max="32" width="13.88671875" style="2" bestFit="1" customWidth="1"/>
    <col min="33" max="33" width="20" style="2" bestFit="1" customWidth="1"/>
    <col min="34" max="35" width="13.6640625" style="2" bestFit="1" customWidth="1"/>
    <col min="36" max="36" width="10.109375" style="2" bestFit="1" customWidth="1"/>
    <col min="37" max="37" width="9.5546875" style="2" bestFit="1" customWidth="1"/>
    <col min="38" max="16384" width="12.44140625" style="2"/>
  </cols>
  <sheetData>
    <row r="1" spans="1:37" ht="14.4" x14ac:dyDescent="0.3">
      <c r="A1" s="10" t="s">
        <v>28</v>
      </c>
      <c r="B1" s="10" t="s">
        <v>29</v>
      </c>
      <c r="C1" s="10" t="s">
        <v>30</v>
      </c>
      <c r="D1" s="10" t="s">
        <v>31</v>
      </c>
      <c r="E1" s="10" t="s">
        <v>32</v>
      </c>
      <c r="F1" s="10" t="s">
        <v>33</v>
      </c>
      <c r="G1" s="10" t="s">
        <v>34</v>
      </c>
      <c r="H1" s="10" t="s">
        <v>35</v>
      </c>
      <c r="I1" s="10" t="s">
        <v>36</v>
      </c>
      <c r="J1" s="10" t="s">
        <v>37</v>
      </c>
      <c r="K1" s="10" t="s">
        <v>38</v>
      </c>
      <c r="L1" s="10" t="s">
        <v>39</v>
      </c>
      <c r="M1" s="10" t="str" cm="1">
        <f t="array" ref="M1:AI1">TRANSPOSE('ST2 CO Question Map'!A2:A24)</f>
        <v>20EC118-ST2-1a</v>
      </c>
      <c r="N1" s="10" t="str">
        <v>20EC118-ST2-1b</v>
      </c>
      <c r="O1" s="10" t="str">
        <v>20EC118-ST2-1c</v>
      </c>
      <c r="P1" s="10" t="str">
        <v>20EC118-ST2-1d</v>
      </c>
      <c r="Q1" s="10" t="str">
        <v>20EC118-ST2-1e</v>
      </c>
      <c r="R1" s="10" t="str">
        <v>20EC118-ST2-Q2</v>
      </c>
      <c r="S1" s="10" t="str">
        <v>20EC118-ST2-Q3</v>
      </c>
      <c r="T1" s="10" t="str">
        <v>20EC118-ST2-Q4</v>
      </c>
      <c r="U1" s="10" t="str">
        <v>20EC118-ST2-Q5</v>
      </c>
      <c r="V1" s="10" t="str">
        <v>20EC118-ST2-Q6</v>
      </c>
      <c r="W1" s="10" t="str">
        <v>20EC118-ST2-Q7</v>
      </c>
      <c r="X1" s="10" t="str">
        <v>20EC118-ST2-Q8</v>
      </c>
      <c r="Y1" s="10" t="str">
        <v>20EC118-ST2-Q9</v>
      </c>
      <c r="Z1" s="10" t="str">
        <v>20EC118-ST2-Q10</v>
      </c>
      <c r="AA1" s="10" t="str">
        <v>20EC118-ST2-Q11</v>
      </c>
      <c r="AB1" s="10" t="str">
        <v>20EC118-ST2-Q12</v>
      </c>
      <c r="AC1" s="10" t="str">
        <v>20EC118-ST2-Q13</v>
      </c>
      <c r="AD1" s="10" t="str">
        <v>20EC118-ST2-Q14</v>
      </c>
      <c r="AE1" s="10" t="str">
        <v>20EC118-ST2-Q15</v>
      </c>
      <c r="AF1" s="10" t="str">
        <v>20EC118-ST2-Q16</v>
      </c>
      <c r="AG1" s="10" t="str">
        <v>20EC118-ST2-Assignment</v>
      </c>
      <c r="AH1" s="10" t="str">
        <v>20EC118-ST2-FA1</v>
      </c>
      <c r="AI1" s="10" t="str">
        <v>20EC118-ST2-FA2</v>
      </c>
      <c r="AJ1" s="10" t="s">
        <v>40</v>
      </c>
      <c r="AK1" s="10" t="s">
        <v>84</v>
      </c>
    </row>
    <row r="2" spans="1:37" ht="14.4" x14ac:dyDescent="0.3">
      <c r="A2" s="10">
        <v>1</v>
      </c>
      <c r="B2" s="15" t="s">
        <v>41</v>
      </c>
      <c r="C2" s="10" t="s">
        <v>42</v>
      </c>
      <c r="D2" s="10"/>
      <c r="E2" s="10" t="s">
        <v>43</v>
      </c>
      <c r="F2" s="10" t="s">
        <v>44</v>
      </c>
      <c r="G2" s="10" t="s">
        <v>45</v>
      </c>
      <c r="H2" s="16" t="s">
        <v>46</v>
      </c>
      <c r="I2" s="10" t="s">
        <v>47</v>
      </c>
      <c r="J2" s="10">
        <v>2020</v>
      </c>
      <c r="K2" s="10">
        <v>4</v>
      </c>
      <c r="L2" s="10" t="s">
        <v>85</v>
      </c>
      <c r="M2" s="16">
        <v>1</v>
      </c>
      <c r="N2" s="14">
        <v>1</v>
      </c>
      <c r="O2" s="14">
        <v>1</v>
      </c>
      <c r="P2" s="14">
        <v>1</v>
      </c>
      <c r="Q2" s="14">
        <v>1</v>
      </c>
      <c r="R2" s="14" t="s">
        <v>49</v>
      </c>
      <c r="S2" s="14">
        <v>1</v>
      </c>
      <c r="T2" s="14">
        <v>2</v>
      </c>
      <c r="U2" s="14">
        <v>2</v>
      </c>
      <c r="V2" s="14" t="s">
        <v>49</v>
      </c>
      <c r="W2" s="14">
        <v>2</v>
      </c>
      <c r="X2" s="14" t="s">
        <v>49</v>
      </c>
      <c r="Y2" s="14" t="s">
        <v>49</v>
      </c>
      <c r="Z2" s="14" t="s">
        <v>49</v>
      </c>
      <c r="AA2" s="14" t="s">
        <v>49</v>
      </c>
      <c r="AB2" s="14">
        <v>1</v>
      </c>
      <c r="AC2" s="14" t="s">
        <v>49</v>
      </c>
      <c r="AD2" s="10" t="s">
        <v>49</v>
      </c>
      <c r="AE2" s="10" t="s">
        <v>49</v>
      </c>
      <c r="AF2" s="10" t="s">
        <v>49</v>
      </c>
      <c r="AG2" s="10">
        <v>8</v>
      </c>
      <c r="AH2" s="10" t="s">
        <v>49</v>
      </c>
      <c r="AI2" s="10" t="s">
        <v>49</v>
      </c>
      <c r="AJ2" s="10">
        <f t="shared" ref="AJ2:AJ19" si="0">SUM(M2:AG2)</f>
        <v>21</v>
      </c>
      <c r="AK2" s="10">
        <v>50</v>
      </c>
    </row>
    <row r="3" spans="1:37" ht="14.4" x14ac:dyDescent="0.3">
      <c r="A3" s="10">
        <v>2</v>
      </c>
      <c r="B3" s="15" t="s">
        <v>50</v>
      </c>
      <c r="C3" s="10" t="s">
        <v>51</v>
      </c>
      <c r="D3" s="10"/>
      <c r="E3" s="10" t="s">
        <v>43</v>
      </c>
      <c r="F3" s="10" t="s">
        <v>44</v>
      </c>
      <c r="G3" s="10" t="s">
        <v>45</v>
      </c>
      <c r="H3" s="16" t="s">
        <v>46</v>
      </c>
      <c r="I3" s="10" t="s">
        <v>47</v>
      </c>
      <c r="J3" s="10">
        <v>2020</v>
      </c>
      <c r="K3" s="10">
        <v>4</v>
      </c>
      <c r="L3" s="10" t="s">
        <v>85</v>
      </c>
      <c r="M3" s="16">
        <v>1</v>
      </c>
      <c r="N3" s="14">
        <v>1</v>
      </c>
      <c r="O3" s="14">
        <v>1</v>
      </c>
      <c r="P3" s="14">
        <v>1</v>
      </c>
      <c r="Q3" s="14">
        <v>1</v>
      </c>
      <c r="R3" s="14">
        <v>2</v>
      </c>
      <c r="S3" s="14">
        <v>2</v>
      </c>
      <c r="T3" s="14">
        <v>2</v>
      </c>
      <c r="U3" s="14" t="s">
        <v>49</v>
      </c>
      <c r="V3" s="14">
        <v>2</v>
      </c>
      <c r="W3" s="14">
        <v>2</v>
      </c>
      <c r="X3" s="14">
        <v>5</v>
      </c>
      <c r="Y3" s="14">
        <v>5</v>
      </c>
      <c r="Z3" s="14">
        <v>5</v>
      </c>
      <c r="AA3" s="14" t="s">
        <v>49</v>
      </c>
      <c r="AB3" s="14" t="s">
        <v>49</v>
      </c>
      <c r="AC3" s="14">
        <v>7</v>
      </c>
      <c r="AD3" s="10" t="s">
        <v>49</v>
      </c>
      <c r="AE3" s="10" t="s">
        <v>49</v>
      </c>
      <c r="AF3" s="10" t="s">
        <v>49</v>
      </c>
      <c r="AG3" s="10">
        <v>10</v>
      </c>
      <c r="AH3" s="10" t="s">
        <v>49</v>
      </c>
      <c r="AI3" s="10" t="s">
        <v>49</v>
      </c>
      <c r="AJ3" s="10">
        <f t="shared" si="0"/>
        <v>47</v>
      </c>
      <c r="AK3" s="10">
        <v>50</v>
      </c>
    </row>
    <row r="4" spans="1:37" ht="14.4" x14ac:dyDescent="0.3">
      <c r="A4" s="10">
        <v>3</v>
      </c>
      <c r="B4" s="15" t="s">
        <v>52</v>
      </c>
      <c r="C4" s="10" t="s">
        <v>53</v>
      </c>
      <c r="D4" s="10"/>
      <c r="E4" s="10" t="s">
        <v>43</v>
      </c>
      <c r="F4" s="10" t="s">
        <v>44</v>
      </c>
      <c r="G4" s="10" t="s">
        <v>45</v>
      </c>
      <c r="H4" s="16" t="s">
        <v>46</v>
      </c>
      <c r="I4" s="10" t="s">
        <v>47</v>
      </c>
      <c r="J4" s="10">
        <v>2020</v>
      </c>
      <c r="K4" s="10">
        <v>4</v>
      </c>
      <c r="L4" s="10" t="s">
        <v>85</v>
      </c>
      <c r="M4" s="16" t="s">
        <v>49</v>
      </c>
      <c r="N4" s="14" t="s">
        <v>49</v>
      </c>
      <c r="O4" s="14" t="s">
        <v>49</v>
      </c>
      <c r="P4" s="14" t="s">
        <v>49</v>
      </c>
      <c r="Q4" s="14" t="s">
        <v>49</v>
      </c>
      <c r="R4" s="14" t="s">
        <v>49</v>
      </c>
      <c r="S4" s="14" t="s">
        <v>49</v>
      </c>
      <c r="T4" s="14" t="s">
        <v>49</v>
      </c>
      <c r="U4" s="14" t="s">
        <v>49</v>
      </c>
      <c r="V4" s="14" t="s">
        <v>49</v>
      </c>
      <c r="W4" s="14" t="s">
        <v>49</v>
      </c>
      <c r="X4" s="14" t="s">
        <v>49</v>
      </c>
      <c r="Y4" s="14" t="s">
        <v>49</v>
      </c>
      <c r="Z4" s="14" t="s">
        <v>49</v>
      </c>
      <c r="AA4" s="14" t="s">
        <v>49</v>
      </c>
      <c r="AB4" s="14" t="s">
        <v>49</v>
      </c>
      <c r="AC4" s="14" t="s">
        <v>49</v>
      </c>
      <c r="AD4" s="10" t="s">
        <v>49</v>
      </c>
      <c r="AE4" s="10" t="s">
        <v>49</v>
      </c>
      <c r="AF4" s="10" t="s">
        <v>49</v>
      </c>
      <c r="AG4" s="10">
        <v>6</v>
      </c>
      <c r="AH4" s="10" t="s">
        <v>49</v>
      </c>
      <c r="AI4" s="10" t="s">
        <v>49</v>
      </c>
      <c r="AJ4" s="10">
        <f t="shared" si="0"/>
        <v>6</v>
      </c>
      <c r="AK4" s="10">
        <v>50</v>
      </c>
    </row>
    <row r="5" spans="1:37" ht="14.4" x14ac:dyDescent="0.3">
      <c r="A5" s="10">
        <v>4</v>
      </c>
      <c r="B5" s="15" t="s">
        <v>54</v>
      </c>
      <c r="C5" s="10" t="s">
        <v>55</v>
      </c>
      <c r="D5" s="10"/>
      <c r="E5" s="10" t="s">
        <v>43</v>
      </c>
      <c r="F5" s="10" t="s">
        <v>44</v>
      </c>
      <c r="G5" s="10" t="s">
        <v>45</v>
      </c>
      <c r="H5" s="16" t="s">
        <v>46</v>
      </c>
      <c r="I5" s="10" t="s">
        <v>47</v>
      </c>
      <c r="J5" s="10">
        <v>2020</v>
      </c>
      <c r="K5" s="10">
        <v>4</v>
      </c>
      <c r="L5" s="10" t="s">
        <v>85</v>
      </c>
      <c r="M5" s="16" t="s">
        <v>49</v>
      </c>
      <c r="N5" s="14" t="s">
        <v>49</v>
      </c>
      <c r="O5" s="14" t="s">
        <v>49</v>
      </c>
      <c r="P5" s="14" t="s">
        <v>49</v>
      </c>
      <c r="Q5" s="14" t="s">
        <v>49</v>
      </c>
      <c r="R5" s="14" t="s">
        <v>49</v>
      </c>
      <c r="S5" s="14" t="s">
        <v>49</v>
      </c>
      <c r="T5" s="14" t="s">
        <v>49</v>
      </c>
      <c r="U5" s="14" t="s">
        <v>49</v>
      </c>
      <c r="V5" s="14" t="s">
        <v>49</v>
      </c>
      <c r="W5" s="14" t="s">
        <v>49</v>
      </c>
      <c r="X5" s="14" t="s">
        <v>49</v>
      </c>
      <c r="Y5" s="14" t="s">
        <v>49</v>
      </c>
      <c r="Z5" s="14" t="s">
        <v>49</v>
      </c>
      <c r="AA5" s="14" t="s">
        <v>49</v>
      </c>
      <c r="AB5" s="14" t="s">
        <v>49</v>
      </c>
      <c r="AC5" s="14" t="s">
        <v>49</v>
      </c>
      <c r="AD5" s="10" t="s">
        <v>49</v>
      </c>
      <c r="AE5" s="10" t="s">
        <v>49</v>
      </c>
      <c r="AF5" s="10" t="s">
        <v>49</v>
      </c>
      <c r="AG5" s="10">
        <v>8</v>
      </c>
      <c r="AH5" s="10" t="s">
        <v>49</v>
      </c>
      <c r="AI5" s="10" t="s">
        <v>49</v>
      </c>
      <c r="AJ5" s="10">
        <f t="shared" si="0"/>
        <v>8</v>
      </c>
      <c r="AK5" s="10">
        <v>50</v>
      </c>
    </row>
    <row r="6" spans="1:37" ht="15" customHeight="1" x14ac:dyDescent="0.3">
      <c r="A6" s="10">
        <v>5</v>
      </c>
      <c r="B6" s="15" t="s">
        <v>56</v>
      </c>
      <c r="C6" s="10" t="s">
        <v>57</v>
      </c>
      <c r="D6" s="10"/>
      <c r="E6" s="10" t="s">
        <v>43</v>
      </c>
      <c r="F6" s="10" t="s">
        <v>44</v>
      </c>
      <c r="G6" s="10" t="s">
        <v>45</v>
      </c>
      <c r="H6" s="16" t="s">
        <v>46</v>
      </c>
      <c r="I6" s="10" t="s">
        <v>47</v>
      </c>
      <c r="J6" s="10">
        <v>2020</v>
      </c>
      <c r="K6" s="10">
        <v>4</v>
      </c>
      <c r="L6" s="10" t="s">
        <v>85</v>
      </c>
      <c r="M6" s="16" t="s">
        <v>49</v>
      </c>
      <c r="N6" s="14" t="s">
        <v>49</v>
      </c>
      <c r="O6" s="14" t="s">
        <v>49</v>
      </c>
      <c r="P6" s="14" t="s">
        <v>49</v>
      </c>
      <c r="Q6" s="14" t="s">
        <v>49</v>
      </c>
      <c r="R6" s="14" t="s">
        <v>49</v>
      </c>
      <c r="S6" s="14" t="s">
        <v>49</v>
      </c>
      <c r="T6" s="14" t="s">
        <v>49</v>
      </c>
      <c r="U6" s="14" t="s">
        <v>49</v>
      </c>
      <c r="V6" s="14" t="s">
        <v>49</v>
      </c>
      <c r="W6" s="14" t="s">
        <v>49</v>
      </c>
      <c r="X6" s="14" t="s">
        <v>49</v>
      </c>
      <c r="Y6" s="14" t="s">
        <v>49</v>
      </c>
      <c r="Z6" s="14" t="s">
        <v>49</v>
      </c>
      <c r="AA6" s="14" t="s">
        <v>49</v>
      </c>
      <c r="AB6" s="14" t="s">
        <v>49</v>
      </c>
      <c r="AC6" s="14" t="s">
        <v>49</v>
      </c>
      <c r="AD6" s="10" t="s">
        <v>49</v>
      </c>
      <c r="AE6" s="10" t="s">
        <v>49</v>
      </c>
      <c r="AF6" s="10" t="s">
        <v>49</v>
      </c>
      <c r="AG6" s="10" t="s">
        <v>49</v>
      </c>
      <c r="AH6" s="10" t="s">
        <v>49</v>
      </c>
      <c r="AI6" s="10" t="s">
        <v>49</v>
      </c>
      <c r="AJ6" s="10">
        <f t="shared" si="0"/>
        <v>0</v>
      </c>
      <c r="AK6" s="10">
        <v>50</v>
      </c>
    </row>
    <row r="7" spans="1:37" ht="15" customHeight="1" x14ac:dyDescent="0.3">
      <c r="A7" s="10">
        <v>6</v>
      </c>
      <c r="B7" s="15" t="s">
        <v>58</v>
      </c>
      <c r="C7" s="10" t="s">
        <v>59</v>
      </c>
      <c r="D7" s="10"/>
      <c r="E7" s="10" t="s">
        <v>43</v>
      </c>
      <c r="F7" s="10" t="s">
        <v>44</v>
      </c>
      <c r="G7" s="10" t="s">
        <v>45</v>
      </c>
      <c r="H7" s="16" t="s">
        <v>46</v>
      </c>
      <c r="I7" s="10" t="s">
        <v>47</v>
      </c>
      <c r="J7" s="10">
        <v>2020</v>
      </c>
      <c r="K7" s="10">
        <v>4</v>
      </c>
      <c r="L7" s="10" t="s">
        <v>85</v>
      </c>
      <c r="M7" s="16" t="s">
        <v>49</v>
      </c>
      <c r="N7" s="14" t="s">
        <v>49</v>
      </c>
      <c r="O7" s="14" t="s">
        <v>49</v>
      </c>
      <c r="P7" s="14" t="s">
        <v>49</v>
      </c>
      <c r="Q7" s="14" t="s">
        <v>49</v>
      </c>
      <c r="R7" s="14" t="s">
        <v>49</v>
      </c>
      <c r="S7" s="14" t="s">
        <v>49</v>
      </c>
      <c r="T7" s="14" t="s">
        <v>49</v>
      </c>
      <c r="U7" s="14" t="s">
        <v>49</v>
      </c>
      <c r="V7" s="14" t="s">
        <v>49</v>
      </c>
      <c r="W7" s="14" t="s">
        <v>49</v>
      </c>
      <c r="X7" s="14" t="s">
        <v>49</v>
      </c>
      <c r="Y7" s="14" t="s">
        <v>49</v>
      </c>
      <c r="Z7" s="14" t="s">
        <v>49</v>
      </c>
      <c r="AA7" s="14" t="s">
        <v>49</v>
      </c>
      <c r="AB7" s="14" t="s">
        <v>49</v>
      </c>
      <c r="AC7" s="14" t="s">
        <v>49</v>
      </c>
      <c r="AD7" s="10" t="s">
        <v>49</v>
      </c>
      <c r="AE7" s="10" t="s">
        <v>49</v>
      </c>
      <c r="AF7" s="10" t="s">
        <v>49</v>
      </c>
      <c r="AG7" s="10" t="s">
        <v>49</v>
      </c>
      <c r="AH7" s="10" t="s">
        <v>49</v>
      </c>
      <c r="AI7" s="10" t="s">
        <v>49</v>
      </c>
      <c r="AJ7" s="10">
        <f t="shared" si="0"/>
        <v>0</v>
      </c>
      <c r="AK7" s="10">
        <v>50</v>
      </c>
    </row>
    <row r="8" spans="1:37" ht="15" customHeight="1" x14ac:dyDescent="0.3">
      <c r="A8" s="10">
        <v>7</v>
      </c>
      <c r="B8" s="15" t="s">
        <v>60</v>
      </c>
      <c r="C8" s="10" t="s">
        <v>61</v>
      </c>
      <c r="D8" s="10"/>
      <c r="E8" s="10" t="s">
        <v>43</v>
      </c>
      <c r="F8" s="10" t="s">
        <v>44</v>
      </c>
      <c r="G8" s="10" t="s">
        <v>45</v>
      </c>
      <c r="H8" s="16" t="s">
        <v>46</v>
      </c>
      <c r="I8" s="10" t="s">
        <v>47</v>
      </c>
      <c r="J8" s="10">
        <v>2020</v>
      </c>
      <c r="K8" s="10">
        <v>4</v>
      </c>
      <c r="L8" s="10" t="s">
        <v>85</v>
      </c>
      <c r="M8" s="16">
        <v>1</v>
      </c>
      <c r="N8" s="14">
        <v>1</v>
      </c>
      <c r="O8" s="14">
        <v>1</v>
      </c>
      <c r="P8" s="14">
        <v>1</v>
      </c>
      <c r="Q8" s="14">
        <v>1</v>
      </c>
      <c r="R8" s="14">
        <v>2</v>
      </c>
      <c r="S8" s="14">
        <v>2</v>
      </c>
      <c r="T8" s="14" t="s">
        <v>49</v>
      </c>
      <c r="U8" s="14">
        <v>2</v>
      </c>
      <c r="V8" s="14">
        <v>2</v>
      </c>
      <c r="W8" s="14">
        <v>2</v>
      </c>
      <c r="X8" s="14" t="s">
        <v>49</v>
      </c>
      <c r="Y8" s="14">
        <v>5</v>
      </c>
      <c r="Z8" s="14">
        <v>5</v>
      </c>
      <c r="AA8" s="14">
        <v>5</v>
      </c>
      <c r="AB8" s="14">
        <v>3</v>
      </c>
      <c r="AC8" s="14" t="s">
        <v>49</v>
      </c>
      <c r="AD8" s="10" t="s">
        <v>49</v>
      </c>
      <c r="AE8" s="10" t="s">
        <v>49</v>
      </c>
      <c r="AF8" s="10" t="s">
        <v>49</v>
      </c>
      <c r="AG8" s="10">
        <v>9</v>
      </c>
      <c r="AH8" s="10" t="s">
        <v>49</v>
      </c>
      <c r="AI8" s="10" t="s">
        <v>49</v>
      </c>
      <c r="AJ8" s="10">
        <v>43</v>
      </c>
      <c r="AK8" s="10">
        <v>50</v>
      </c>
    </row>
    <row r="9" spans="1:37" ht="15" customHeight="1" x14ac:dyDescent="0.3">
      <c r="A9" s="10">
        <v>8</v>
      </c>
      <c r="B9" s="15" t="s">
        <v>62</v>
      </c>
      <c r="C9" s="10" t="s">
        <v>63</v>
      </c>
      <c r="D9" s="10"/>
      <c r="E9" s="10" t="s">
        <v>43</v>
      </c>
      <c r="F9" s="10" t="s">
        <v>44</v>
      </c>
      <c r="G9" s="10" t="s">
        <v>45</v>
      </c>
      <c r="H9" s="16" t="s">
        <v>46</v>
      </c>
      <c r="I9" s="10" t="s">
        <v>47</v>
      </c>
      <c r="J9" s="10">
        <v>2020</v>
      </c>
      <c r="K9" s="10">
        <v>4</v>
      </c>
      <c r="L9" s="10" t="s">
        <v>85</v>
      </c>
      <c r="M9" s="16" t="s">
        <v>49</v>
      </c>
      <c r="N9" s="14" t="s">
        <v>49</v>
      </c>
      <c r="O9" s="14" t="s">
        <v>49</v>
      </c>
      <c r="P9" s="14" t="s">
        <v>49</v>
      </c>
      <c r="Q9" s="14" t="s">
        <v>49</v>
      </c>
      <c r="R9" s="14" t="s">
        <v>49</v>
      </c>
      <c r="S9" s="14" t="s">
        <v>49</v>
      </c>
      <c r="T9" s="14" t="s">
        <v>49</v>
      </c>
      <c r="U9" s="14" t="s">
        <v>49</v>
      </c>
      <c r="V9" s="14" t="s">
        <v>49</v>
      </c>
      <c r="W9" s="14" t="s">
        <v>49</v>
      </c>
      <c r="X9" s="14" t="s">
        <v>49</v>
      </c>
      <c r="Y9" s="14" t="s">
        <v>49</v>
      </c>
      <c r="Z9" s="14" t="s">
        <v>49</v>
      </c>
      <c r="AA9" s="14" t="s">
        <v>49</v>
      </c>
      <c r="AB9" s="14" t="s">
        <v>49</v>
      </c>
      <c r="AC9" s="14" t="s">
        <v>49</v>
      </c>
      <c r="AD9" s="10" t="s">
        <v>49</v>
      </c>
      <c r="AE9" s="10" t="s">
        <v>49</v>
      </c>
      <c r="AF9" s="10" t="s">
        <v>49</v>
      </c>
      <c r="AG9" s="10" t="s">
        <v>49</v>
      </c>
      <c r="AH9" s="10" t="s">
        <v>49</v>
      </c>
      <c r="AI9" s="10" t="s">
        <v>49</v>
      </c>
      <c r="AJ9" s="10">
        <f t="shared" si="0"/>
        <v>0</v>
      </c>
      <c r="AK9" s="10">
        <v>50</v>
      </c>
    </row>
    <row r="10" spans="1:37" ht="15" customHeight="1" x14ac:dyDescent="0.3">
      <c r="A10" s="10">
        <v>9</v>
      </c>
      <c r="B10" s="15" t="s">
        <v>64</v>
      </c>
      <c r="C10" s="10" t="s">
        <v>65</v>
      </c>
      <c r="D10" s="10"/>
      <c r="E10" s="10" t="s">
        <v>43</v>
      </c>
      <c r="F10" s="10" t="s">
        <v>44</v>
      </c>
      <c r="G10" s="10" t="s">
        <v>45</v>
      </c>
      <c r="H10" s="16" t="s">
        <v>46</v>
      </c>
      <c r="I10" s="10" t="s">
        <v>47</v>
      </c>
      <c r="J10" s="10">
        <v>2020</v>
      </c>
      <c r="K10" s="10">
        <v>4</v>
      </c>
      <c r="L10" s="10" t="s">
        <v>85</v>
      </c>
      <c r="M10" s="16" t="s">
        <v>49</v>
      </c>
      <c r="N10" s="14" t="s">
        <v>49</v>
      </c>
      <c r="O10" s="14" t="s">
        <v>49</v>
      </c>
      <c r="P10" s="14" t="s">
        <v>49</v>
      </c>
      <c r="Q10" s="14" t="s">
        <v>49</v>
      </c>
      <c r="R10" s="14" t="s">
        <v>49</v>
      </c>
      <c r="S10" s="14" t="s">
        <v>49</v>
      </c>
      <c r="T10" s="14" t="s">
        <v>49</v>
      </c>
      <c r="U10" s="14" t="s">
        <v>49</v>
      </c>
      <c r="V10" s="14" t="s">
        <v>49</v>
      </c>
      <c r="W10" s="14" t="s">
        <v>49</v>
      </c>
      <c r="X10" s="14" t="s">
        <v>49</v>
      </c>
      <c r="Y10" s="14" t="s">
        <v>49</v>
      </c>
      <c r="Z10" s="14" t="s">
        <v>49</v>
      </c>
      <c r="AA10" s="14" t="s">
        <v>49</v>
      </c>
      <c r="AB10" s="14" t="s">
        <v>49</v>
      </c>
      <c r="AC10" s="14" t="s">
        <v>49</v>
      </c>
      <c r="AD10" s="10" t="s">
        <v>49</v>
      </c>
      <c r="AE10" s="10" t="s">
        <v>49</v>
      </c>
      <c r="AF10" s="10" t="s">
        <v>49</v>
      </c>
      <c r="AG10" s="10">
        <v>6</v>
      </c>
      <c r="AH10" s="10" t="s">
        <v>49</v>
      </c>
      <c r="AI10" s="10" t="s">
        <v>49</v>
      </c>
      <c r="AJ10" s="10">
        <f t="shared" si="0"/>
        <v>6</v>
      </c>
      <c r="AK10" s="10">
        <v>50</v>
      </c>
    </row>
    <row r="11" spans="1:37" ht="15" customHeight="1" x14ac:dyDescent="0.3">
      <c r="A11" s="10">
        <v>10</v>
      </c>
      <c r="B11" s="15" t="s">
        <v>66</v>
      </c>
      <c r="C11" s="10" t="s">
        <v>67</v>
      </c>
      <c r="D11" s="10"/>
      <c r="E11" s="10" t="s">
        <v>43</v>
      </c>
      <c r="F11" s="10" t="s">
        <v>44</v>
      </c>
      <c r="G11" s="10" t="s">
        <v>45</v>
      </c>
      <c r="H11" s="16" t="s">
        <v>46</v>
      </c>
      <c r="I11" s="10" t="s">
        <v>47</v>
      </c>
      <c r="J11" s="10">
        <v>2020</v>
      </c>
      <c r="K11" s="10">
        <v>4</v>
      </c>
      <c r="L11" s="10" t="s">
        <v>85</v>
      </c>
      <c r="M11" s="16">
        <v>1</v>
      </c>
      <c r="N11" s="14">
        <v>1</v>
      </c>
      <c r="O11" s="14">
        <v>1</v>
      </c>
      <c r="P11" s="14">
        <v>1</v>
      </c>
      <c r="Q11" s="14">
        <v>1</v>
      </c>
      <c r="R11" s="14" t="s">
        <v>49</v>
      </c>
      <c r="S11" s="14">
        <v>2</v>
      </c>
      <c r="T11" s="14">
        <v>2</v>
      </c>
      <c r="U11" s="14">
        <v>2</v>
      </c>
      <c r="V11" s="14">
        <v>2</v>
      </c>
      <c r="W11" s="14">
        <v>2</v>
      </c>
      <c r="X11" s="14" t="s">
        <v>49</v>
      </c>
      <c r="Y11" s="14" t="s">
        <v>49</v>
      </c>
      <c r="Z11" s="14">
        <v>1</v>
      </c>
      <c r="AA11" s="14" t="s">
        <v>49</v>
      </c>
      <c r="AB11" s="14" t="s">
        <v>49</v>
      </c>
      <c r="AC11" s="14">
        <v>1</v>
      </c>
      <c r="AD11" s="10" t="s">
        <v>49</v>
      </c>
      <c r="AE11" s="10" t="s">
        <v>49</v>
      </c>
      <c r="AF11" s="10" t="s">
        <v>49</v>
      </c>
      <c r="AG11" s="10">
        <v>8</v>
      </c>
      <c r="AH11" s="10" t="s">
        <v>49</v>
      </c>
      <c r="AI11" s="10" t="s">
        <v>49</v>
      </c>
      <c r="AJ11" s="10">
        <f t="shared" si="0"/>
        <v>25</v>
      </c>
      <c r="AK11" s="10">
        <v>50</v>
      </c>
    </row>
    <row r="12" spans="1:37" ht="15" customHeight="1" x14ac:dyDescent="0.3">
      <c r="A12" s="10">
        <v>11</v>
      </c>
      <c r="B12" s="15" t="s">
        <v>68</v>
      </c>
      <c r="C12" s="10" t="s">
        <v>69</v>
      </c>
      <c r="D12" s="10"/>
      <c r="E12" s="10" t="s">
        <v>43</v>
      </c>
      <c r="F12" s="10" t="s">
        <v>44</v>
      </c>
      <c r="G12" s="10" t="s">
        <v>45</v>
      </c>
      <c r="H12" s="16" t="s">
        <v>46</v>
      </c>
      <c r="I12" s="10" t="s">
        <v>47</v>
      </c>
      <c r="J12" s="10">
        <v>2020</v>
      </c>
      <c r="K12" s="10">
        <v>4</v>
      </c>
      <c r="L12" s="10" t="s">
        <v>85</v>
      </c>
      <c r="M12" s="16" t="s">
        <v>49</v>
      </c>
      <c r="N12" s="14" t="s">
        <v>49</v>
      </c>
      <c r="O12" s="14" t="s">
        <v>49</v>
      </c>
      <c r="P12" s="14" t="s">
        <v>49</v>
      </c>
      <c r="Q12" s="14" t="s">
        <v>49</v>
      </c>
      <c r="R12" s="14" t="s">
        <v>49</v>
      </c>
      <c r="S12" s="14" t="s">
        <v>49</v>
      </c>
      <c r="T12" s="14" t="s">
        <v>49</v>
      </c>
      <c r="U12" s="14" t="s">
        <v>49</v>
      </c>
      <c r="V12" s="14" t="s">
        <v>49</v>
      </c>
      <c r="W12" s="14" t="s">
        <v>49</v>
      </c>
      <c r="X12" s="14" t="s">
        <v>49</v>
      </c>
      <c r="Y12" s="14" t="s">
        <v>49</v>
      </c>
      <c r="Z12" s="14" t="s">
        <v>49</v>
      </c>
      <c r="AA12" s="14" t="s">
        <v>49</v>
      </c>
      <c r="AB12" s="14" t="s">
        <v>49</v>
      </c>
      <c r="AC12" s="14" t="s">
        <v>49</v>
      </c>
      <c r="AD12" s="10" t="s">
        <v>49</v>
      </c>
      <c r="AE12" s="10" t="s">
        <v>49</v>
      </c>
      <c r="AF12" s="10" t="s">
        <v>49</v>
      </c>
      <c r="AG12" s="10">
        <v>7</v>
      </c>
      <c r="AH12" s="10" t="s">
        <v>49</v>
      </c>
      <c r="AI12" s="10" t="s">
        <v>49</v>
      </c>
      <c r="AJ12" s="10">
        <f t="shared" si="0"/>
        <v>7</v>
      </c>
      <c r="AK12" s="10">
        <v>50</v>
      </c>
    </row>
    <row r="13" spans="1:37" ht="15" customHeight="1" x14ac:dyDescent="0.3">
      <c r="A13" s="10">
        <v>12</v>
      </c>
      <c r="B13" s="15" t="s">
        <v>70</v>
      </c>
      <c r="C13" s="10" t="s">
        <v>71</v>
      </c>
      <c r="D13" s="10"/>
      <c r="E13" s="10" t="s">
        <v>43</v>
      </c>
      <c r="F13" s="10" t="s">
        <v>44</v>
      </c>
      <c r="G13" s="10" t="s">
        <v>45</v>
      </c>
      <c r="H13" s="16" t="s">
        <v>46</v>
      </c>
      <c r="I13" s="10" t="s">
        <v>47</v>
      </c>
      <c r="J13" s="10">
        <v>2020</v>
      </c>
      <c r="K13" s="10">
        <v>4</v>
      </c>
      <c r="L13" s="10" t="s">
        <v>85</v>
      </c>
      <c r="M13" s="16" t="s">
        <v>49</v>
      </c>
      <c r="N13" s="14">
        <v>1</v>
      </c>
      <c r="O13" s="14">
        <v>1</v>
      </c>
      <c r="P13" s="14" t="s">
        <v>49</v>
      </c>
      <c r="Q13" s="14" t="s">
        <v>49</v>
      </c>
      <c r="R13" s="14" t="s">
        <v>49</v>
      </c>
      <c r="S13" s="14" t="s">
        <v>49</v>
      </c>
      <c r="T13" s="14" t="s">
        <v>49</v>
      </c>
      <c r="U13" s="14" t="s">
        <v>49</v>
      </c>
      <c r="V13" s="14" t="s">
        <v>49</v>
      </c>
      <c r="W13" s="14" t="s">
        <v>49</v>
      </c>
      <c r="X13" s="14" t="s">
        <v>49</v>
      </c>
      <c r="Y13" s="14" t="s">
        <v>49</v>
      </c>
      <c r="Z13" s="14" t="s">
        <v>49</v>
      </c>
      <c r="AA13" s="14" t="s">
        <v>49</v>
      </c>
      <c r="AB13" s="14" t="s">
        <v>49</v>
      </c>
      <c r="AC13" s="14">
        <v>1</v>
      </c>
      <c r="AD13" s="10" t="s">
        <v>49</v>
      </c>
      <c r="AE13" s="10" t="s">
        <v>49</v>
      </c>
      <c r="AF13" s="10" t="s">
        <v>49</v>
      </c>
      <c r="AG13" s="10">
        <v>7</v>
      </c>
      <c r="AH13" s="10" t="s">
        <v>49</v>
      </c>
      <c r="AI13" s="10" t="s">
        <v>49</v>
      </c>
      <c r="AJ13" s="10">
        <f t="shared" si="0"/>
        <v>10</v>
      </c>
      <c r="AK13" s="10">
        <v>50</v>
      </c>
    </row>
    <row r="14" spans="1:37" ht="15" customHeight="1" x14ac:dyDescent="0.3">
      <c r="A14" s="10">
        <v>13</v>
      </c>
      <c r="B14" s="15" t="s">
        <v>72</v>
      </c>
      <c r="C14" s="10" t="s">
        <v>73</v>
      </c>
      <c r="D14" s="10"/>
      <c r="E14" s="10" t="s">
        <v>43</v>
      </c>
      <c r="F14" s="10" t="s">
        <v>44</v>
      </c>
      <c r="G14" s="10" t="s">
        <v>45</v>
      </c>
      <c r="H14" s="16" t="s">
        <v>46</v>
      </c>
      <c r="I14" s="10" t="s">
        <v>47</v>
      </c>
      <c r="J14" s="10">
        <v>2020</v>
      </c>
      <c r="K14" s="10">
        <v>4</v>
      </c>
      <c r="L14" s="10" t="s">
        <v>85</v>
      </c>
      <c r="M14" s="16">
        <v>1</v>
      </c>
      <c r="N14" s="14">
        <v>1</v>
      </c>
      <c r="O14" s="14">
        <v>1</v>
      </c>
      <c r="P14" s="14">
        <v>1</v>
      </c>
      <c r="Q14" s="14">
        <v>1</v>
      </c>
      <c r="R14" s="14">
        <v>2</v>
      </c>
      <c r="S14" s="14">
        <v>2</v>
      </c>
      <c r="T14" s="14">
        <v>2</v>
      </c>
      <c r="U14" s="14">
        <v>2</v>
      </c>
      <c r="V14" s="14">
        <v>2</v>
      </c>
      <c r="W14" s="14" t="s">
        <v>49</v>
      </c>
      <c r="X14" s="14">
        <v>4</v>
      </c>
      <c r="Y14" s="14">
        <v>5</v>
      </c>
      <c r="Z14" s="14">
        <v>2</v>
      </c>
      <c r="AA14" s="14" t="s">
        <v>49</v>
      </c>
      <c r="AB14" s="14" t="s">
        <v>49</v>
      </c>
      <c r="AC14" s="14">
        <v>1</v>
      </c>
      <c r="AD14" s="10" t="s">
        <v>49</v>
      </c>
      <c r="AE14" s="10" t="s">
        <v>49</v>
      </c>
      <c r="AF14" s="10" t="s">
        <v>49</v>
      </c>
      <c r="AG14" s="10">
        <v>9</v>
      </c>
      <c r="AH14" s="10" t="s">
        <v>49</v>
      </c>
      <c r="AI14" s="10" t="s">
        <v>49</v>
      </c>
      <c r="AJ14" s="10">
        <f t="shared" si="0"/>
        <v>36</v>
      </c>
      <c r="AK14" s="10">
        <v>50</v>
      </c>
    </row>
    <row r="15" spans="1:37" ht="15" customHeight="1" x14ac:dyDescent="0.3">
      <c r="A15" s="10">
        <v>14</v>
      </c>
      <c r="B15" s="15" t="s">
        <v>74</v>
      </c>
      <c r="C15" s="10" t="s">
        <v>75</v>
      </c>
      <c r="D15" s="10"/>
      <c r="E15" s="10" t="s">
        <v>43</v>
      </c>
      <c r="F15" s="10" t="s">
        <v>44</v>
      </c>
      <c r="G15" s="10" t="s">
        <v>45</v>
      </c>
      <c r="H15" s="16" t="s">
        <v>46</v>
      </c>
      <c r="I15" s="10" t="s">
        <v>47</v>
      </c>
      <c r="J15" s="10">
        <v>2020</v>
      </c>
      <c r="K15" s="10">
        <v>4</v>
      </c>
      <c r="L15" s="10" t="s">
        <v>85</v>
      </c>
      <c r="M15" s="16" t="s">
        <v>49</v>
      </c>
      <c r="N15" s="14" t="s">
        <v>49</v>
      </c>
      <c r="O15" s="14" t="s">
        <v>49</v>
      </c>
      <c r="P15" s="14" t="s">
        <v>49</v>
      </c>
      <c r="Q15" s="14" t="s">
        <v>49</v>
      </c>
      <c r="R15" s="14" t="s">
        <v>49</v>
      </c>
      <c r="S15" s="14" t="s">
        <v>49</v>
      </c>
      <c r="T15" s="14" t="s">
        <v>49</v>
      </c>
      <c r="U15" s="14" t="s">
        <v>49</v>
      </c>
      <c r="V15" s="14" t="s">
        <v>49</v>
      </c>
      <c r="W15" s="14" t="s">
        <v>49</v>
      </c>
      <c r="X15" s="14" t="s">
        <v>49</v>
      </c>
      <c r="Y15" s="14" t="s">
        <v>49</v>
      </c>
      <c r="Z15" s="14" t="s">
        <v>49</v>
      </c>
      <c r="AA15" s="14" t="s">
        <v>49</v>
      </c>
      <c r="AB15" s="14" t="s">
        <v>49</v>
      </c>
      <c r="AC15" s="14" t="s">
        <v>49</v>
      </c>
      <c r="AD15" s="10" t="s">
        <v>49</v>
      </c>
      <c r="AE15" s="10" t="s">
        <v>49</v>
      </c>
      <c r="AF15" s="10" t="s">
        <v>49</v>
      </c>
      <c r="AG15" s="10">
        <v>8</v>
      </c>
      <c r="AH15" s="10" t="s">
        <v>49</v>
      </c>
      <c r="AI15" s="10" t="s">
        <v>49</v>
      </c>
      <c r="AJ15" s="10">
        <f t="shared" si="0"/>
        <v>8</v>
      </c>
      <c r="AK15" s="10">
        <v>50</v>
      </c>
    </row>
    <row r="16" spans="1:37" ht="15" customHeight="1" x14ac:dyDescent="0.3">
      <c r="A16" s="10">
        <v>15</v>
      </c>
      <c r="B16" s="15" t="s">
        <v>76</v>
      </c>
      <c r="C16" s="10" t="s">
        <v>77</v>
      </c>
      <c r="D16" s="10"/>
      <c r="E16" s="10" t="s">
        <v>43</v>
      </c>
      <c r="F16" s="10" t="s">
        <v>44</v>
      </c>
      <c r="G16" s="10" t="s">
        <v>45</v>
      </c>
      <c r="H16" s="16" t="s">
        <v>46</v>
      </c>
      <c r="I16" s="10" t="s">
        <v>47</v>
      </c>
      <c r="J16" s="10">
        <v>2020</v>
      </c>
      <c r="K16" s="10">
        <v>4</v>
      </c>
      <c r="L16" s="10" t="s">
        <v>85</v>
      </c>
      <c r="M16" s="16">
        <v>1</v>
      </c>
      <c r="N16" s="14">
        <v>1</v>
      </c>
      <c r="O16" s="14">
        <v>1</v>
      </c>
      <c r="P16" s="14">
        <v>1</v>
      </c>
      <c r="Q16" s="14">
        <v>1</v>
      </c>
      <c r="R16" s="14">
        <v>2</v>
      </c>
      <c r="S16" s="14" t="s">
        <v>49</v>
      </c>
      <c r="T16" s="14">
        <v>2</v>
      </c>
      <c r="U16" s="14">
        <v>2</v>
      </c>
      <c r="V16" s="14">
        <v>2</v>
      </c>
      <c r="W16" s="14">
        <v>2</v>
      </c>
      <c r="X16" s="14">
        <v>4</v>
      </c>
      <c r="Y16" s="14">
        <v>5</v>
      </c>
      <c r="Z16" s="14">
        <v>2</v>
      </c>
      <c r="AA16" s="14" t="s">
        <v>49</v>
      </c>
      <c r="AB16" s="14">
        <v>1</v>
      </c>
      <c r="AC16" s="14" t="s">
        <v>49</v>
      </c>
      <c r="AD16" s="10" t="s">
        <v>49</v>
      </c>
      <c r="AE16" s="10" t="s">
        <v>49</v>
      </c>
      <c r="AF16" s="10" t="s">
        <v>49</v>
      </c>
      <c r="AG16" s="10">
        <v>8</v>
      </c>
      <c r="AH16" s="10" t="s">
        <v>49</v>
      </c>
      <c r="AI16" s="10" t="s">
        <v>49</v>
      </c>
      <c r="AJ16" s="10">
        <f t="shared" si="0"/>
        <v>35</v>
      </c>
      <c r="AK16" s="10">
        <v>50</v>
      </c>
    </row>
    <row r="17" spans="1:37" ht="15" customHeight="1" x14ac:dyDescent="0.3">
      <c r="A17" s="10">
        <v>16</v>
      </c>
      <c r="B17" s="15" t="s">
        <v>78</v>
      </c>
      <c r="C17" s="10" t="s">
        <v>79</v>
      </c>
      <c r="D17" s="10"/>
      <c r="E17" s="10" t="s">
        <v>43</v>
      </c>
      <c r="F17" s="10" t="s">
        <v>44</v>
      </c>
      <c r="G17" s="10" t="s">
        <v>45</v>
      </c>
      <c r="H17" s="16" t="s">
        <v>46</v>
      </c>
      <c r="I17" s="10" t="s">
        <v>47</v>
      </c>
      <c r="J17" s="10">
        <v>2020</v>
      </c>
      <c r="K17" s="10">
        <v>4</v>
      </c>
      <c r="L17" s="10" t="s">
        <v>85</v>
      </c>
      <c r="M17" s="17">
        <v>1</v>
      </c>
      <c r="N17" s="14">
        <v>1</v>
      </c>
      <c r="O17" s="14">
        <v>1</v>
      </c>
      <c r="P17" s="14">
        <v>1</v>
      </c>
      <c r="Q17" s="14">
        <v>1</v>
      </c>
      <c r="R17" s="14" t="s">
        <v>49</v>
      </c>
      <c r="S17" s="14">
        <v>2</v>
      </c>
      <c r="T17" s="14">
        <v>2</v>
      </c>
      <c r="U17" s="14">
        <v>2</v>
      </c>
      <c r="V17" s="14">
        <v>2</v>
      </c>
      <c r="W17" s="14">
        <v>2</v>
      </c>
      <c r="X17" s="14" t="s">
        <v>49</v>
      </c>
      <c r="Y17" s="14">
        <v>5</v>
      </c>
      <c r="Z17" s="14">
        <v>5</v>
      </c>
      <c r="AA17" s="14">
        <v>5</v>
      </c>
      <c r="AB17" s="14" t="s">
        <v>49</v>
      </c>
      <c r="AC17" s="14">
        <v>5</v>
      </c>
      <c r="AD17" s="10" t="s">
        <v>49</v>
      </c>
      <c r="AE17" s="10" t="s">
        <v>49</v>
      </c>
      <c r="AF17" s="10" t="s">
        <v>49</v>
      </c>
      <c r="AG17" s="10">
        <v>9</v>
      </c>
      <c r="AH17" s="10" t="s">
        <v>49</v>
      </c>
      <c r="AI17" s="10" t="s">
        <v>49</v>
      </c>
      <c r="AJ17" s="10">
        <f t="shared" si="0"/>
        <v>44</v>
      </c>
      <c r="AK17" s="10">
        <v>50</v>
      </c>
    </row>
    <row r="18" spans="1:37" ht="15" customHeight="1" x14ac:dyDescent="0.3">
      <c r="A18" s="10">
        <v>17</v>
      </c>
      <c r="B18" s="15" t="s">
        <v>80</v>
      </c>
      <c r="C18" s="10" t="s">
        <v>81</v>
      </c>
      <c r="D18" s="10"/>
      <c r="E18" s="10" t="s">
        <v>43</v>
      </c>
      <c r="F18" s="10" t="s">
        <v>44</v>
      </c>
      <c r="G18" s="10" t="s">
        <v>45</v>
      </c>
      <c r="H18" s="16" t="s">
        <v>46</v>
      </c>
      <c r="I18" s="10" t="s">
        <v>47</v>
      </c>
      <c r="J18" s="10">
        <v>2020</v>
      </c>
      <c r="K18" s="10">
        <v>4</v>
      </c>
      <c r="L18" s="10" t="s">
        <v>85</v>
      </c>
      <c r="M18" s="16">
        <v>1</v>
      </c>
      <c r="N18" s="14">
        <v>1</v>
      </c>
      <c r="O18" s="14">
        <v>1</v>
      </c>
      <c r="P18" s="14">
        <v>1</v>
      </c>
      <c r="Q18" s="14">
        <v>1</v>
      </c>
      <c r="R18" s="14" t="s">
        <v>49</v>
      </c>
      <c r="S18" s="14">
        <v>1</v>
      </c>
      <c r="T18" s="14">
        <v>2</v>
      </c>
      <c r="U18" s="14" t="s">
        <v>49</v>
      </c>
      <c r="V18" s="14">
        <v>2</v>
      </c>
      <c r="W18" s="14">
        <v>2</v>
      </c>
      <c r="X18" s="14" t="s">
        <v>49</v>
      </c>
      <c r="Y18" s="14" t="s">
        <v>49</v>
      </c>
      <c r="Z18" s="14" t="s">
        <v>49</v>
      </c>
      <c r="AA18" s="14" t="s">
        <v>49</v>
      </c>
      <c r="AB18" s="14" t="s">
        <v>49</v>
      </c>
      <c r="AC18" s="14">
        <v>1</v>
      </c>
      <c r="AD18" s="10" t="s">
        <v>49</v>
      </c>
      <c r="AE18" s="10" t="s">
        <v>49</v>
      </c>
      <c r="AF18" s="10" t="s">
        <v>49</v>
      </c>
      <c r="AG18" s="10">
        <v>6</v>
      </c>
      <c r="AH18" s="10" t="s">
        <v>49</v>
      </c>
      <c r="AI18" s="10" t="s">
        <v>49</v>
      </c>
      <c r="AJ18" s="10">
        <f t="shared" si="0"/>
        <v>19</v>
      </c>
      <c r="AK18" s="10">
        <v>50</v>
      </c>
    </row>
    <row r="19" spans="1:37" ht="15" customHeight="1" x14ac:dyDescent="0.3">
      <c r="A19" s="10">
        <v>18</v>
      </c>
      <c r="B19" s="15" t="s">
        <v>82</v>
      </c>
      <c r="C19" s="10" t="s">
        <v>83</v>
      </c>
      <c r="D19" s="10"/>
      <c r="E19" s="10" t="s">
        <v>43</v>
      </c>
      <c r="F19" s="10" t="s">
        <v>44</v>
      </c>
      <c r="G19" s="10" t="s">
        <v>45</v>
      </c>
      <c r="H19" s="16" t="s">
        <v>46</v>
      </c>
      <c r="I19" s="10" t="s">
        <v>47</v>
      </c>
      <c r="J19" s="10">
        <v>2020</v>
      </c>
      <c r="K19" s="10">
        <v>4</v>
      </c>
      <c r="L19" s="10" t="s">
        <v>85</v>
      </c>
      <c r="M19" s="14">
        <v>1</v>
      </c>
      <c r="N19" s="14">
        <v>1</v>
      </c>
      <c r="O19" s="14">
        <v>1</v>
      </c>
      <c r="P19" s="14">
        <v>1</v>
      </c>
      <c r="Q19" s="14">
        <v>1</v>
      </c>
      <c r="R19" s="14" t="s">
        <v>49</v>
      </c>
      <c r="S19" s="14">
        <v>1</v>
      </c>
      <c r="T19" s="14">
        <v>2</v>
      </c>
      <c r="U19" s="14">
        <v>2</v>
      </c>
      <c r="V19" s="14">
        <v>2</v>
      </c>
      <c r="W19" s="14" t="s">
        <v>49</v>
      </c>
      <c r="X19" s="14" t="s">
        <v>49</v>
      </c>
      <c r="Y19" s="14" t="s">
        <v>49</v>
      </c>
      <c r="Z19" s="14" t="s">
        <v>49</v>
      </c>
      <c r="AA19" s="14" t="s">
        <v>49</v>
      </c>
      <c r="AB19" s="14" t="s">
        <v>49</v>
      </c>
      <c r="AC19" s="14">
        <v>1</v>
      </c>
      <c r="AD19" s="10" t="s">
        <v>49</v>
      </c>
      <c r="AE19" s="10" t="s">
        <v>49</v>
      </c>
      <c r="AF19" s="10" t="s">
        <v>49</v>
      </c>
      <c r="AG19" s="10">
        <v>9</v>
      </c>
      <c r="AH19" s="10" t="s">
        <v>49</v>
      </c>
      <c r="AI19" s="10" t="s">
        <v>49</v>
      </c>
      <c r="AJ19" s="10">
        <f t="shared" si="0"/>
        <v>22</v>
      </c>
      <c r="AK19" s="10">
        <v>50</v>
      </c>
    </row>
    <row r="20" spans="1:37" ht="14.4" x14ac:dyDescent="0.3">
      <c r="C20" s="18"/>
    </row>
    <row r="21" spans="1:37" ht="15.75" customHeight="1" x14ac:dyDescent="0.3">
      <c r="C21" s="18"/>
    </row>
    <row r="22" spans="1:37" ht="15.75" customHeight="1" x14ac:dyDescent="0.3">
      <c r="C22" s="18"/>
    </row>
    <row r="23" spans="1:37" ht="15.75" customHeight="1" x14ac:dyDescent="0.3">
      <c r="C23" s="18"/>
    </row>
    <row r="24" spans="1:37" ht="15.75" customHeight="1" x14ac:dyDescent="0.3">
      <c r="C24" s="18"/>
    </row>
    <row r="25" spans="1:37" ht="15.75" customHeight="1" x14ac:dyDescent="0.3">
      <c r="C25" s="18"/>
    </row>
    <row r="26" spans="1:37" ht="15.75" customHeight="1" x14ac:dyDescent="0.3">
      <c r="C26" s="18"/>
    </row>
    <row r="27" spans="1:37" ht="15.75" customHeight="1" x14ac:dyDescent="0.3">
      <c r="C27" s="18"/>
    </row>
    <row r="28" spans="1:37" ht="15.75" customHeight="1" x14ac:dyDescent="0.3">
      <c r="C28" s="18"/>
    </row>
    <row r="29" spans="1:37" ht="15.75" customHeight="1" x14ac:dyDescent="0.3">
      <c r="C29" s="18"/>
    </row>
    <row r="30" spans="1:37" ht="15.75" customHeight="1" x14ac:dyDescent="0.3">
      <c r="C30" s="18"/>
    </row>
    <row r="31" spans="1:37" ht="15.75" customHeight="1" x14ac:dyDescent="0.3">
      <c r="C31" s="18"/>
    </row>
    <row r="32" spans="1:37" ht="15.75" customHeight="1" x14ac:dyDescent="0.3">
      <c r="C32" s="18"/>
    </row>
    <row r="33" spans="3:3" ht="15.75" customHeight="1" x14ac:dyDescent="0.3">
      <c r="C33" s="18"/>
    </row>
    <row r="34" spans="3:3" ht="15.75" customHeight="1" x14ac:dyDescent="0.3">
      <c r="C34" s="18"/>
    </row>
    <row r="35" spans="3:3" ht="15.75" customHeight="1" x14ac:dyDescent="0.3">
      <c r="C35" s="18"/>
    </row>
    <row r="36" spans="3:3" ht="15.75" customHeight="1" x14ac:dyDescent="0.3">
      <c r="C36" s="18"/>
    </row>
    <row r="37" spans="3:3" ht="15.75" customHeight="1" x14ac:dyDescent="0.3">
      <c r="C37" s="18"/>
    </row>
    <row r="38" spans="3:3" ht="15.75" customHeight="1" x14ac:dyDescent="0.3">
      <c r="C38" s="18"/>
    </row>
    <row r="39" spans="3:3" ht="15.75" customHeight="1" x14ac:dyDescent="0.3">
      <c r="C39" s="18"/>
    </row>
    <row r="40" spans="3:3" ht="15.75" customHeight="1" x14ac:dyDescent="0.3">
      <c r="C40" s="18"/>
    </row>
    <row r="41" spans="3:3" ht="15.75" customHeight="1" x14ac:dyDescent="0.3">
      <c r="C41" s="18"/>
    </row>
    <row r="42" spans="3:3" ht="15.75" customHeight="1" x14ac:dyDescent="0.3">
      <c r="C42" s="18"/>
    </row>
    <row r="43" spans="3:3" ht="15.75" customHeight="1" x14ac:dyDescent="0.3">
      <c r="C43" s="18"/>
    </row>
    <row r="44" spans="3:3" ht="15.75" customHeight="1" x14ac:dyDescent="0.3">
      <c r="C44" s="18"/>
    </row>
    <row r="45" spans="3:3" ht="15.75" customHeight="1" x14ac:dyDescent="0.3">
      <c r="C45" s="18"/>
    </row>
    <row r="46" spans="3:3" ht="15.75" customHeight="1" x14ac:dyDescent="0.3">
      <c r="C46" s="18"/>
    </row>
    <row r="47" spans="3:3" ht="15.75" customHeight="1" x14ac:dyDescent="0.3">
      <c r="C47" s="18"/>
    </row>
    <row r="48" spans="3:3" ht="15.75" customHeight="1" x14ac:dyDescent="0.3">
      <c r="C48" s="18"/>
    </row>
    <row r="49" spans="3:3" ht="15.75" customHeight="1" x14ac:dyDescent="0.3">
      <c r="C49" s="18"/>
    </row>
    <row r="50" spans="3:3" ht="15.75" customHeight="1" x14ac:dyDescent="0.3">
      <c r="C50" s="18"/>
    </row>
    <row r="51" spans="3:3" ht="15.75" customHeight="1" x14ac:dyDescent="0.3">
      <c r="C51" s="18"/>
    </row>
    <row r="52" spans="3:3" ht="15.75" customHeight="1" x14ac:dyDescent="0.3">
      <c r="C52" s="18"/>
    </row>
    <row r="53" spans="3:3" ht="15.75" customHeight="1" x14ac:dyDescent="0.3">
      <c r="C53" s="18"/>
    </row>
    <row r="54" spans="3:3" ht="15.75" customHeight="1" x14ac:dyDescent="0.3">
      <c r="C54" s="18"/>
    </row>
    <row r="55" spans="3:3" ht="15.75" customHeight="1" x14ac:dyDescent="0.3">
      <c r="C55" s="18"/>
    </row>
    <row r="56" spans="3:3" ht="15.75" customHeight="1" x14ac:dyDescent="0.3">
      <c r="C56" s="18"/>
    </row>
    <row r="57" spans="3:3" ht="15.75" customHeight="1" x14ac:dyDescent="0.3">
      <c r="C57" s="18"/>
    </row>
    <row r="58" spans="3:3" ht="15.75" customHeight="1" x14ac:dyDescent="0.3">
      <c r="C58" s="18"/>
    </row>
    <row r="59" spans="3:3" ht="15.75" customHeight="1" x14ac:dyDescent="0.3">
      <c r="C59" s="18"/>
    </row>
    <row r="60" spans="3:3" ht="15.75" customHeight="1" x14ac:dyDescent="0.3">
      <c r="C60" s="18"/>
    </row>
    <row r="61" spans="3:3" ht="15.75" customHeight="1" x14ac:dyDescent="0.3">
      <c r="C61" s="18"/>
    </row>
    <row r="62" spans="3:3" ht="15.75" customHeight="1" x14ac:dyDescent="0.3">
      <c r="C62" s="18"/>
    </row>
    <row r="63" spans="3:3" ht="15.75" customHeight="1" x14ac:dyDescent="0.3">
      <c r="C63" s="18"/>
    </row>
    <row r="64" spans="3:3" ht="15.75" customHeight="1" x14ac:dyDescent="0.3">
      <c r="C64" s="18"/>
    </row>
    <row r="65" spans="3:3" ht="15.75" customHeight="1" x14ac:dyDescent="0.3">
      <c r="C65" s="18"/>
    </row>
    <row r="66" spans="3:3" ht="15.75" customHeight="1" x14ac:dyDescent="0.3">
      <c r="C66" s="18"/>
    </row>
    <row r="67" spans="3:3" ht="15.75" customHeight="1" x14ac:dyDescent="0.3">
      <c r="C67" s="18"/>
    </row>
    <row r="68" spans="3:3" ht="15.75" customHeight="1" x14ac:dyDescent="0.3">
      <c r="C68" s="18"/>
    </row>
    <row r="69" spans="3:3" ht="15.75" customHeight="1" x14ac:dyDescent="0.3">
      <c r="C69" s="18"/>
    </row>
    <row r="70" spans="3:3" ht="15.75" customHeight="1" x14ac:dyDescent="0.3">
      <c r="C70" s="18"/>
    </row>
    <row r="71" spans="3:3" ht="15.75" customHeight="1" x14ac:dyDescent="0.3">
      <c r="C71" s="18"/>
    </row>
    <row r="72" spans="3:3" ht="15.75" customHeight="1" x14ac:dyDescent="0.3">
      <c r="C72" s="18"/>
    </row>
    <row r="73" spans="3:3" ht="15.75" customHeight="1" x14ac:dyDescent="0.3">
      <c r="C73" s="18"/>
    </row>
    <row r="74" spans="3:3" ht="15.75" customHeight="1" x14ac:dyDescent="0.3">
      <c r="C74" s="18"/>
    </row>
    <row r="75" spans="3:3" ht="15.75" customHeight="1" x14ac:dyDescent="0.3">
      <c r="C75" s="18"/>
    </row>
    <row r="76" spans="3:3" ht="15.75" customHeight="1" x14ac:dyDescent="0.3">
      <c r="C76" s="18"/>
    </row>
    <row r="77" spans="3:3" ht="15.75" customHeight="1" x14ac:dyDescent="0.3">
      <c r="C77" s="18"/>
    </row>
    <row r="78" spans="3:3" ht="15.75" customHeight="1" x14ac:dyDescent="0.3">
      <c r="C78" s="18"/>
    </row>
    <row r="79" spans="3:3" ht="15.75" customHeight="1" x14ac:dyDescent="0.3">
      <c r="C79" s="18"/>
    </row>
    <row r="80" spans="3:3" ht="15.75" customHeight="1" x14ac:dyDescent="0.3">
      <c r="C80" s="18"/>
    </row>
    <row r="81" spans="3:3" ht="15.75" customHeight="1" x14ac:dyDescent="0.3">
      <c r="C81" s="18"/>
    </row>
    <row r="82" spans="3:3" ht="15.75" customHeight="1" x14ac:dyDescent="0.3">
      <c r="C82" s="18"/>
    </row>
    <row r="83" spans="3:3" ht="15.75" customHeight="1" x14ac:dyDescent="0.3">
      <c r="C83" s="18"/>
    </row>
    <row r="84" spans="3:3" ht="15.75" customHeight="1" x14ac:dyDescent="0.3">
      <c r="C84" s="18"/>
    </row>
    <row r="85" spans="3:3" ht="15.75" customHeight="1" x14ac:dyDescent="0.3">
      <c r="C85" s="18"/>
    </row>
    <row r="86" spans="3:3" ht="15.75" customHeight="1" x14ac:dyDescent="0.3">
      <c r="C86" s="18"/>
    </row>
    <row r="87" spans="3:3" ht="15.75" customHeight="1" x14ac:dyDescent="0.3">
      <c r="C87" s="18"/>
    </row>
    <row r="88" spans="3:3" ht="15.75" customHeight="1" x14ac:dyDescent="0.3">
      <c r="C88" s="18"/>
    </row>
    <row r="89" spans="3:3" ht="15.75" customHeight="1" x14ac:dyDescent="0.3">
      <c r="C89" s="18"/>
    </row>
    <row r="90" spans="3:3" ht="15.75" customHeight="1" x14ac:dyDescent="0.3">
      <c r="C90" s="18"/>
    </row>
    <row r="91" spans="3:3" ht="15.75" customHeight="1" x14ac:dyDescent="0.3">
      <c r="C91" s="18"/>
    </row>
    <row r="92" spans="3:3" ht="15.75" customHeight="1" x14ac:dyDescent="0.3">
      <c r="C92" s="18"/>
    </row>
    <row r="93" spans="3:3" ht="15.75" customHeight="1" x14ac:dyDescent="0.3">
      <c r="C93" s="18"/>
    </row>
    <row r="94" spans="3:3" ht="15.75" customHeight="1" x14ac:dyDescent="0.3">
      <c r="C94" s="18"/>
    </row>
    <row r="95" spans="3:3" ht="15.75" customHeight="1" x14ac:dyDescent="0.3">
      <c r="C95" s="18"/>
    </row>
    <row r="96" spans="3:3" ht="15.75" customHeight="1" x14ac:dyDescent="0.3">
      <c r="C96" s="18"/>
    </row>
    <row r="97" spans="3:3" ht="15.75" customHeight="1" x14ac:dyDescent="0.3">
      <c r="C97" s="18"/>
    </row>
    <row r="98" spans="3:3" ht="15.75" customHeight="1" x14ac:dyDescent="0.3">
      <c r="C98" s="18"/>
    </row>
    <row r="99" spans="3:3" ht="15.75" customHeight="1" x14ac:dyDescent="0.3">
      <c r="C99" s="18"/>
    </row>
    <row r="100" spans="3:3" ht="15.75" customHeight="1" x14ac:dyDescent="0.3">
      <c r="C100" s="18"/>
    </row>
    <row r="101" spans="3:3" ht="15.75" customHeight="1" x14ac:dyDescent="0.3">
      <c r="C101" s="18"/>
    </row>
    <row r="102" spans="3:3" ht="15.75" customHeight="1" x14ac:dyDescent="0.3">
      <c r="C102" s="18"/>
    </row>
    <row r="103" spans="3:3" ht="15.75" customHeight="1" x14ac:dyDescent="0.3">
      <c r="C103" s="18"/>
    </row>
    <row r="104" spans="3:3" ht="15.75" customHeight="1" x14ac:dyDescent="0.3">
      <c r="C104" s="18"/>
    </row>
    <row r="105" spans="3:3" ht="15.75" customHeight="1" x14ac:dyDescent="0.3">
      <c r="C105" s="18"/>
    </row>
    <row r="106" spans="3:3" ht="15.75" customHeight="1" x14ac:dyDescent="0.3">
      <c r="C106" s="18"/>
    </row>
    <row r="107" spans="3:3" ht="15.75" customHeight="1" x14ac:dyDescent="0.3">
      <c r="C107" s="18"/>
    </row>
    <row r="108" spans="3:3" ht="15.75" customHeight="1" x14ac:dyDescent="0.3">
      <c r="C108" s="18"/>
    </row>
    <row r="109" spans="3:3" ht="15.75" customHeight="1" x14ac:dyDescent="0.3">
      <c r="C109" s="18"/>
    </row>
    <row r="110" spans="3:3" ht="15.75" customHeight="1" x14ac:dyDescent="0.3">
      <c r="C110" s="18"/>
    </row>
    <row r="111" spans="3:3" ht="15.75" customHeight="1" x14ac:dyDescent="0.3">
      <c r="C111" s="18"/>
    </row>
    <row r="112" spans="3:3" ht="15.75" customHeight="1" x14ac:dyDescent="0.3">
      <c r="C112" s="18"/>
    </row>
    <row r="113" spans="3:3" ht="15.75" customHeight="1" x14ac:dyDescent="0.3">
      <c r="C113" s="18"/>
    </row>
    <row r="114" spans="3:3" ht="15.75" customHeight="1" x14ac:dyDescent="0.3">
      <c r="C114" s="18"/>
    </row>
    <row r="115" spans="3:3" ht="15.75" customHeight="1" x14ac:dyDescent="0.3">
      <c r="C115" s="18"/>
    </row>
    <row r="116" spans="3:3" ht="15.75" customHeight="1" x14ac:dyDescent="0.3">
      <c r="C116" s="18"/>
    </row>
    <row r="117" spans="3:3" ht="15.75" customHeight="1" x14ac:dyDescent="0.3">
      <c r="C117" s="18"/>
    </row>
    <row r="118" spans="3:3" ht="15.75" customHeight="1" x14ac:dyDescent="0.3">
      <c r="C118" s="18"/>
    </row>
    <row r="119" spans="3:3" ht="15.75" customHeight="1" x14ac:dyDescent="0.3">
      <c r="C119" s="18"/>
    </row>
    <row r="120" spans="3:3" ht="15.75" customHeight="1" x14ac:dyDescent="0.3">
      <c r="C120" s="18"/>
    </row>
    <row r="121" spans="3:3" ht="15.75" customHeight="1" x14ac:dyDescent="0.3">
      <c r="C121" s="18"/>
    </row>
    <row r="122" spans="3:3" ht="15.75" customHeight="1" x14ac:dyDescent="0.3">
      <c r="C122" s="18"/>
    </row>
    <row r="123" spans="3:3" ht="15.75" customHeight="1" x14ac:dyDescent="0.3">
      <c r="C123" s="18"/>
    </row>
    <row r="124" spans="3:3" ht="15.75" customHeight="1" x14ac:dyDescent="0.3">
      <c r="C124" s="18"/>
    </row>
    <row r="125" spans="3:3" ht="15.75" customHeight="1" x14ac:dyDescent="0.3">
      <c r="C125" s="18"/>
    </row>
    <row r="126" spans="3:3" ht="15.75" customHeight="1" x14ac:dyDescent="0.3">
      <c r="C126" s="18"/>
    </row>
    <row r="127" spans="3:3" ht="15.75" customHeight="1" x14ac:dyDescent="0.3">
      <c r="C127" s="18"/>
    </row>
    <row r="128" spans="3:3" ht="15.75" customHeight="1" x14ac:dyDescent="0.3">
      <c r="C128" s="18"/>
    </row>
    <row r="129" spans="3:3" ht="15.75" customHeight="1" x14ac:dyDescent="0.3">
      <c r="C129" s="18"/>
    </row>
    <row r="130" spans="3:3" ht="15.75" customHeight="1" x14ac:dyDescent="0.3">
      <c r="C130" s="18"/>
    </row>
    <row r="131" spans="3:3" ht="15.75" customHeight="1" x14ac:dyDescent="0.3">
      <c r="C131" s="18"/>
    </row>
    <row r="132" spans="3:3" ht="15.75" customHeight="1" x14ac:dyDescent="0.3">
      <c r="C132" s="18"/>
    </row>
    <row r="133" spans="3:3" ht="15.75" customHeight="1" x14ac:dyDescent="0.3">
      <c r="C133" s="18"/>
    </row>
    <row r="134" spans="3:3" ht="15.75" customHeight="1" x14ac:dyDescent="0.3">
      <c r="C134" s="18"/>
    </row>
    <row r="135" spans="3:3" ht="15.75" customHeight="1" x14ac:dyDescent="0.3">
      <c r="C135" s="18"/>
    </row>
    <row r="136" spans="3:3" ht="15.75" customHeight="1" x14ac:dyDescent="0.3">
      <c r="C136" s="18"/>
    </row>
    <row r="137" spans="3:3" ht="15.75" customHeight="1" x14ac:dyDescent="0.3">
      <c r="C137" s="18"/>
    </row>
    <row r="138" spans="3:3" ht="15.75" customHeight="1" x14ac:dyDescent="0.3">
      <c r="C138" s="18"/>
    </row>
    <row r="139" spans="3:3" ht="15.75" customHeight="1" x14ac:dyDescent="0.3">
      <c r="C139" s="18"/>
    </row>
    <row r="140" spans="3:3" ht="15.75" customHeight="1" x14ac:dyDescent="0.3">
      <c r="C140" s="18"/>
    </row>
    <row r="141" spans="3:3" ht="15.75" customHeight="1" x14ac:dyDescent="0.3">
      <c r="C141" s="18"/>
    </row>
    <row r="142" spans="3:3" ht="15.75" customHeight="1" x14ac:dyDescent="0.3">
      <c r="C142" s="18"/>
    </row>
    <row r="143" spans="3:3" ht="15.75" customHeight="1" x14ac:dyDescent="0.3">
      <c r="C143" s="18"/>
    </row>
    <row r="144" spans="3:3" ht="15.75" customHeight="1" x14ac:dyDescent="0.3">
      <c r="C144" s="18"/>
    </row>
    <row r="145" spans="3:3" ht="15.75" customHeight="1" x14ac:dyDescent="0.3">
      <c r="C145" s="18"/>
    </row>
    <row r="146" spans="3:3" ht="15.75" customHeight="1" x14ac:dyDescent="0.3">
      <c r="C146" s="18"/>
    </row>
    <row r="147" spans="3:3" ht="15.75" customHeight="1" x14ac:dyDescent="0.3">
      <c r="C147" s="18"/>
    </row>
    <row r="148" spans="3:3" ht="15.75" customHeight="1" x14ac:dyDescent="0.3">
      <c r="C148" s="18"/>
    </row>
    <row r="149" spans="3:3" ht="15.75" customHeight="1" x14ac:dyDescent="0.3">
      <c r="C149" s="18"/>
    </row>
    <row r="150" spans="3:3" ht="15.75" customHeight="1" x14ac:dyDescent="0.3">
      <c r="C150" s="18"/>
    </row>
    <row r="151" spans="3:3" ht="15.75" customHeight="1" x14ac:dyDescent="0.3">
      <c r="C151" s="18"/>
    </row>
    <row r="152" spans="3:3" ht="15.75" customHeight="1" x14ac:dyDescent="0.3">
      <c r="C152" s="18"/>
    </row>
    <row r="153" spans="3:3" ht="15.75" customHeight="1" x14ac:dyDescent="0.3">
      <c r="C153" s="18"/>
    </row>
    <row r="154" spans="3:3" ht="15.75" customHeight="1" x14ac:dyDescent="0.3">
      <c r="C154" s="18"/>
    </row>
    <row r="155" spans="3:3" ht="15.75" customHeight="1" x14ac:dyDescent="0.3">
      <c r="C155" s="18"/>
    </row>
    <row r="156" spans="3:3" ht="15.75" customHeight="1" x14ac:dyDescent="0.3">
      <c r="C156" s="18"/>
    </row>
    <row r="157" spans="3:3" ht="15.75" customHeight="1" x14ac:dyDescent="0.3">
      <c r="C157" s="18"/>
    </row>
    <row r="158" spans="3:3" ht="15.75" customHeight="1" x14ac:dyDescent="0.3">
      <c r="C158" s="18"/>
    </row>
    <row r="159" spans="3:3" ht="15.75" customHeight="1" x14ac:dyDescent="0.3">
      <c r="C159" s="18"/>
    </row>
    <row r="160" spans="3:3" ht="15.75" customHeight="1" x14ac:dyDescent="0.3">
      <c r="C160" s="18"/>
    </row>
    <row r="161" spans="3:3" ht="15.75" customHeight="1" x14ac:dyDescent="0.3">
      <c r="C161" s="18"/>
    </row>
    <row r="162" spans="3:3" ht="15.75" customHeight="1" x14ac:dyDescent="0.3">
      <c r="C162" s="18"/>
    </row>
    <row r="163" spans="3:3" ht="15.75" customHeight="1" x14ac:dyDescent="0.3">
      <c r="C163" s="18"/>
    </row>
    <row r="164" spans="3:3" ht="15.75" customHeight="1" x14ac:dyDescent="0.3">
      <c r="C164" s="18"/>
    </row>
    <row r="165" spans="3:3" ht="15.75" customHeight="1" x14ac:dyDescent="0.3">
      <c r="C165" s="18"/>
    </row>
    <row r="166" spans="3:3" ht="15.75" customHeight="1" x14ac:dyDescent="0.3">
      <c r="C166" s="18"/>
    </row>
    <row r="167" spans="3:3" ht="15.75" customHeight="1" x14ac:dyDescent="0.3">
      <c r="C167" s="18"/>
    </row>
    <row r="168" spans="3:3" ht="15.75" customHeight="1" x14ac:dyDescent="0.3">
      <c r="C168" s="18"/>
    </row>
    <row r="169" spans="3:3" ht="15.75" customHeight="1" x14ac:dyDescent="0.3">
      <c r="C169" s="18"/>
    </row>
    <row r="170" spans="3:3" ht="15.75" customHeight="1" x14ac:dyDescent="0.3">
      <c r="C170" s="18"/>
    </row>
    <row r="171" spans="3:3" ht="15.75" customHeight="1" x14ac:dyDescent="0.3">
      <c r="C171" s="18"/>
    </row>
    <row r="172" spans="3:3" ht="15.75" customHeight="1" x14ac:dyDescent="0.3">
      <c r="C172" s="18"/>
    </row>
    <row r="173" spans="3:3" ht="15.75" customHeight="1" x14ac:dyDescent="0.3">
      <c r="C173" s="18"/>
    </row>
    <row r="174" spans="3:3" ht="15.75" customHeight="1" x14ac:dyDescent="0.3">
      <c r="C174" s="18"/>
    </row>
    <row r="175" spans="3:3" ht="15.75" customHeight="1" x14ac:dyDescent="0.3">
      <c r="C175" s="18"/>
    </row>
    <row r="176" spans="3:3" ht="15.75" customHeight="1" x14ac:dyDescent="0.3">
      <c r="C176" s="18"/>
    </row>
    <row r="177" spans="3:3" ht="15.75" customHeight="1" x14ac:dyDescent="0.3">
      <c r="C177" s="18"/>
    </row>
    <row r="178" spans="3:3" ht="15.75" customHeight="1" x14ac:dyDescent="0.3">
      <c r="C178" s="18"/>
    </row>
    <row r="179" spans="3:3" ht="15.75" customHeight="1" x14ac:dyDescent="0.3">
      <c r="C179" s="18"/>
    </row>
    <row r="180" spans="3:3" ht="15.75" customHeight="1" x14ac:dyDescent="0.3">
      <c r="C180" s="18"/>
    </row>
    <row r="181" spans="3:3" ht="15.75" customHeight="1" x14ac:dyDescent="0.3">
      <c r="C181" s="18"/>
    </row>
    <row r="182" spans="3:3" ht="15.75" customHeight="1" x14ac:dyDescent="0.3">
      <c r="C182" s="18"/>
    </row>
    <row r="183" spans="3:3" ht="15.75" customHeight="1" x14ac:dyDescent="0.3">
      <c r="C183" s="18"/>
    </row>
    <row r="184" spans="3:3" ht="15.75" customHeight="1" x14ac:dyDescent="0.3">
      <c r="C184" s="18"/>
    </row>
    <row r="185" spans="3:3" ht="15.75" customHeight="1" x14ac:dyDescent="0.3">
      <c r="C185" s="18"/>
    </row>
    <row r="186" spans="3:3" ht="15.75" customHeight="1" x14ac:dyDescent="0.3">
      <c r="C186" s="18"/>
    </row>
    <row r="187" spans="3:3" ht="15.75" customHeight="1" x14ac:dyDescent="0.3">
      <c r="C187" s="18"/>
    </row>
    <row r="188" spans="3:3" ht="15.75" customHeight="1" x14ac:dyDescent="0.3">
      <c r="C188" s="18"/>
    </row>
    <row r="189" spans="3:3" ht="15.75" customHeight="1" x14ac:dyDescent="0.3">
      <c r="C189" s="18"/>
    </row>
    <row r="190" spans="3:3" ht="15.75" customHeight="1" x14ac:dyDescent="0.3">
      <c r="C190" s="18"/>
    </row>
    <row r="191" spans="3:3" ht="15.75" customHeight="1" x14ac:dyDescent="0.3">
      <c r="C191" s="18"/>
    </row>
    <row r="192" spans="3:3" ht="15.75" customHeight="1" x14ac:dyDescent="0.3">
      <c r="C192" s="18"/>
    </row>
    <row r="193" spans="3:3" ht="15.75" customHeight="1" x14ac:dyDescent="0.3">
      <c r="C193" s="18"/>
    </row>
    <row r="194" spans="3:3" ht="15.75" customHeight="1" x14ac:dyDescent="0.3">
      <c r="C194" s="18"/>
    </row>
    <row r="195" spans="3:3" ht="15.75" customHeight="1" x14ac:dyDescent="0.3">
      <c r="C195" s="18"/>
    </row>
    <row r="196" spans="3:3" ht="15.75" customHeight="1" x14ac:dyDescent="0.3">
      <c r="C196" s="18"/>
    </row>
    <row r="197" spans="3:3" ht="15.75" customHeight="1" x14ac:dyDescent="0.3">
      <c r="C197" s="18"/>
    </row>
    <row r="198" spans="3:3" ht="15.75" customHeight="1" x14ac:dyDescent="0.3">
      <c r="C198" s="18"/>
    </row>
    <row r="199" spans="3:3" ht="15.75" customHeight="1" x14ac:dyDescent="0.3">
      <c r="C199" s="18"/>
    </row>
    <row r="200" spans="3:3" ht="15.75" customHeight="1" x14ac:dyDescent="0.3">
      <c r="C200" s="18"/>
    </row>
    <row r="201" spans="3:3" ht="15.75" customHeight="1" x14ac:dyDescent="0.3">
      <c r="C201" s="18"/>
    </row>
    <row r="202" spans="3:3" ht="15.75" customHeight="1" x14ac:dyDescent="0.3">
      <c r="C202" s="18"/>
    </row>
    <row r="203" spans="3:3" ht="15.75" customHeight="1" x14ac:dyDescent="0.3">
      <c r="C203" s="18"/>
    </row>
    <row r="204" spans="3:3" ht="15.75" customHeight="1" x14ac:dyDescent="0.3">
      <c r="C204" s="18"/>
    </row>
    <row r="205" spans="3:3" ht="15.75" customHeight="1" x14ac:dyDescent="0.3">
      <c r="C205" s="18"/>
    </row>
    <row r="206" spans="3:3" ht="15.75" customHeight="1" x14ac:dyDescent="0.3">
      <c r="C206" s="18"/>
    </row>
    <row r="207" spans="3:3" ht="15.75" customHeight="1" x14ac:dyDescent="0.3">
      <c r="C207" s="18"/>
    </row>
    <row r="208" spans="3:3" ht="15.75" customHeight="1" x14ac:dyDescent="0.3">
      <c r="C208" s="18"/>
    </row>
    <row r="209" spans="3:3" ht="15.75" customHeight="1" x14ac:dyDescent="0.3">
      <c r="C209" s="18"/>
    </row>
    <row r="210" spans="3:3" ht="15.75" customHeight="1" x14ac:dyDescent="0.3">
      <c r="C210" s="18"/>
    </row>
    <row r="211" spans="3:3" ht="15.75" customHeight="1" x14ac:dyDescent="0.3">
      <c r="C211" s="18"/>
    </row>
    <row r="212" spans="3:3" ht="15.75" customHeight="1" x14ac:dyDescent="0.3">
      <c r="C212" s="18"/>
    </row>
    <row r="213" spans="3:3" ht="15.75" customHeight="1" x14ac:dyDescent="0.3">
      <c r="C213" s="18"/>
    </row>
    <row r="214" spans="3:3" ht="15.75" customHeight="1" x14ac:dyDescent="0.3">
      <c r="C214" s="18"/>
    </row>
    <row r="215" spans="3:3" ht="15.75" customHeight="1" x14ac:dyDescent="0.3">
      <c r="C215" s="18"/>
    </row>
    <row r="216" spans="3:3" ht="15.75" customHeight="1" x14ac:dyDescent="0.3">
      <c r="C216" s="18"/>
    </row>
    <row r="217" spans="3:3" ht="15.75" customHeight="1" x14ac:dyDescent="0.3">
      <c r="C217" s="18"/>
    </row>
    <row r="218" spans="3:3" ht="15.75" customHeight="1" x14ac:dyDescent="0.3">
      <c r="C218" s="18"/>
    </row>
    <row r="219" spans="3:3" ht="15.75" customHeight="1" x14ac:dyDescent="0.3">
      <c r="C219" s="18"/>
    </row>
    <row r="220" spans="3:3" ht="15.75" customHeight="1" x14ac:dyDescent="0.3">
      <c r="C220" s="18"/>
    </row>
    <row r="221" spans="3:3" ht="15.75" customHeight="1" x14ac:dyDescent="0.3">
      <c r="C221" s="18"/>
    </row>
    <row r="222" spans="3:3" ht="15.75" customHeight="1" x14ac:dyDescent="0.3">
      <c r="C222" s="18"/>
    </row>
    <row r="223" spans="3:3" ht="15.75" customHeight="1" x14ac:dyDescent="0.3">
      <c r="C223" s="18"/>
    </row>
    <row r="224" spans="3:3" ht="15.75" customHeight="1" x14ac:dyDescent="0.3">
      <c r="C224" s="18"/>
    </row>
    <row r="225" spans="3:3" ht="15.75" customHeight="1" x14ac:dyDescent="0.3">
      <c r="C225" s="18"/>
    </row>
    <row r="226" spans="3:3" ht="15.75" customHeight="1" x14ac:dyDescent="0.3">
      <c r="C226" s="18"/>
    </row>
    <row r="227" spans="3:3" ht="15.75" customHeight="1" x14ac:dyDescent="0.3">
      <c r="C227" s="18"/>
    </row>
    <row r="228" spans="3:3" ht="15.75" customHeight="1" x14ac:dyDescent="0.3">
      <c r="C228" s="18"/>
    </row>
    <row r="229" spans="3:3" ht="15.75" customHeight="1" x14ac:dyDescent="0.3">
      <c r="C229" s="18"/>
    </row>
    <row r="230" spans="3:3" ht="15.75" customHeight="1" x14ac:dyDescent="0.3">
      <c r="C230" s="18"/>
    </row>
    <row r="231" spans="3:3" ht="15.75" customHeight="1" x14ac:dyDescent="0.3">
      <c r="C231" s="18"/>
    </row>
    <row r="232" spans="3:3" ht="15.75" customHeight="1" x14ac:dyDescent="0.3">
      <c r="C232" s="18"/>
    </row>
    <row r="233" spans="3:3" ht="15.75" customHeight="1" x14ac:dyDescent="0.3">
      <c r="C233" s="18"/>
    </row>
    <row r="234" spans="3:3" ht="15.75" customHeight="1" x14ac:dyDescent="0.3">
      <c r="C234" s="18"/>
    </row>
    <row r="235" spans="3:3" ht="15.75" customHeight="1" x14ac:dyDescent="0.3">
      <c r="C235" s="18"/>
    </row>
    <row r="236" spans="3:3" ht="15.75" customHeight="1" x14ac:dyDescent="0.3">
      <c r="C236" s="18"/>
    </row>
    <row r="237" spans="3:3" ht="15.75" customHeight="1" x14ac:dyDescent="0.3">
      <c r="C237" s="18"/>
    </row>
    <row r="238" spans="3:3" ht="15.75" customHeight="1" x14ac:dyDescent="0.3">
      <c r="C238" s="18"/>
    </row>
    <row r="239" spans="3:3" ht="15.75" customHeight="1" x14ac:dyDescent="0.3">
      <c r="C239" s="18"/>
    </row>
    <row r="240" spans="3:3" ht="15.75" customHeight="1" x14ac:dyDescent="0.3">
      <c r="C240" s="18"/>
    </row>
    <row r="241" spans="3:3" ht="15.75" customHeight="1" x14ac:dyDescent="0.3">
      <c r="C241" s="18"/>
    </row>
    <row r="242" spans="3:3" ht="15.75" customHeight="1" x14ac:dyDescent="0.3">
      <c r="C242" s="18"/>
    </row>
    <row r="243" spans="3:3" ht="15.75" customHeight="1" x14ac:dyDescent="0.3">
      <c r="C243" s="18"/>
    </row>
    <row r="244" spans="3:3" ht="15.75" customHeight="1" x14ac:dyDescent="0.3">
      <c r="C244" s="18"/>
    </row>
    <row r="245" spans="3:3" ht="15.75" customHeight="1" x14ac:dyDescent="0.3">
      <c r="C245" s="18"/>
    </row>
    <row r="246" spans="3:3" ht="15.75" customHeight="1" x14ac:dyDescent="0.3">
      <c r="C246" s="18"/>
    </row>
    <row r="247" spans="3:3" ht="15.75" customHeight="1" x14ac:dyDescent="0.3">
      <c r="C247" s="18"/>
    </row>
    <row r="248" spans="3:3" ht="15.75" customHeight="1" x14ac:dyDescent="0.3">
      <c r="C248" s="18"/>
    </row>
    <row r="249" spans="3:3" ht="15.75" customHeight="1" x14ac:dyDescent="0.3">
      <c r="C249" s="18"/>
    </row>
    <row r="250" spans="3:3" ht="15.75" customHeight="1" x14ac:dyDescent="0.3">
      <c r="C250" s="18"/>
    </row>
    <row r="251" spans="3:3" ht="15.75" customHeight="1" x14ac:dyDescent="0.3">
      <c r="C251" s="18"/>
    </row>
    <row r="252" spans="3:3" ht="15.75" customHeight="1" x14ac:dyDescent="0.3">
      <c r="C252" s="18"/>
    </row>
    <row r="253" spans="3:3" ht="15.75" customHeight="1" x14ac:dyDescent="0.3">
      <c r="C253" s="18"/>
    </row>
    <row r="254" spans="3:3" ht="15.75" customHeight="1" x14ac:dyDescent="0.3">
      <c r="C254" s="18"/>
    </row>
    <row r="255" spans="3:3" ht="15.75" customHeight="1" x14ac:dyDescent="0.3">
      <c r="C255" s="18"/>
    </row>
    <row r="256" spans="3:3" ht="15.75" customHeight="1" x14ac:dyDescent="0.3">
      <c r="C256" s="18"/>
    </row>
    <row r="257" spans="3:3" ht="15.75" customHeight="1" x14ac:dyDescent="0.3">
      <c r="C257" s="18"/>
    </row>
    <row r="258" spans="3:3" ht="15.75" customHeight="1" x14ac:dyDescent="0.3">
      <c r="C258" s="18"/>
    </row>
    <row r="259" spans="3:3" ht="15.75" customHeight="1" x14ac:dyDescent="0.3">
      <c r="C259" s="18"/>
    </row>
    <row r="260" spans="3:3" ht="15.75" customHeight="1" x14ac:dyDescent="0.3">
      <c r="C260" s="18"/>
    </row>
    <row r="261" spans="3:3" ht="15.75" customHeight="1" x14ac:dyDescent="0.3">
      <c r="C261" s="18"/>
    </row>
    <row r="262" spans="3:3" ht="15.75" customHeight="1" x14ac:dyDescent="0.3">
      <c r="C262" s="18"/>
    </row>
    <row r="263" spans="3:3" ht="15.75" customHeight="1" x14ac:dyDescent="0.3">
      <c r="C263" s="18"/>
    </row>
    <row r="264" spans="3:3" ht="15.75" customHeight="1" x14ac:dyDescent="0.3">
      <c r="C264" s="18"/>
    </row>
    <row r="265" spans="3:3" ht="15.75" customHeight="1" x14ac:dyDescent="0.3">
      <c r="C265" s="18"/>
    </row>
    <row r="266" spans="3:3" ht="15.75" customHeight="1" x14ac:dyDescent="0.3">
      <c r="C266" s="18"/>
    </row>
    <row r="267" spans="3:3" ht="15.75" customHeight="1" x14ac:dyDescent="0.3">
      <c r="C267" s="18"/>
    </row>
    <row r="268" spans="3:3" ht="15.75" customHeight="1" x14ac:dyDescent="0.3">
      <c r="C268" s="18"/>
    </row>
    <row r="269" spans="3:3" ht="15.75" customHeight="1" x14ac:dyDescent="0.3">
      <c r="C269" s="18"/>
    </row>
    <row r="270" spans="3:3" ht="15.75" customHeight="1" x14ac:dyDescent="0.3">
      <c r="C270" s="18"/>
    </row>
    <row r="271" spans="3:3" ht="15.75" customHeight="1" x14ac:dyDescent="0.3">
      <c r="C271" s="18"/>
    </row>
    <row r="272" spans="3:3" ht="15.75" customHeight="1" x14ac:dyDescent="0.3">
      <c r="C272" s="18"/>
    </row>
    <row r="273" spans="3:3" ht="15.75" customHeight="1" x14ac:dyDescent="0.3">
      <c r="C273" s="18"/>
    </row>
    <row r="274" spans="3:3" ht="15.75" customHeight="1" x14ac:dyDescent="0.3">
      <c r="C274" s="18"/>
    </row>
    <row r="275" spans="3:3" ht="15.75" customHeight="1" x14ac:dyDescent="0.3">
      <c r="C275" s="18"/>
    </row>
    <row r="276" spans="3:3" ht="15.75" customHeight="1" x14ac:dyDescent="0.3">
      <c r="C276" s="18"/>
    </row>
    <row r="277" spans="3:3" ht="15.75" customHeight="1" x14ac:dyDescent="0.3">
      <c r="C277" s="18"/>
    </row>
    <row r="278" spans="3:3" ht="15.75" customHeight="1" x14ac:dyDescent="0.3">
      <c r="C278" s="18"/>
    </row>
    <row r="279" spans="3:3" ht="15.75" customHeight="1" x14ac:dyDescent="0.3">
      <c r="C279" s="18"/>
    </row>
    <row r="280" spans="3:3" ht="15.75" customHeight="1" x14ac:dyDescent="0.3">
      <c r="C280" s="18"/>
    </row>
    <row r="281" spans="3:3" ht="15.75" customHeight="1" x14ac:dyDescent="0.3">
      <c r="C281" s="18"/>
    </row>
    <row r="282" spans="3:3" ht="15.75" customHeight="1" x14ac:dyDescent="0.3">
      <c r="C282" s="18"/>
    </row>
    <row r="283" spans="3:3" ht="15.75" customHeight="1" x14ac:dyDescent="0.3">
      <c r="C283" s="18"/>
    </row>
    <row r="284" spans="3:3" ht="15.75" customHeight="1" x14ac:dyDescent="0.3">
      <c r="C284" s="18"/>
    </row>
    <row r="285" spans="3:3" ht="15.75" customHeight="1" x14ac:dyDescent="0.3">
      <c r="C285" s="18"/>
    </row>
    <row r="286" spans="3:3" ht="15.75" customHeight="1" x14ac:dyDescent="0.3">
      <c r="C286" s="18"/>
    </row>
    <row r="287" spans="3:3" ht="15.75" customHeight="1" x14ac:dyDescent="0.3">
      <c r="C287" s="18"/>
    </row>
    <row r="288" spans="3:3" ht="15.75" customHeight="1" x14ac:dyDescent="0.3">
      <c r="C288" s="18"/>
    </row>
    <row r="289" spans="3:3" ht="15.75" customHeight="1" x14ac:dyDescent="0.3">
      <c r="C289" s="18"/>
    </row>
    <row r="290" spans="3:3" ht="15.75" customHeight="1" x14ac:dyDescent="0.3">
      <c r="C290" s="18"/>
    </row>
    <row r="291" spans="3:3" ht="15.75" customHeight="1" x14ac:dyDescent="0.3">
      <c r="C291" s="18"/>
    </row>
    <row r="292" spans="3:3" ht="15.75" customHeight="1" x14ac:dyDescent="0.3">
      <c r="C292" s="18"/>
    </row>
    <row r="293" spans="3:3" ht="15.75" customHeight="1" x14ac:dyDescent="0.3">
      <c r="C293" s="18"/>
    </row>
    <row r="294" spans="3:3" ht="15.75" customHeight="1" x14ac:dyDescent="0.3">
      <c r="C294" s="18"/>
    </row>
    <row r="295" spans="3:3" ht="15.75" customHeight="1" x14ac:dyDescent="0.3">
      <c r="C295" s="18"/>
    </row>
    <row r="296" spans="3:3" ht="15.75" customHeight="1" x14ac:dyDescent="0.3">
      <c r="C296" s="18"/>
    </row>
    <row r="297" spans="3:3" ht="15.75" customHeight="1" x14ac:dyDescent="0.3">
      <c r="C297" s="18"/>
    </row>
    <row r="298" spans="3:3" ht="15.75" customHeight="1" x14ac:dyDescent="0.3">
      <c r="C298" s="18"/>
    </row>
    <row r="299" spans="3:3" ht="15.75" customHeight="1" x14ac:dyDescent="0.3">
      <c r="C299" s="18"/>
    </row>
    <row r="300" spans="3:3" ht="15.75" customHeight="1" x14ac:dyDescent="0.3">
      <c r="C300" s="18"/>
    </row>
    <row r="301" spans="3:3" ht="15.75" customHeight="1" x14ac:dyDescent="0.3">
      <c r="C301" s="18"/>
    </row>
    <row r="302" spans="3:3" ht="15.75" customHeight="1" x14ac:dyDescent="0.3">
      <c r="C302" s="18"/>
    </row>
    <row r="303" spans="3:3" ht="15.75" customHeight="1" x14ac:dyDescent="0.3">
      <c r="C303" s="18"/>
    </row>
    <row r="304" spans="3:3" ht="15.75" customHeight="1" x14ac:dyDescent="0.3">
      <c r="C304" s="18"/>
    </row>
    <row r="305" spans="3:3" ht="15.75" customHeight="1" x14ac:dyDescent="0.3">
      <c r="C305" s="18"/>
    </row>
    <row r="306" spans="3:3" ht="15.75" customHeight="1" x14ac:dyDescent="0.3">
      <c r="C306" s="18"/>
    </row>
    <row r="307" spans="3:3" ht="15.75" customHeight="1" x14ac:dyDescent="0.3">
      <c r="C307" s="18"/>
    </row>
    <row r="308" spans="3:3" ht="15.75" customHeight="1" x14ac:dyDescent="0.3">
      <c r="C308" s="18"/>
    </row>
    <row r="309" spans="3:3" ht="15.75" customHeight="1" x14ac:dyDescent="0.3">
      <c r="C309" s="18"/>
    </row>
    <row r="310" spans="3:3" ht="15.75" customHeight="1" x14ac:dyDescent="0.3">
      <c r="C310" s="18"/>
    </row>
    <row r="311" spans="3:3" ht="15.75" customHeight="1" x14ac:dyDescent="0.3">
      <c r="C311" s="18"/>
    </row>
    <row r="312" spans="3:3" ht="15.75" customHeight="1" x14ac:dyDescent="0.3">
      <c r="C312" s="18"/>
    </row>
    <row r="313" spans="3:3" ht="15.75" customHeight="1" x14ac:dyDescent="0.3">
      <c r="C313" s="18"/>
    </row>
    <row r="314" spans="3:3" ht="15.75" customHeight="1" x14ac:dyDescent="0.3">
      <c r="C314" s="18"/>
    </row>
    <row r="315" spans="3:3" ht="15.75" customHeight="1" x14ac:dyDescent="0.3">
      <c r="C315" s="18"/>
    </row>
    <row r="316" spans="3:3" ht="15.75" customHeight="1" x14ac:dyDescent="0.3">
      <c r="C316" s="18"/>
    </row>
    <row r="317" spans="3:3" ht="15.75" customHeight="1" x14ac:dyDescent="0.3">
      <c r="C317" s="18"/>
    </row>
    <row r="318" spans="3:3" ht="15.75" customHeight="1" x14ac:dyDescent="0.3">
      <c r="C318" s="18"/>
    </row>
    <row r="319" spans="3:3" ht="15.75" customHeight="1" x14ac:dyDescent="0.3">
      <c r="C319" s="18"/>
    </row>
    <row r="320" spans="3:3" ht="15.75" customHeight="1" x14ac:dyDescent="0.3">
      <c r="C320" s="18"/>
    </row>
    <row r="321" spans="3:3" ht="15.75" customHeight="1" x14ac:dyDescent="0.3">
      <c r="C321" s="18"/>
    </row>
    <row r="322" spans="3:3" ht="15.75" customHeight="1" x14ac:dyDescent="0.3">
      <c r="C322" s="18"/>
    </row>
    <row r="323" spans="3:3" ht="15.75" customHeight="1" x14ac:dyDescent="0.3">
      <c r="C323" s="18"/>
    </row>
    <row r="324" spans="3:3" ht="15.75" customHeight="1" x14ac:dyDescent="0.3">
      <c r="C324" s="18"/>
    </row>
    <row r="325" spans="3:3" ht="15.75" customHeight="1" x14ac:dyDescent="0.3">
      <c r="C325" s="18"/>
    </row>
    <row r="326" spans="3:3" ht="15.75" customHeight="1" x14ac:dyDescent="0.3">
      <c r="C326" s="18"/>
    </row>
    <row r="327" spans="3:3" ht="15.75" customHeight="1" x14ac:dyDescent="0.3">
      <c r="C327" s="18"/>
    </row>
    <row r="328" spans="3:3" ht="15.75" customHeight="1" x14ac:dyDescent="0.3">
      <c r="C328" s="18"/>
    </row>
    <row r="329" spans="3:3" ht="15.75" customHeight="1" x14ac:dyDescent="0.3">
      <c r="C329" s="18"/>
    </row>
    <row r="330" spans="3:3" ht="15.75" customHeight="1" x14ac:dyDescent="0.3">
      <c r="C330" s="18"/>
    </row>
    <row r="331" spans="3:3" ht="15.75" customHeight="1" x14ac:dyDescent="0.3">
      <c r="C331" s="18"/>
    </row>
    <row r="332" spans="3:3" ht="15.75" customHeight="1" x14ac:dyDescent="0.3">
      <c r="C332" s="18"/>
    </row>
    <row r="333" spans="3:3" ht="15.75" customHeight="1" x14ac:dyDescent="0.3">
      <c r="C333" s="18"/>
    </row>
    <row r="334" spans="3:3" ht="15.75" customHeight="1" x14ac:dyDescent="0.3">
      <c r="C334" s="18"/>
    </row>
    <row r="335" spans="3:3" ht="15.75" customHeight="1" x14ac:dyDescent="0.3">
      <c r="C335" s="18"/>
    </row>
    <row r="336" spans="3:3" ht="15.75" customHeight="1" x14ac:dyDescent="0.3">
      <c r="C336" s="18"/>
    </row>
    <row r="337" spans="3:3" ht="15.75" customHeight="1" x14ac:dyDescent="0.3">
      <c r="C337" s="18"/>
    </row>
    <row r="338" spans="3:3" ht="15.75" customHeight="1" x14ac:dyDescent="0.3">
      <c r="C338" s="18"/>
    </row>
    <row r="339" spans="3:3" ht="15.75" customHeight="1" x14ac:dyDescent="0.3">
      <c r="C339" s="18"/>
    </row>
    <row r="340" spans="3:3" ht="15.75" customHeight="1" x14ac:dyDescent="0.3">
      <c r="C340" s="18"/>
    </row>
    <row r="341" spans="3:3" ht="15.75" customHeight="1" x14ac:dyDescent="0.3">
      <c r="C341" s="18"/>
    </row>
    <row r="342" spans="3:3" ht="15.75" customHeight="1" x14ac:dyDescent="0.3">
      <c r="C342" s="18"/>
    </row>
    <row r="343" spans="3:3" ht="15.75" customHeight="1" x14ac:dyDescent="0.3">
      <c r="C343" s="18"/>
    </row>
    <row r="344" spans="3:3" ht="15.75" customHeight="1" x14ac:dyDescent="0.3">
      <c r="C344" s="18"/>
    </row>
    <row r="345" spans="3:3" ht="15.75" customHeight="1" x14ac:dyDescent="0.3">
      <c r="C345" s="18"/>
    </row>
    <row r="346" spans="3:3" ht="15.75" customHeight="1" x14ac:dyDescent="0.3">
      <c r="C346" s="18"/>
    </row>
    <row r="347" spans="3:3" ht="15.75" customHeight="1" x14ac:dyDescent="0.3">
      <c r="C347" s="18"/>
    </row>
    <row r="348" spans="3:3" ht="15.75" customHeight="1" x14ac:dyDescent="0.3">
      <c r="C348" s="18"/>
    </row>
    <row r="349" spans="3:3" ht="15.75" customHeight="1" x14ac:dyDescent="0.3">
      <c r="C349" s="18"/>
    </row>
    <row r="350" spans="3:3" ht="15.75" customHeight="1" x14ac:dyDescent="0.3">
      <c r="C350" s="18"/>
    </row>
    <row r="351" spans="3:3" ht="15.75" customHeight="1" x14ac:dyDescent="0.3">
      <c r="C351" s="18"/>
    </row>
    <row r="352" spans="3:3" ht="15.75" customHeight="1" x14ac:dyDescent="0.3">
      <c r="C352" s="18"/>
    </row>
    <row r="353" spans="3:3" ht="15.75" customHeight="1" x14ac:dyDescent="0.3">
      <c r="C353" s="18"/>
    </row>
    <row r="354" spans="3:3" ht="15.75" customHeight="1" x14ac:dyDescent="0.3">
      <c r="C354" s="18"/>
    </row>
    <row r="355" spans="3:3" ht="15.75" customHeight="1" x14ac:dyDescent="0.3">
      <c r="C355" s="18"/>
    </row>
    <row r="356" spans="3:3" ht="15.75" customHeight="1" x14ac:dyDescent="0.3">
      <c r="C356" s="18"/>
    </row>
    <row r="357" spans="3:3" ht="15.75" customHeight="1" x14ac:dyDescent="0.3">
      <c r="C357" s="18"/>
    </row>
    <row r="358" spans="3:3" ht="15.75" customHeight="1" x14ac:dyDescent="0.3">
      <c r="C358" s="18"/>
    </row>
    <row r="359" spans="3:3" ht="15.75" customHeight="1" x14ac:dyDescent="0.3">
      <c r="C359" s="18"/>
    </row>
    <row r="360" spans="3:3" ht="15.75" customHeight="1" x14ac:dyDescent="0.3">
      <c r="C360" s="18"/>
    </row>
    <row r="361" spans="3:3" ht="15.75" customHeight="1" x14ac:dyDescent="0.3">
      <c r="C361" s="18"/>
    </row>
    <row r="362" spans="3:3" ht="15.75" customHeight="1" x14ac:dyDescent="0.3">
      <c r="C362" s="18"/>
    </row>
    <row r="363" spans="3:3" ht="15.75" customHeight="1" x14ac:dyDescent="0.3">
      <c r="C363" s="18"/>
    </row>
    <row r="364" spans="3:3" ht="15.75" customHeight="1" x14ac:dyDescent="0.3">
      <c r="C364" s="18"/>
    </row>
    <row r="365" spans="3:3" ht="15.75" customHeight="1" x14ac:dyDescent="0.3">
      <c r="C365" s="18"/>
    </row>
    <row r="366" spans="3:3" ht="15.75" customHeight="1" x14ac:dyDescent="0.3">
      <c r="C366" s="18"/>
    </row>
    <row r="367" spans="3:3" ht="15.75" customHeight="1" x14ac:dyDescent="0.3">
      <c r="C367" s="18"/>
    </row>
    <row r="368" spans="3:3" ht="15.75" customHeight="1" x14ac:dyDescent="0.3">
      <c r="C368" s="18"/>
    </row>
    <row r="369" spans="3:3" ht="15.75" customHeight="1" x14ac:dyDescent="0.3">
      <c r="C369" s="18"/>
    </row>
    <row r="370" spans="3:3" ht="15.75" customHeight="1" x14ac:dyDescent="0.3">
      <c r="C370" s="18"/>
    </row>
    <row r="371" spans="3:3" ht="15.75" customHeight="1" x14ac:dyDescent="0.3">
      <c r="C371" s="18"/>
    </row>
    <row r="372" spans="3:3" ht="15.75" customHeight="1" x14ac:dyDescent="0.3">
      <c r="C372" s="18"/>
    </row>
    <row r="373" spans="3:3" ht="15.75" customHeight="1" x14ac:dyDescent="0.3">
      <c r="C373" s="18"/>
    </row>
    <row r="374" spans="3:3" ht="15.75" customHeight="1" x14ac:dyDescent="0.3">
      <c r="C374" s="18"/>
    </row>
    <row r="375" spans="3:3" ht="15.75" customHeight="1" x14ac:dyDescent="0.3">
      <c r="C375" s="18"/>
    </row>
    <row r="376" spans="3:3" ht="15.75" customHeight="1" x14ac:dyDescent="0.3">
      <c r="C376" s="18"/>
    </row>
    <row r="377" spans="3:3" ht="15.75" customHeight="1" x14ac:dyDescent="0.3">
      <c r="C377" s="18"/>
    </row>
    <row r="378" spans="3:3" ht="15.75" customHeight="1" x14ac:dyDescent="0.3">
      <c r="C378" s="18"/>
    </row>
    <row r="379" spans="3:3" ht="15.75" customHeight="1" x14ac:dyDescent="0.3">
      <c r="C379" s="18"/>
    </row>
    <row r="380" spans="3:3" ht="15.75" customHeight="1" x14ac:dyDescent="0.3">
      <c r="C380" s="18"/>
    </row>
    <row r="381" spans="3:3" ht="15.75" customHeight="1" x14ac:dyDescent="0.3">
      <c r="C381" s="18"/>
    </row>
    <row r="382" spans="3:3" ht="15.75" customHeight="1" x14ac:dyDescent="0.3">
      <c r="C382" s="18"/>
    </row>
    <row r="383" spans="3:3" ht="15.75" customHeight="1" x14ac:dyDescent="0.3">
      <c r="C383" s="18"/>
    </row>
    <row r="384" spans="3:3" ht="15.75" customHeight="1" x14ac:dyDescent="0.3">
      <c r="C384" s="18"/>
    </row>
    <row r="385" spans="3:3" ht="15.75" customHeight="1" x14ac:dyDescent="0.3">
      <c r="C385" s="18"/>
    </row>
    <row r="386" spans="3:3" ht="15.75" customHeight="1" x14ac:dyDescent="0.3">
      <c r="C386" s="18"/>
    </row>
    <row r="387" spans="3:3" ht="15.75" customHeight="1" x14ac:dyDescent="0.3">
      <c r="C387" s="18"/>
    </row>
    <row r="388" spans="3:3" ht="15.75" customHeight="1" x14ac:dyDescent="0.3">
      <c r="C388" s="18"/>
    </row>
    <row r="389" spans="3:3" ht="15.75" customHeight="1" x14ac:dyDescent="0.3">
      <c r="C389" s="18"/>
    </row>
    <row r="390" spans="3:3" ht="15.75" customHeight="1" x14ac:dyDescent="0.3">
      <c r="C390" s="18"/>
    </row>
    <row r="391" spans="3:3" ht="15.75" customHeight="1" x14ac:dyDescent="0.3">
      <c r="C391" s="18"/>
    </row>
    <row r="392" spans="3:3" ht="15.75" customHeight="1" x14ac:dyDescent="0.3">
      <c r="C392" s="18"/>
    </row>
    <row r="393" spans="3:3" ht="15.75" customHeight="1" x14ac:dyDescent="0.3">
      <c r="C393" s="18"/>
    </row>
    <row r="394" spans="3:3" ht="15.75" customHeight="1" x14ac:dyDescent="0.3">
      <c r="C394" s="18"/>
    </row>
    <row r="395" spans="3:3" ht="15.75" customHeight="1" x14ac:dyDescent="0.3">
      <c r="C395" s="18"/>
    </row>
    <row r="396" spans="3:3" ht="15.75" customHeight="1" x14ac:dyDescent="0.3">
      <c r="C396" s="18"/>
    </row>
    <row r="397" spans="3:3" ht="15.75" customHeight="1" x14ac:dyDescent="0.3">
      <c r="C397" s="18"/>
    </row>
    <row r="398" spans="3:3" ht="15.75" customHeight="1" x14ac:dyDescent="0.3">
      <c r="C398" s="18"/>
    </row>
    <row r="399" spans="3:3" ht="15.75" customHeight="1" x14ac:dyDescent="0.3">
      <c r="C399" s="18"/>
    </row>
    <row r="400" spans="3:3" ht="15.75" customHeight="1" x14ac:dyDescent="0.3">
      <c r="C400" s="18"/>
    </row>
    <row r="401" spans="3:3" ht="15.75" customHeight="1" x14ac:dyDescent="0.3">
      <c r="C401" s="18"/>
    </row>
    <row r="402" spans="3:3" ht="15.75" customHeight="1" x14ac:dyDescent="0.3">
      <c r="C402" s="18"/>
    </row>
    <row r="403" spans="3:3" ht="15.75" customHeight="1" x14ac:dyDescent="0.3">
      <c r="C403" s="18"/>
    </row>
    <row r="404" spans="3:3" ht="15.75" customHeight="1" x14ac:dyDescent="0.3">
      <c r="C404" s="18"/>
    </row>
    <row r="405" spans="3:3" ht="15.75" customHeight="1" x14ac:dyDescent="0.3">
      <c r="C405" s="18"/>
    </row>
    <row r="406" spans="3:3" ht="15.75" customHeight="1" x14ac:dyDescent="0.3">
      <c r="C406" s="18"/>
    </row>
    <row r="407" spans="3:3" ht="15.75" customHeight="1" x14ac:dyDescent="0.3">
      <c r="C407" s="18"/>
    </row>
    <row r="408" spans="3:3" ht="15.75" customHeight="1" x14ac:dyDescent="0.3">
      <c r="C408" s="18"/>
    </row>
    <row r="409" spans="3:3" ht="15.75" customHeight="1" x14ac:dyDescent="0.3">
      <c r="C409" s="18"/>
    </row>
    <row r="410" spans="3:3" ht="15.75" customHeight="1" x14ac:dyDescent="0.3">
      <c r="C410" s="18"/>
    </row>
    <row r="411" spans="3:3" ht="15.75" customHeight="1" x14ac:dyDescent="0.3">
      <c r="C411" s="18"/>
    </row>
    <row r="412" spans="3:3" ht="15.75" customHeight="1" x14ac:dyDescent="0.3">
      <c r="C412" s="18"/>
    </row>
    <row r="413" spans="3:3" ht="15.75" customHeight="1" x14ac:dyDescent="0.3">
      <c r="C413" s="18"/>
    </row>
    <row r="414" spans="3:3" ht="15.75" customHeight="1" x14ac:dyDescent="0.3">
      <c r="C414" s="18"/>
    </row>
    <row r="415" spans="3:3" ht="15.75" customHeight="1" x14ac:dyDescent="0.3">
      <c r="C415" s="18"/>
    </row>
    <row r="416" spans="3:3" ht="15.75" customHeight="1" x14ac:dyDescent="0.3">
      <c r="C416" s="18"/>
    </row>
    <row r="417" spans="3:3" ht="15.75" customHeight="1" x14ac:dyDescent="0.3">
      <c r="C417" s="18"/>
    </row>
    <row r="418" spans="3:3" ht="15.75" customHeight="1" x14ac:dyDescent="0.3">
      <c r="C418" s="18"/>
    </row>
    <row r="419" spans="3:3" ht="15.75" customHeight="1" x14ac:dyDescent="0.3">
      <c r="C419" s="18"/>
    </row>
    <row r="420" spans="3:3" ht="15.75" customHeight="1" x14ac:dyDescent="0.3">
      <c r="C420" s="18"/>
    </row>
    <row r="421" spans="3:3" ht="15.75" customHeight="1" x14ac:dyDescent="0.3">
      <c r="C421" s="18"/>
    </row>
    <row r="422" spans="3:3" ht="15.75" customHeight="1" x14ac:dyDescent="0.3">
      <c r="C422" s="18"/>
    </row>
    <row r="423" spans="3:3" ht="15.75" customHeight="1" x14ac:dyDescent="0.3">
      <c r="C423" s="18"/>
    </row>
    <row r="424" spans="3:3" ht="15.75" customHeight="1" x14ac:dyDescent="0.3">
      <c r="C424" s="18"/>
    </row>
    <row r="425" spans="3:3" ht="15.75" customHeight="1" x14ac:dyDescent="0.3">
      <c r="C425" s="18"/>
    </row>
    <row r="426" spans="3:3" ht="15.75" customHeight="1" x14ac:dyDescent="0.3">
      <c r="C426" s="18"/>
    </row>
    <row r="427" spans="3:3" ht="15.75" customHeight="1" x14ac:dyDescent="0.3">
      <c r="C427" s="18"/>
    </row>
    <row r="428" spans="3:3" ht="15.75" customHeight="1" x14ac:dyDescent="0.3">
      <c r="C428" s="18"/>
    </row>
    <row r="429" spans="3:3" ht="15.75" customHeight="1" x14ac:dyDescent="0.3">
      <c r="C429" s="18"/>
    </row>
    <row r="430" spans="3:3" ht="15.75" customHeight="1" x14ac:dyDescent="0.3">
      <c r="C430" s="18"/>
    </row>
    <row r="431" spans="3:3" ht="15.75" customHeight="1" x14ac:dyDescent="0.3">
      <c r="C431" s="18"/>
    </row>
    <row r="432" spans="3:3" ht="15.75" customHeight="1" x14ac:dyDescent="0.3">
      <c r="C432" s="18"/>
    </row>
    <row r="433" spans="3:3" ht="15.75" customHeight="1" x14ac:dyDescent="0.3">
      <c r="C433" s="18"/>
    </row>
    <row r="434" spans="3:3" ht="15.75" customHeight="1" x14ac:dyDescent="0.3">
      <c r="C434" s="18"/>
    </row>
    <row r="435" spans="3:3" ht="15.75" customHeight="1" x14ac:dyDescent="0.3">
      <c r="C435" s="18"/>
    </row>
    <row r="436" spans="3:3" ht="15.75" customHeight="1" x14ac:dyDescent="0.3">
      <c r="C436" s="18"/>
    </row>
    <row r="437" spans="3:3" ht="15.75" customHeight="1" x14ac:dyDescent="0.3">
      <c r="C437" s="18"/>
    </row>
    <row r="438" spans="3:3" ht="15.75" customHeight="1" x14ac:dyDescent="0.3">
      <c r="C438" s="18"/>
    </row>
    <row r="439" spans="3:3" ht="15.75" customHeight="1" x14ac:dyDescent="0.3">
      <c r="C439" s="18"/>
    </row>
    <row r="440" spans="3:3" ht="15.75" customHeight="1" x14ac:dyDescent="0.3">
      <c r="C440" s="18"/>
    </row>
    <row r="441" spans="3:3" ht="15.75" customHeight="1" x14ac:dyDescent="0.3">
      <c r="C441" s="18"/>
    </row>
    <row r="442" spans="3:3" ht="15.75" customHeight="1" x14ac:dyDescent="0.3">
      <c r="C442" s="18"/>
    </row>
    <row r="443" spans="3:3" ht="15.75" customHeight="1" x14ac:dyDescent="0.3">
      <c r="C443" s="18"/>
    </row>
    <row r="444" spans="3:3" ht="15.75" customHeight="1" x14ac:dyDescent="0.3">
      <c r="C444" s="18"/>
    </row>
    <row r="445" spans="3:3" ht="15.75" customHeight="1" x14ac:dyDescent="0.3">
      <c r="C445" s="18"/>
    </row>
    <row r="446" spans="3:3" ht="15.75" customHeight="1" x14ac:dyDescent="0.3">
      <c r="C446" s="18"/>
    </row>
    <row r="447" spans="3:3" ht="15.75" customHeight="1" x14ac:dyDescent="0.3">
      <c r="C447" s="18"/>
    </row>
    <row r="448" spans="3:3" ht="15.75" customHeight="1" x14ac:dyDescent="0.3">
      <c r="C448" s="18"/>
    </row>
    <row r="449" spans="3:3" ht="15.75" customHeight="1" x14ac:dyDescent="0.3">
      <c r="C449" s="18"/>
    </row>
    <row r="450" spans="3:3" ht="15.75" customHeight="1" x14ac:dyDescent="0.3">
      <c r="C450" s="18"/>
    </row>
    <row r="451" spans="3:3" ht="15.75" customHeight="1" x14ac:dyDescent="0.3">
      <c r="C451" s="18"/>
    </row>
    <row r="452" spans="3:3" ht="15.75" customHeight="1" x14ac:dyDescent="0.3">
      <c r="C452" s="18"/>
    </row>
    <row r="453" spans="3:3" ht="15.75" customHeight="1" x14ac:dyDescent="0.3">
      <c r="C453" s="18"/>
    </row>
    <row r="454" spans="3:3" ht="15.75" customHeight="1" x14ac:dyDescent="0.3">
      <c r="C454" s="18"/>
    </row>
    <row r="455" spans="3:3" ht="15.75" customHeight="1" x14ac:dyDescent="0.3">
      <c r="C455" s="18"/>
    </row>
    <row r="456" spans="3:3" ht="15.75" customHeight="1" x14ac:dyDescent="0.3">
      <c r="C456" s="18"/>
    </row>
    <row r="457" spans="3:3" ht="15.75" customHeight="1" x14ac:dyDescent="0.3">
      <c r="C457" s="18"/>
    </row>
    <row r="458" spans="3:3" ht="15.75" customHeight="1" x14ac:dyDescent="0.3">
      <c r="C458" s="18"/>
    </row>
    <row r="459" spans="3:3" ht="15.75" customHeight="1" x14ac:dyDescent="0.3">
      <c r="C459" s="18"/>
    </row>
    <row r="460" spans="3:3" ht="15.75" customHeight="1" x14ac:dyDescent="0.3">
      <c r="C460" s="18"/>
    </row>
    <row r="461" spans="3:3" ht="15.75" customHeight="1" x14ac:dyDescent="0.3">
      <c r="C461" s="18"/>
    </row>
    <row r="462" spans="3:3" ht="15.75" customHeight="1" x14ac:dyDescent="0.3">
      <c r="C462" s="18"/>
    </row>
    <row r="463" spans="3:3" ht="15.75" customHeight="1" x14ac:dyDescent="0.3">
      <c r="C463" s="18"/>
    </row>
    <row r="464" spans="3:3" ht="15.75" customHeight="1" x14ac:dyDescent="0.3">
      <c r="C464" s="18"/>
    </row>
    <row r="465" spans="3:3" ht="15.75" customHeight="1" x14ac:dyDescent="0.3">
      <c r="C465" s="18"/>
    </row>
    <row r="466" spans="3:3" ht="15.75" customHeight="1" x14ac:dyDescent="0.3">
      <c r="C466" s="18"/>
    </row>
    <row r="467" spans="3:3" ht="15.75" customHeight="1" x14ac:dyDescent="0.3">
      <c r="C467" s="18"/>
    </row>
    <row r="468" spans="3:3" ht="15.75" customHeight="1" x14ac:dyDescent="0.3">
      <c r="C468" s="18"/>
    </row>
    <row r="469" spans="3:3" ht="15.75" customHeight="1" x14ac:dyDescent="0.3">
      <c r="C469" s="18"/>
    </row>
    <row r="470" spans="3:3" ht="15.75" customHeight="1" x14ac:dyDescent="0.3">
      <c r="C470" s="18"/>
    </row>
    <row r="471" spans="3:3" ht="15.75" customHeight="1" x14ac:dyDescent="0.3">
      <c r="C471" s="18"/>
    </row>
    <row r="472" spans="3:3" ht="15.75" customHeight="1" x14ac:dyDescent="0.3">
      <c r="C472" s="18"/>
    </row>
    <row r="473" spans="3:3" ht="15.75" customHeight="1" x14ac:dyDescent="0.3">
      <c r="C473" s="18"/>
    </row>
    <row r="474" spans="3:3" ht="15.75" customHeight="1" x14ac:dyDescent="0.3">
      <c r="C474" s="18"/>
    </row>
    <row r="475" spans="3:3" ht="15.75" customHeight="1" x14ac:dyDescent="0.3">
      <c r="C475" s="18"/>
    </row>
    <row r="476" spans="3:3" ht="15.75" customHeight="1" x14ac:dyDescent="0.3">
      <c r="C476" s="18"/>
    </row>
    <row r="477" spans="3:3" ht="15.75" customHeight="1" x14ac:dyDescent="0.3">
      <c r="C477" s="18"/>
    </row>
    <row r="478" spans="3:3" ht="15.75" customHeight="1" x14ac:dyDescent="0.3">
      <c r="C478" s="18"/>
    </row>
    <row r="479" spans="3:3" ht="15.75" customHeight="1" x14ac:dyDescent="0.3">
      <c r="C479" s="18"/>
    </row>
    <row r="480" spans="3:3" ht="15.75" customHeight="1" x14ac:dyDescent="0.3">
      <c r="C480" s="18"/>
    </row>
    <row r="481" spans="3:3" ht="15.75" customHeight="1" x14ac:dyDescent="0.3">
      <c r="C481" s="18"/>
    </row>
    <row r="482" spans="3:3" ht="15.75" customHeight="1" x14ac:dyDescent="0.3">
      <c r="C482" s="18"/>
    </row>
    <row r="483" spans="3:3" ht="15.75" customHeight="1" x14ac:dyDescent="0.3">
      <c r="C483" s="18"/>
    </row>
    <row r="484" spans="3:3" ht="15.75" customHeight="1" x14ac:dyDescent="0.3">
      <c r="C484" s="18"/>
    </row>
    <row r="485" spans="3:3" ht="15.75" customHeight="1" x14ac:dyDescent="0.3">
      <c r="C485" s="18"/>
    </row>
    <row r="486" spans="3:3" ht="15.75" customHeight="1" x14ac:dyDescent="0.3">
      <c r="C486" s="18"/>
    </row>
    <row r="487" spans="3:3" ht="15.75" customHeight="1" x14ac:dyDescent="0.3">
      <c r="C487" s="18"/>
    </row>
    <row r="488" spans="3:3" ht="15.75" customHeight="1" x14ac:dyDescent="0.3">
      <c r="C488" s="18"/>
    </row>
    <row r="489" spans="3:3" ht="15.75" customHeight="1" x14ac:dyDescent="0.3">
      <c r="C489" s="18"/>
    </row>
    <row r="490" spans="3:3" ht="15.75" customHeight="1" x14ac:dyDescent="0.3">
      <c r="C490" s="18"/>
    </row>
    <row r="491" spans="3:3" ht="15.75" customHeight="1" x14ac:dyDescent="0.3">
      <c r="C491" s="18"/>
    </row>
    <row r="492" spans="3:3" ht="15.75" customHeight="1" x14ac:dyDescent="0.3">
      <c r="C492" s="18"/>
    </row>
    <row r="493" spans="3:3" ht="15.75" customHeight="1" x14ac:dyDescent="0.3">
      <c r="C493" s="18"/>
    </row>
    <row r="494" spans="3:3" ht="15.75" customHeight="1" x14ac:dyDescent="0.3">
      <c r="C494" s="18"/>
    </row>
    <row r="495" spans="3:3" ht="15.75" customHeight="1" x14ac:dyDescent="0.3">
      <c r="C495" s="18"/>
    </row>
    <row r="496" spans="3:3" ht="15.75" customHeight="1" x14ac:dyDescent="0.3">
      <c r="C496" s="18"/>
    </row>
    <row r="497" spans="3:3" ht="15.75" customHeight="1" x14ac:dyDescent="0.3">
      <c r="C497" s="18"/>
    </row>
    <row r="498" spans="3:3" ht="15.75" customHeight="1" x14ac:dyDescent="0.3">
      <c r="C498" s="18"/>
    </row>
    <row r="499" spans="3:3" ht="15.75" customHeight="1" x14ac:dyDescent="0.3">
      <c r="C499" s="18"/>
    </row>
    <row r="500" spans="3:3" ht="15.75" customHeight="1" x14ac:dyDescent="0.3">
      <c r="C500" s="18"/>
    </row>
    <row r="501" spans="3:3" ht="15.75" customHeight="1" x14ac:dyDescent="0.3">
      <c r="C501" s="18"/>
    </row>
    <row r="502" spans="3:3" ht="15.75" customHeight="1" x14ac:dyDescent="0.3">
      <c r="C502" s="18"/>
    </row>
    <row r="503" spans="3:3" ht="15.75" customHeight="1" x14ac:dyDescent="0.3">
      <c r="C503" s="18"/>
    </row>
    <row r="504" spans="3:3" ht="15.75" customHeight="1" x14ac:dyDescent="0.3">
      <c r="C504" s="18"/>
    </row>
    <row r="505" spans="3:3" ht="15.75" customHeight="1" x14ac:dyDescent="0.3">
      <c r="C505" s="18"/>
    </row>
    <row r="506" spans="3:3" ht="15.75" customHeight="1" x14ac:dyDescent="0.3">
      <c r="C506" s="18"/>
    </row>
    <row r="507" spans="3:3" ht="15.75" customHeight="1" x14ac:dyDescent="0.3">
      <c r="C507" s="18"/>
    </row>
    <row r="508" spans="3:3" ht="15.75" customHeight="1" x14ac:dyDescent="0.3">
      <c r="C508" s="18"/>
    </row>
    <row r="509" spans="3:3" ht="15.75" customHeight="1" x14ac:dyDescent="0.3">
      <c r="C509" s="18"/>
    </row>
    <row r="510" spans="3:3" ht="15.75" customHeight="1" x14ac:dyDescent="0.3">
      <c r="C510" s="18"/>
    </row>
    <row r="511" spans="3:3" ht="15.75" customHeight="1" x14ac:dyDescent="0.3">
      <c r="C511" s="18"/>
    </row>
    <row r="512" spans="3:3" ht="15.75" customHeight="1" x14ac:dyDescent="0.3">
      <c r="C512" s="18"/>
    </row>
    <row r="513" spans="3:3" ht="15.75" customHeight="1" x14ac:dyDescent="0.3">
      <c r="C513" s="18"/>
    </row>
    <row r="514" spans="3:3" ht="15.75" customHeight="1" x14ac:dyDescent="0.3">
      <c r="C514" s="18"/>
    </row>
    <row r="515" spans="3:3" ht="15.75" customHeight="1" x14ac:dyDescent="0.3">
      <c r="C515" s="18"/>
    </row>
    <row r="516" spans="3:3" ht="15.75" customHeight="1" x14ac:dyDescent="0.3">
      <c r="C516" s="18"/>
    </row>
    <row r="517" spans="3:3" ht="15.75" customHeight="1" x14ac:dyDescent="0.3">
      <c r="C517" s="18"/>
    </row>
    <row r="518" spans="3:3" ht="15.75" customHeight="1" x14ac:dyDescent="0.3">
      <c r="C518" s="18"/>
    </row>
    <row r="519" spans="3:3" ht="15.75" customHeight="1" x14ac:dyDescent="0.3">
      <c r="C519" s="18"/>
    </row>
    <row r="520" spans="3:3" ht="15.75" customHeight="1" x14ac:dyDescent="0.3">
      <c r="C520" s="18"/>
    </row>
    <row r="521" spans="3:3" ht="15.75" customHeight="1" x14ac:dyDescent="0.3">
      <c r="C521" s="18"/>
    </row>
    <row r="522" spans="3:3" ht="15.75" customHeight="1" x14ac:dyDescent="0.3">
      <c r="C522" s="18"/>
    </row>
    <row r="523" spans="3:3" ht="15.75" customHeight="1" x14ac:dyDescent="0.3">
      <c r="C523" s="18"/>
    </row>
    <row r="524" spans="3:3" ht="15.75" customHeight="1" x14ac:dyDescent="0.3">
      <c r="C524" s="18"/>
    </row>
    <row r="525" spans="3:3" ht="15.75" customHeight="1" x14ac:dyDescent="0.3">
      <c r="C525" s="18"/>
    </row>
    <row r="526" spans="3:3" ht="15.75" customHeight="1" x14ac:dyDescent="0.3">
      <c r="C526" s="18"/>
    </row>
    <row r="527" spans="3:3" ht="15.75" customHeight="1" x14ac:dyDescent="0.3">
      <c r="C527" s="18"/>
    </row>
    <row r="528" spans="3:3" ht="15.75" customHeight="1" x14ac:dyDescent="0.3">
      <c r="C528" s="18"/>
    </row>
    <row r="529" spans="3:3" ht="15.75" customHeight="1" x14ac:dyDescent="0.3">
      <c r="C529" s="18"/>
    </row>
    <row r="530" spans="3:3" ht="15.75" customHeight="1" x14ac:dyDescent="0.3">
      <c r="C530" s="18"/>
    </row>
    <row r="531" spans="3:3" ht="15.75" customHeight="1" x14ac:dyDescent="0.3">
      <c r="C531" s="18"/>
    </row>
    <row r="532" spans="3:3" ht="15.75" customHeight="1" x14ac:dyDescent="0.3">
      <c r="C532" s="18"/>
    </row>
    <row r="533" spans="3:3" ht="15.75" customHeight="1" x14ac:dyDescent="0.3">
      <c r="C533" s="18"/>
    </row>
    <row r="534" spans="3:3" ht="15.75" customHeight="1" x14ac:dyDescent="0.3">
      <c r="C534" s="18"/>
    </row>
    <row r="535" spans="3:3" ht="15.75" customHeight="1" x14ac:dyDescent="0.3">
      <c r="C535" s="18"/>
    </row>
    <row r="536" spans="3:3" ht="15.75" customHeight="1" x14ac:dyDescent="0.3">
      <c r="C536" s="18"/>
    </row>
    <row r="537" spans="3:3" ht="15.75" customHeight="1" x14ac:dyDescent="0.3">
      <c r="C537" s="18"/>
    </row>
    <row r="538" spans="3:3" ht="15.75" customHeight="1" x14ac:dyDescent="0.3">
      <c r="C538" s="18"/>
    </row>
    <row r="539" spans="3:3" ht="15.75" customHeight="1" x14ac:dyDescent="0.3">
      <c r="C539" s="18"/>
    </row>
    <row r="540" spans="3:3" ht="15.75" customHeight="1" x14ac:dyDescent="0.3">
      <c r="C540" s="18"/>
    </row>
    <row r="541" spans="3:3" ht="15.75" customHeight="1" x14ac:dyDescent="0.3">
      <c r="C541" s="18"/>
    </row>
    <row r="542" spans="3:3" ht="15.75" customHeight="1" x14ac:dyDescent="0.3">
      <c r="C542" s="18"/>
    </row>
    <row r="543" spans="3:3" ht="15.75" customHeight="1" x14ac:dyDescent="0.3">
      <c r="C543" s="18"/>
    </row>
    <row r="544" spans="3:3" ht="15.75" customHeight="1" x14ac:dyDescent="0.3">
      <c r="C544" s="18"/>
    </row>
    <row r="545" spans="3:3" ht="15.75" customHeight="1" x14ac:dyDescent="0.3">
      <c r="C545" s="18"/>
    </row>
    <row r="546" spans="3:3" ht="15.75" customHeight="1" x14ac:dyDescent="0.3">
      <c r="C546" s="18"/>
    </row>
    <row r="547" spans="3:3" ht="15.75" customHeight="1" x14ac:dyDescent="0.3">
      <c r="C547" s="18"/>
    </row>
    <row r="548" spans="3:3" ht="15.75" customHeight="1" x14ac:dyDescent="0.3">
      <c r="C548" s="18"/>
    </row>
    <row r="549" spans="3:3" ht="15.75" customHeight="1" x14ac:dyDescent="0.3">
      <c r="C549" s="18"/>
    </row>
    <row r="550" spans="3:3" ht="15.75" customHeight="1" x14ac:dyDescent="0.3">
      <c r="C550" s="18"/>
    </row>
    <row r="551" spans="3:3" ht="15.75" customHeight="1" x14ac:dyDescent="0.3">
      <c r="C551" s="18"/>
    </row>
    <row r="552" spans="3:3" ht="15.75" customHeight="1" x14ac:dyDescent="0.3">
      <c r="C552" s="18"/>
    </row>
    <row r="553" spans="3:3" ht="15.75" customHeight="1" x14ac:dyDescent="0.3">
      <c r="C553" s="18"/>
    </row>
    <row r="554" spans="3:3" ht="15.75" customHeight="1" x14ac:dyDescent="0.3">
      <c r="C554" s="18"/>
    </row>
    <row r="555" spans="3:3" ht="15.75" customHeight="1" x14ac:dyDescent="0.3">
      <c r="C555" s="18"/>
    </row>
    <row r="556" spans="3:3" ht="15.75" customHeight="1" x14ac:dyDescent="0.3">
      <c r="C556" s="18"/>
    </row>
    <row r="557" spans="3:3" ht="15.75" customHeight="1" x14ac:dyDescent="0.3">
      <c r="C557" s="18"/>
    </row>
    <row r="558" spans="3:3" ht="15.75" customHeight="1" x14ac:dyDescent="0.3">
      <c r="C558" s="18"/>
    </row>
    <row r="559" spans="3:3" ht="15.75" customHeight="1" x14ac:dyDescent="0.3">
      <c r="C559" s="18"/>
    </row>
    <row r="560" spans="3:3" ht="15.75" customHeight="1" x14ac:dyDescent="0.3">
      <c r="C560" s="18"/>
    </row>
    <row r="561" spans="3:3" ht="15.75" customHeight="1" x14ac:dyDescent="0.3">
      <c r="C561" s="18"/>
    </row>
    <row r="562" spans="3:3" ht="15.75" customHeight="1" x14ac:dyDescent="0.3">
      <c r="C562" s="18"/>
    </row>
    <row r="563" spans="3:3" ht="15.75" customHeight="1" x14ac:dyDescent="0.3">
      <c r="C563" s="18"/>
    </row>
    <row r="564" spans="3:3" ht="15.75" customHeight="1" x14ac:dyDescent="0.3">
      <c r="C564" s="18"/>
    </row>
    <row r="565" spans="3:3" ht="15.75" customHeight="1" x14ac:dyDescent="0.3">
      <c r="C565" s="18"/>
    </row>
    <row r="566" spans="3:3" ht="15.75" customHeight="1" x14ac:dyDescent="0.3">
      <c r="C566" s="18"/>
    </row>
    <row r="567" spans="3:3" ht="15.75" customHeight="1" x14ac:dyDescent="0.3">
      <c r="C567" s="18"/>
    </row>
    <row r="568" spans="3:3" ht="15.75" customHeight="1" x14ac:dyDescent="0.3">
      <c r="C568" s="18"/>
    </row>
    <row r="569" spans="3:3" ht="15.75" customHeight="1" x14ac:dyDescent="0.3">
      <c r="C569" s="18"/>
    </row>
    <row r="570" spans="3:3" ht="15.75" customHeight="1" x14ac:dyDescent="0.3">
      <c r="C570" s="18"/>
    </row>
    <row r="571" spans="3:3" ht="15.75" customHeight="1" x14ac:dyDescent="0.3">
      <c r="C571" s="18"/>
    </row>
    <row r="572" spans="3:3" ht="15.75" customHeight="1" x14ac:dyDescent="0.3">
      <c r="C572" s="18"/>
    </row>
    <row r="573" spans="3:3" ht="15.75" customHeight="1" x14ac:dyDescent="0.3">
      <c r="C573" s="18"/>
    </row>
    <row r="574" spans="3:3" ht="15.75" customHeight="1" x14ac:dyDescent="0.3">
      <c r="C574" s="18"/>
    </row>
    <row r="575" spans="3:3" ht="15.75" customHeight="1" x14ac:dyDescent="0.3">
      <c r="C575" s="18"/>
    </row>
    <row r="576" spans="3:3" ht="15.75" customHeight="1" x14ac:dyDescent="0.3">
      <c r="C576" s="18"/>
    </row>
    <row r="577" spans="3:3" ht="15.75" customHeight="1" x14ac:dyDescent="0.3">
      <c r="C577" s="18"/>
    </row>
    <row r="578" spans="3:3" ht="15.75" customHeight="1" x14ac:dyDescent="0.3">
      <c r="C578" s="18"/>
    </row>
    <row r="579" spans="3:3" ht="15.75" customHeight="1" x14ac:dyDescent="0.3">
      <c r="C579" s="18"/>
    </row>
    <row r="580" spans="3:3" ht="15.75" customHeight="1" x14ac:dyDescent="0.3">
      <c r="C580" s="18"/>
    </row>
    <row r="581" spans="3:3" ht="15.75" customHeight="1" x14ac:dyDescent="0.3">
      <c r="C581" s="18"/>
    </row>
    <row r="582" spans="3:3" ht="15.75" customHeight="1" x14ac:dyDescent="0.3">
      <c r="C582" s="18"/>
    </row>
    <row r="583" spans="3:3" ht="15.75" customHeight="1" x14ac:dyDescent="0.3">
      <c r="C583" s="18"/>
    </row>
    <row r="584" spans="3:3" ht="15.75" customHeight="1" x14ac:dyDescent="0.3">
      <c r="C584" s="18"/>
    </row>
    <row r="585" spans="3:3" ht="15.75" customHeight="1" x14ac:dyDescent="0.3">
      <c r="C585" s="18"/>
    </row>
    <row r="586" spans="3:3" ht="15.75" customHeight="1" x14ac:dyDescent="0.3">
      <c r="C586" s="18"/>
    </row>
    <row r="587" spans="3:3" ht="15.75" customHeight="1" x14ac:dyDescent="0.3">
      <c r="C587" s="18"/>
    </row>
    <row r="588" spans="3:3" ht="15.75" customHeight="1" x14ac:dyDescent="0.3">
      <c r="C588" s="18"/>
    </row>
    <row r="589" spans="3:3" ht="15.75" customHeight="1" x14ac:dyDescent="0.3">
      <c r="C589" s="18"/>
    </row>
    <row r="590" spans="3:3" ht="15.75" customHeight="1" x14ac:dyDescent="0.3">
      <c r="C590" s="18"/>
    </row>
    <row r="591" spans="3:3" ht="15.75" customHeight="1" x14ac:dyDescent="0.3">
      <c r="C591" s="18"/>
    </row>
    <row r="592" spans="3:3" ht="15.75" customHeight="1" x14ac:dyDescent="0.3">
      <c r="C592" s="18"/>
    </row>
    <row r="593" spans="3:3" ht="15.75" customHeight="1" x14ac:dyDescent="0.3">
      <c r="C593" s="18"/>
    </row>
    <row r="594" spans="3:3" ht="15.75" customHeight="1" x14ac:dyDescent="0.3">
      <c r="C594" s="18"/>
    </row>
    <row r="595" spans="3:3" ht="15.75" customHeight="1" x14ac:dyDescent="0.3">
      <c r="C595" s="18"/>
    </row>
    <row r="596" spans="3:3" ht="15.75" customHeight="1" x14ac:dyDescent="0.3">
      <c r="C596" s="18"/>
    </row>
    <row r="597" spans="3:3" ht="15.75" customHeight="1" x14ac:dyDescent="0.3">
      <c r="C597" s="18"/>
    </row>
    <row r="598" spans="3:3" ht="15.75" customHeight="1" x14ac:dyDescent="0.3">
      <c r="C598" s="18"/>
    </row>
    <row r="599" spans="3:3" ht="15.75" customHeight="1" x14ac:dyDescent="0.3">
      <c r="C599" s="18"/>
    </row>
    <row r="600" spans="3:3" ht="15.75" customHeight="1" x14ac:dyDescent="0.3">
      <c r="C600" s="18"/>
    </row>
    <row r="601" spans="3:3" ht="15.75" customHeight="1" x14ac:dyDescent="0.3">
      <c r="C601" s="18"/>
    </row>
    <row r="602" spans="3:3" ht="15.75" customHeight="1" x14ac:dyDescent="0.3">
      <c r="C602" s="18"/>
    </row>
    <row r="603" spans="3:3" ht="15.75" customHeight="1" x14ac:dyDescent="0.3">
      <c r="C603" s="18"/>
    </row>
    <row r="604" spans="3:3" ht="15.75" customHeight="1" x14ac:dyDescent="0.3">
      <c r="C604" s="18"/>
    </row>
    <row r="605" spans="3:3" ht="15.75" customHeight="1" x14ac:dyDescent="0.3">
      <c r="C605" s="18"/>
    </row>
    <row r="606" spans="3:3" ht="15.75" customHeight="1" x14ac:dyDescent="0.3">
      <c r="C606" s="18"/>
    </row>
    <row r="607" spans="3:3" ht="15.75" customHeight="1" x14ac:dyDescent="0.3">
      <c r="C607" s="18"/>
    </row>
    <row r="608" spans="3:3" ht="15.75" customHeight="1" x14ac:dyDescent="0.3">
      <c r="C608" s="18"/>
    </row>
    <row r="609" spans="3:3" ht="15.75" customHeight="1" x14ac:dyDescent="0.3">
      <c r="C609" s="18"/>
    </row>
    <row r="610" spans="3:3" ht="15.75" customHeight="1" x14ac:dyDescent="0.3">
      <c r="C610" s="18"/>
    </row>
    <row r="611" spans="3:3" ht="15.75" customHeight="1" x14ac:dyDescent="0.3">
      <c r="C611" s="18"/>
    </row>
    <row r="612" spans="3:3" ht="15.75" customHeight="1" x14ac:dyDescent="0.3">
      <c r="C612" s="18"/>
    </row>
    <row r="613" spans="3:3" ht="15.75" customHeight="1" x14ac:dyDescent="0.3">
      <c r="C613" s="18"/>
    </row>
    <row r="614" spans="3:3" ht="15.75" customHeight="1" x14ac:dyDescent="0.3">
      <c r="C614" s="18"/>
    </row>
    <row r="615" spans="3:3" ht="15.75" customHeight="1" x14ac:dyDescent="0.3">
      <c r="C615" s="18"/>
    </row>
    <row r="616" spans="3:3" ht="15.75" customHeight="1" x14ac:dyDescent="0.3">
      <c r="C616" s="18"/>
    </row>
    <row r="617" spans="3:3" ht="15.75" customHeight="1" x14ac:dyDescent="0.3">
      <c r="C617" s="18"/>
    </row>
    <row r="618" spans="3:3" ht="15.75" customHeight="1" x14ac:dyDescent="0.3">
      <c r="C618" s="18"/>
    </row>
    <row r="619" spans="3:3" ht="15.75" customHeight="1" x14ac:dyDescent="0.3">
      <c r="C619" s="18"/>
    </row>
    <row r="620" spans="3:3" ht="15.75" customHeight="1" x14ac:dyDescent="0.3">
      <c r="C620" s="18"/>
    </row>
    <row r="621" spans="3:3" ht="15.75" customHeight="1" x14ac:dyDescent="0.3">
      <c r="C621" s="18"/>
    </row>
    <row r="622" spans="3:3" ht="15.75" customHeight="1" x14ac:dyDescent="0.3">
      <c r="C622" s="18"/>
    </row>
    <row r="623" spans="3:3" ht="15.75" customHeight="1" x14ac:dyDescent="0.3">
      <c r="C623" s="18"/>
    </row>
    <row r="624" spans="3:3" ht="15.75" customHeight="1" x14ac:dyDescent="0.3">
      <c r="C624" s="18"/>
    </row>
    <row r="625" spans="3:3" ht="15.75" customHeight="1" x14ac:dyDescent="0.3">
      <c r="C625" s="18"/>
    </row>
    <row r="626" spans="3:3" ht="15.75" customHeight="1" x14ac:dyDescent="0.3">
      <c r="C626" s="18"/>
    </row>
    <row r="627" spans="3:3" ht="15.75" customHeight="1" x14ac:dyDescent="0.3">
      <c r="C627" s="18"/>
    </row>
    <row r="628" spans="3:3" ht="15.75" customHeight="1" x14ac:dyDescent="0.3">
      <c r="C628" s="18"/>
    </row>
    <row r="629" spans="3:3" ht="15.75" customHeight="1" x14ac:dyDescent="0.3">
      <c r="C629" s="18"/>
    </row>
    <row r="630" spans="3:3" ht="15.75" customHeight="1" x14ac:dyDescent="0.3">
      <c r="C630" s="18"/>
    </row>
    <row r="631" spans="3:3" ht="15.75" customHeight="1" x14ac:dyDescent="0.3">
      <c r="C631" s="18"/>
    </row>
    <row r="632" spans="3:3" ht="15.75" customHeight="1" x14ac:dyDescent="0.3">
      <c r="C632" s="18"/>
    </row>
    <row r="633" spans="3:3" ht="15.75" customHeight="1" x14ac:dyDescent="0.3">
      <c r="C633" s="18"/>
    </row>
    <row r="634" spans="3:3" ht="15.75" customHeight="1" x14ac:dyDescent="0.3">
      <c r="C634" s="18"/>
    </row>
    <row r="635" spans="3:3" ht="15.75" customHeight="1" x14ac:dyDescent="0.3">
      <c r="C635" s="18"/>
    </row>
    <row r="636" spans="3:3" ht="15.75" customHeight="1" x14ac:dyDescent="0.3">
      <c r="C636" s="18"/>
    </row>
    <row r="637" spans="3:3" ht="15.75" customHeight="1" x14ac:dyDescent="0.3">
      <c r="C637" s="18"/>
    </row>
    <row r="638" spans="3:3" ht="15.75" customHeight="1" x14ac:dyDescent="0.3">
      <c r="C638" s="18"/>
    </row>
    <row r="639" spans="3:3" ht="15.75" customHeight="1" x14ac:dyDescent="0.3">
      <c r="C639" s="18"/>
    </row>
    <row r="640" spans="3:3" ht="15.75" customHeight="1" x14ac:dyDescent="0.3">
      <c r="C640" s="18"/>
    </row>
    <row r="641" spans="3:3" ht="15.75" customHeight="1" x14ac:dyDescent="0.3">
      <c r="C641" s="18"/>
    </row>
    <row r="642" spans="3:3" ht="15.75" customHeight="1" x14ac:dyDescent="0.3">
      <c r="C642" s="18"/>
    </row>
    <row r="643" spans="3:3" ht="15.75" customHeight="1" x14ac:dyDescent="0.3">
      <c r="C643" s="18"/>
    </row>
    <row r="644" spans="3:3" ht="15.75" customHeight="1" x14ac:dyDescent="0.3">
      <c r="C644" s="18"/>
    </row>
    <row r="645" spans="3:3" ht="15.75" customHeight="1" x14ac:dyDescent="0.3">
      <c r="C645" s="18"/>
    </row>
    <row r="646" spans="3:3" ht="15.75" customHeight="1" x14ac:dyDescent="0.3">
      <c r="C646" s="18"/>
    </row>
    <row r="647" spans="3:3" ht="15.75" customHeight="1" x14ac:dyDescent="0.3">
      <c r="C647" s="18"/>
    </row>
    <row r="648" spans="3:3" ht="15.75" customHeight="1" x14ac:dyDescent="0.3">
      <c r="C648" s="18"/>
    </row>
    <row r="649" spans="3:3" ht="15.75" customHeight="1" x14ac:dyDescent="0.3">
      <c r="C649" s="18"/>
    </row>
    <row r="650" spans="3:3" ht="15.75" customHeight="1" x14ac:dyDescent="0.3">
      <c r="C650" s="18"/>
    </row>
    <row r="651" spans="3:3" ht="15.75" customHeight="1" x14ac:dyDescent="0.3">
      <c r="C651" s="18"/>
    </row>
    <row r="652" spans="3:3" ht="15.75" customHeight="1" x14ac:dyDescent="0.3">
      <c r="C652" s="18"/>
    </row>
    <row r="653" spans="3:3" ht="15.75" customHeight="1" x14ac:dyDescent="0.3">
      <c r="C653" s="18"/>
    </row>
    <row r="654" spans="3:3" ht="15.75" customHeight="1" x14ac:dyDescent="0.3">
      <c r="C654" s="18"/>
    </row>
    <row r="655" spans="3:3" ht="15.75" customHeight="1" x14ac:dyDescent="0.3">
      <c r="C655" s="18"/>
    </row>
    <row r="656" spans="3:3" ht="15.75" customHeight="1" x14ac:dyDescent="0.3">
      <c r="C656" s="18"/>
    </row>
    <row r="657" spans="3:3" ht="15.75" customHeight="1" x14ac:dyDescent="0.3">
      <c r="C657" s="18"/>
    </row>
    <row r="658" spans="3:3" ht="15.75" customHeight="1" x14ac:dyDescent="0.3">
      <c r="C658" s="18"/>
    </row>
    <row r="659" spans="3:3" ht="15.75" customHeight="1" x14ac:dyDescent="0.3">
      <c r="C659" s="18"/>
    </row>
    <row r="660" spans="3:3" ht="15.75" customHeight="1" x14ac:dyDescent="0.3">
      <c r="C660" s="18"/>
    </row>
    <row r="661" spans="3:3" ht="15.75" customHeight="1" x14ac:dyDescent="0.3">
      <c r="C661" s="18"/>
    </row>
    <row r="662" spans="3:3" ht="15.75" customHeight="1" x14ac:dyDescent="0.3">
      <c r="C662" s="18"/>
    </row>
    <row r="663" spans="3:3" ht="15.75" customHeight="1" x14ac:dyDescent="0.3">
      <c r="C663" s="18"/>
    </row>
    <row r="664" spans="3:3" ht="15.75" customHeight="1" x14ac:dyDescent="0.3">
      <c r="C664" s="18"/>
    </row>
    <row r="665" spans="3:3" ht="15.75" customHeight="1" x14ac:dyDescent="0.3">
      <c r="C665" s="18"/>
    </row>
    <row r="666" spans="3:3" ht="15.75" customHeight="1" x14ac:dyDescent="0.3">
      <c r="C666" s="18"/>
    </row>
    <row r="667" spans="3:3" ht="15.75" customHeight="1" x14ac:dyDescent="0.3">
      <c r="C667" s="18"/>
    </row>
    <row r="668" spans="3:3" ht="15.75" customHeight="1" x14ac:dyDescent="0.3">
      <c r="C668" s="18"/>
    </row>
    <row r="669" spans="3:3" ht="15.75" customHeight="1" x14ac:dyDescent="0.3">
      <c r="C669" s="18"/>
    </row>
    <row r="670" spans="3:3" ht="15.75" customHeight="1" x14ac:dyDescent="0.3">
      <c r="C670" s="18"/>
    </row>
    <row r="671" spans="3:3" ht="15.75" customHeight="1" x14ac:dyDescent="0.3">
      <c r="C671" s="18"/>
    </row>
    <row r="672" spans="3:3" ht="15.75" customHeight="1" x14ac:dyDescent="0.3">
      <c r="C672" s="18"/>
    </row>
    <row r="673" spans="3:3" ht="15.75" customHeight="1" x14ac:dyDescent="0.3">
      <c r="C673" s="18"/>
    </row>
    <row r="674" spans="3:3" ht="15.75" customHeight="1" x14ac:dyDescent="0.3">
      <c r="C674" s="18"/>
    </row>
    <row r="675" spans="3:3" ht="15.75" customHeight="1" x14ac:dyDescent="0.3">
      <c r="C675" s="18"/>
    </row>
    <row r="676" spans="3:3" ht="15.75" customHeight="1" x14ac:dyDescent="0.3">
      <c r="C676" s="18"/>
    </row>
    <row r="677" spans="3:3" ht="15.75" customHeight="1" x14ac:dyDescent="0.3">
      <c r="C677" s="18"/>
    </row>
    <row r="678" spans="3:3" ht="15.75" customHeight="1" x14ac:dyDescent="0.3">
      <c r="C678" s="18"/>
    </row>
    <row r="679" spans="3:3" ht="15.75" customHeight="1" x14ac:dyDescent="0.3">
      <c r="C679" s="18"/>
    </row>
    <row r="680" spans="3:3" ht="15.75" customHeight="1" x14ac:dyDescent="0.3">
      <c r="C680" s="18"/>
    </row>
    <row r="681" spans="3:3" ht="15.75" customHeight="1" x14ac:dyDescent="0.3">
      <c r="C681" s="18"/>
    </row>
    <row r="682" spans="3:3" ht="15.75" customHeight="1" x14ac:dyDescent="0.3">
      <c r="C682" s="18"/>
    </row>
    <row r="683" spans="3:3" ht="15.75" customHeight="1" x14ac:dyDescent="0.3">
      <c r="C683" s="18"/>
    </row>
    <row r="684" spans="3:3" ht="15.75" customHeight="1" x14ac:dyDescent="0.3">
      <c r="C684" s="18"/>
    </row>
    <row r="685" spans="3:3" ht="15.75" customHeight="1" x14ac:dyDescent="0.3">
      <c r="C685" s="18"/>
    </row>
    <row r="686" spans="3:3" ht="15.75" customHeight="1" x14ac:dyDescent="0.3">
      <c r="C686" s="18"/>
    </row>
    <row r="687" spans="3:3" ht="15.75" customHeight="1" x14ac:dyDescent="0.3">
      <c r="C687" s="18"/>
    </row>
    <row r="688" spans="3:3" ht="15.75" customHeight="1" x14ac:dyDescent="0.3">
      <c r="C688" s="18"/>
    </row>
    <row r="689" spans="3:3" ht="15.75" customHeight="1" x14ac:dyDescent="0.3">
      <c r="C689" s="18"/>
    </row>
    <row r="690" spans="3:3" ht="15.75" customHeight="1" x14ac:dyDescent="0.3">
      <c r="C690" s="18"/>
    </row>
    <row r="691" spans="3:3" ht="15.75" customHeight="1" x14ac:dyDescent="0.3">
      <c r="C691" s="18"/>
    </row>
    <row r="692" spans="3:3" ht="15.75" customHeight="1" x14ac:dyDescent="0.3">
      <c r="C692" s="18"/>
    </row>
    <row r="693" spans="3:3" ht="15.75" customHeight="1" x14ac:dyDescent="0.3">
      <c r="C693" s="18"/>
    </row>
    <row r="694" spans="3:3" ht="15.75" customHeight="1" x14ac:dyDescent="0.3">
      <c r="C694" s="18"/>
    </row>
    <row r="695" spans="3:3" ht="15.75" customHeight="1" x14ac:dyDescent="0.3">
      <c r="C695" s="18"/>
    </row>
    <row r="696" spans="3:3" ht="15.75" customHeight="1" x14ac:dyDescent="0.3">
      <c r="C696" s="18"/>
    </row>
    <row r="697" spans="3:3" ht="15.75" customHeight="1" x14ac:dyDescent="0.3">
      <c r="C697" s="18"/>
    </row>
    <row r="698" spans="3:3" ht="15.75" customHeight="1" x14ac:dyDescent="0.3">
      <c r="C698" s="18"/>
    </row>
    <row r="699" spans="3:3" ht="15.75" customHeight="1" x14ac:dyDescent="0.3">
      <c r="C699" s="18"/>
    </row>
    <row r="700" spans="3:3" ht="15.75" customHeight="1" x14ac:dyDescent="0.3">
      <c r="C700" s="18"/>
    </row>
    <row r="701" spans="3:3" ht="15.75" customHeight="1" x14ac:dyDescent="0.3">
      <c r="C701" s="18"/>
    </row>
    <row r="702" spans="3:3" ht="15.75" customHeight="1" x14ac:dyDescent="0.3">
      <c r="C702" s="18"/>
    </row>
    <row r="703" spans="3:3" ht="15.75" customHeight="1" x14ac:dyDescent="0.3">
      <c r="C703" s="18"/>
    </row>
    <row r="704" spans="3:3" ht="15.75" customHeight="1" x14ac:dyDescent="0.3">
      <c r="C704" s="18"/>
    </row>
    <row r="705" spans="3:3" ht="15.75" customHeight="1" x14ac:dyDescent="0.3">
      <c r="C705" s="18"/>
    </row>
    <row r="706" spans="3:3" ht="15.75" customHeight="1" x14ac:dyDescent="0.3">
      <c r="C706" s="18"/>
    </row>
    <row r="707" spans="3:3" ht="15.75" customHeight="1" x14ac:dyDescent="0.3">
      <c r="C707" s="18"/>
    </row>
    <row r="708" spans="3:3" ht="15.75" customHeight="1" x14ac:dyDescent="0.3">
      <c r="C708" s="18"/>
    </row>
    <row r="709" spans="3:3" ht="15.75" customHeight="1" x14ac:dyDescent="0.3">
      <c r="C709" s="18"/>
    </row>
    <row r="710" spans="3:3" ht="15.75" customHeight="1" x14ac:dyDescent="0.3">
      <c r="C710" s="18"/>
    </row>
    <row r="711" spans="3:3" ht="15.75" customHeight="1" x14ac:dyDescent="0.3">
      <c r="C711" s="18"/>
    </row>
    <row r="712" spans="3:3" ht="15.75" customHeight="1" x14ac:dyDescent="0.3">
      <c r="C712" s="18"/>
    </row>
    <row r="713" spans="3:3" ht="15.75" customHeight="1" x14ac:dyDescent="0.3">
      <c r="C713" s="18"/>
    </row>
    <row r="714" spans="3:3" ht="15.75" customHeight="1" x14ac:dyDescent="0.3">
      <c r="C714" s="18"/>
    </row>
    <row r="715" spans="3:3" ht="15.75" customHeight="1" x14ac:dyDescent="0.3">
      <c r="C715" s="18"/>
    </row>
    <row r="716" spans="3:3" ht="15.75" customHeight="1" x14ac:dyDescent="0.3">
      <c r="C716" s="18"/>
    </row>
    <row r="717" spans="3:3" ht="15.75" customHeight="1" x14ac:dyDescent="0.3">
      <c r="C717" s="18"/>
    </row>
    <row r="718" spans="3:3" ht="15.75" customHeight="1" x14ac:dyDescent="0.3">
      <c r="C718" s="18"/>
    </row>
    <row r="719" spans="3:3" ht="15.75" customHeight="1" x14ac:dyDescent="0.3">
      <c r="C719" s="18"/>
    </row>
    <row r="720" spans="3:3" ht="15.75" customHeight="1" x14ac:dyDescent="0.3">
      <c r="C720" s="18"/>
    </row>
    <row r="721" spans="3:3" ht="15.75" customHeight="1" x14ac:dyDescent="0.3">
      <c r="C721" s="18"/>
    </row>
    <row r="722" spans="3:3" ht="15.75" customHeight="1" x14ac:dyDescent="0.3">
      <c r="C722" s="18"/>
    </row>
    <row r="723" spans="3:3" ht="15.75" customHeight="1" x14ac:dyDescent="0.3">
      <c r="C723" s="18"/>
    </row>
    <row r="724" spans="3:3" ht="15.75" customHeight="1" x14ac:dyDescent="0.3">
      <c r="C724" s="18"/>
    </row>
    <row r="725" spans="3:3" ht="15.75" customHeight="1" x14ac:dyDescent="0.3">
      <c r="C725" s="18"/>
    </row>
    <row r="726" spans="3:3" ht="15.75" customHeight="1" x14ac:dyDescent="0.3">
      <c r="C726" s="18"/>
    </row>
    <row r="727" spans="3:3" ht="15.75" customHeight="1" x14ac:dyDescent="0.3">
      <c r="C727" s="18"/>
    </row>
    <row r="728" spans="3:3" ht="15.75" customHeight="1" x14ac:dyDescent="0.3">
      <c r="C728" s="18"/>
    </row>
    <row r="729" spans="3:3" ht="15.75" customHeight="1" x14ac:dyDescent="0.3">
      <c r="C729" s="18"/>
    </row>
    <row r="730" spans="3:3" ht="15.75" customHeight="1" x14ac:dyDescent="0.3">
      <c r="C730" s="18"/>
    </row>
    <row r="731" spans="3:3" ht="15.75" customHeight="1" x14ac:dyDescent="0.3">
      <c r="C731" s="18"/>
    </row>
    <row r="732" spans="3:3" ht="15.75" customHeight="1" x14ac:dyDescent="0.3">
      <c r="C732" s="18"/>
    </row>
    <row r="733" spans="3:3" ht="15.75" customHeight="1" x14ac:dyDescent="0.3">
      <c r="C733" s="18"/>
    </row>
    <row r="734" spans="3:3" ht="15.75" customHeight="1" x14ac:dyDescent="0.3">
      <c r="C734" s="18"/>
    </row>
    <row r="735" spans="3:3" ht="15.75" customHeight="1" x14ac:dyDescent="0.3">
      <c r="C735" s="18"/>
    </row>
    <row r="736" spans="3:3" ht="15.75" customHeight="1" x14ac:dyDescent="0.3">
      <c r="C736" s="18"/>
    </row>
    <row r="737" spans="3:3" ht="15.75" customHeight="1" x14ac:dyDescent="0.3">
      <c r="C737" s="18"/>
    </row>
    <row r="738" spans="3:3" ht="15.75" customHeight="1" x14ac:dyDescent="0.3">
      <c r="C738" s="18"/>
    </row>
    <row r="739" spans="3:3" ht="15.75" customHeight="1" x14ac:dyDescent="0.3">
      <c r="C739" s="18"/>
    </row>
    <row r="740" spans="3:3" ht="15.75" customHeight="1" x14ac:dyDescent="0.3">
      <c r="C740" s="18"/>
    </row>
    <row r="741" spans="3:3" ht="15.75" customHeight="1" x14ac:dyDescent="0.3">
      <c r="C741" s="18"/>
    </row>
    <row r="742" spans="3:3" ht="15.75" customHeight="1" x14ac:dyDescent="0.3">
      <c r="C742" s="18"/>
    </row>
    <row r="743" spans="3:3" ht="15.75" customHeight="1" x14ac:dyDescent="0.3">
      <c r="C743" s="18"/>
    </row>
    <row r="744" spans="3:3" ht="15.75" customHeight="1" x14ac:dyDescent="0.3">
      <c r="C744" s="18"/>
    </row>
    <row r="745" spans="3:3" ht="15.75" customHeight="1" x14ac:dyDescent="0.3">
      <c r="C745" s="18"/>
    </row>
    <row r="746" spans="3:3" ht="15.75" customHeight="1" x14ac:dyDescent="0.3">
      <c r="C746" s="18"/>
    </row>
    <row r="747" spans="3:3" ht="15.75" customHeight="1" x14ac:dyDescent="0.3">
      <c r="C747" s="18"/>
    </row>
    <row r="748" spans="3:3" ht="15.75" customHeight="1" x14ac:dyDescent="0.3">
      <c r="C748" s="18"/>
    </row>
    <row r="749" spans="3:3" ht="15.75" customHeight="1" x14ac:dyDescent="0.3">
      <c r="C749" s="18"/>
    </row>
    <row r="750" spans="3:3" ht="15.75" customHeight="1" x14ac:dyDescent="0.3">
      <c r="C750" s="18"/>
    </row>
    <row r="751" spans="3:3" ht="15.75" customHeight="1" x14ac:dyDescent="0.3">
      <c r="C751" s="18"/>
    </row>
    <row r="752" spans="3:3" ht="15.75" customHeight="1" x14ac:dyDescent="0.3">
      <c r="C752" s="18"/>
    </row>
    <row r="753" spans="3:3" ht="15.75" customHeight="1" x14ac:dyDescent="0.3">
      <c r="C753" s="18"/>
    </row>
    <row r="754" spans="3:3" ht="15.75" customHeight="1" x14ac:dyDescent="0.3">
      <c r="C754" s="18"/>
    </row>
    <row r="755" spans="3:3" ht="15.75" customHeight="1" x14ac:dyDescent="0.3">
      <c r="C755" s="18"/>
    </row>
    <row r="756" spans="3:3" ht="15.75" customHeight="1" x14ac:dyDescent="0.3">
      <c r="C756" s="18"/>
    </row>
    <row r="757" spans="3:3" ht="15.75" customHeight="1" x14ac:dyDescent="0.3">
      <c r="C757" s="18"/>
    </row>
    <row r="758" spans="3:3" ht="15.75" customHeight="1" x14ac:dyDescent="0.3">
      <c r="C758" s="18"/>
    </row>
    <row r="759" spans="3:3" ht="15.75" customHeight="1" x14ac:dyDescent="0.3">
      <c r="C759" s="18"/>
    </row>
    <row r="760" spans="3:3" ht="15.75" customHeight="1" x14ac:dyDescent="0.3">
      <c r="C760" s="18"/>
    </row>
    <row r="761" spans="3:3" ht="15.75" customHeight="1" x14ac:dyDescent="0.3">
      <c r="C761" s="18"/>
    </row>
    <row r="762" spans="3:3" ht="15.75" customHeight="1" x14ac:dyDescent="0.3">
      <c r="C762" s="18"/>
    </row>
    <row r="763" spans="3:3" ht="15.75" customHeight="1" x14ac:dyDescent="0.3">
      <c r="C763" s="18"/>
    </row>
    <row r="764" spans="3:3" ht="15.75" customHeight="1" x14ac:dyDescent="0.3">
      <c r="C764" s="18"/>
    </row>
    <row r="765" spans="3:3" ht="15.75" customHeight="1" x14ac:dyDescent="0.3">
      <c r="C765" s="18"/>
    </row>
    <row r="766" spans="3:3" ht="15.75" customHeight="1" x14ac:dyDescent="0.3">
      <c r="C766" s="18"/>
    </row>
    <row r="767" spans="3:3" ht="15.75" customHeight="1" x14ac:dyDescent="0.3">
      <c r="C767" s="18"/>
    </row>
    <row r="768" spans="3:3" ht="15.75" customHeight="1" x14ac:dyDescent="0.3">
      <c r="C768" s="18"/>
    </row>
    <row r="769" spans="3:3" ht="15.75" customHeight="1" x14ac:dyDescent="0.3">
      <c r="C769" s="18"/>
    </row>
    <row r="770" spans="3:3" ht="15.75" customHeight="1" x14ac:dyDescent="0.3">
      <c r="C770" s="18"/>
    </row>
    <row r="771" spans="3:3" ht="15.75" customHeight="1" x14ac:dyDescent="0.3">
      <c r="C771" s="18"/>
    </row>
    <row r="772" spans="3:3" ht="15.75" customHeight="1" x14ac:dyDescent="0.3">
      <c r="C772" s="18"/>
    </row>
    <row r="773" spans="3:3" ht="15.75" customHeight="1" x14ac:dyDescent="0.3">
      <c r="C773" s="18"/>
    </row>
    <row r="774" spans="3:3" ht="15.75" customHeight="1" x14ac:dyDescent="0.3">
      <c r="C774" s="18"/>
    </row>
    <row r="775" spans="3:3" ht="15.75" customHeight="1" x14ac:dyDescent="0.3">
      <c r="C775" s="18"/>
    </row>
    <row r="776" spans="3:3" ht="15.75" customHeight="1" x14ac:dyDescent="0.3">
      <c r="C776" s="18"/>
    </row>
    <row r="777" spans="3:3" ht="15.75" customHeight="1" x14ac:dyDescent="0.3">
      <c r="C777" s="18"/>
    </row>
    <row r="778" spans="3:3" ht="15.75" customHeight="1" x14ac:dyDescent="0.3">
      <c r="C778" s="18"/>
    </row>
    <row r="779" spans="3:3" ht="15.75" customHeight="1" x14ac:dyDescent="0.3">
      <c r="C779" s="18"/>
    </row>
    <row r="780" spans="3:3" ht="15.75" customHeight="1" x14ac:dyDescent="0.3">
      <c r="C780" s="18"/>
    </row>
    <row r="781" spans="3:3" ht="15.75" customHeight="1" x14ac:dyDescent="0.3">
      <c r="C781" s="18"/>
    </row>
    <row r="782" spans="3:3" ht="15.75" customHeight="1" x14ac:dyDescent="0.3">
      <c r="C782" s="18"/>
    </row>
    <row r="783" spans="3:3" ht="15.75" customHeight="1" x14ac:dyDescent="0.3">
      <c r="C783" s="18"/>
    </row>
    <row r="784" spans="3:3" ht="15.75" customHeight="1" x14ac:dyDescent="0.3">
      <c r="C784" s="18"/>
    </row>
    <row r="785" spans="3:3" ht="15.75" customHeight="1" x14ac:dyDescent="0.3">
      <c r="C785" s="18"/>
    </row>
    <row r="786" spans="3:3" ht="15.75" customHeight="1" x14ac:dyDescent="0.3">
      <c r="C786" s="18"/>
    </row>
    <row r="787" spans="3:3" ht="15.75" customHeight="1" x14ac:dyDescent="0.3">
      <c r="C787" s="18"/>
    </row>
    <row r="788" spans="3:3" ht="15.75" customHeight="1" x14ac:dyDescent="0.3">
      <c r="C788" s="18"/>
    </row>
    <row r="789" spans="3:3" ht="15.75" customHeight="1" x14ac:dyDescent="0.3">
      <c r="C789" s="18"/>
    </row>
    <row r="790" spans="3:3" ht="15.75" customHeight="1" x14ac:dyDescent="0.3">
      <c r="C790" s="18"/>
    </row>
    <row r="791" spans="3:3" ht="15.75" customHeight="1" x14ac:dyDescent="0.3">
      <c r="C791" s="18"/>
    </row>
    <row r="792" spans="3:3" ht="15.75" customHeight="1" x14ac:dyDescent="0.3">
      <c r="C792" s="18"/>
    </row>
    <row r="793" spans="3:3" ht="15.75" customHeight="1" x14ac:dyDescent="0.3">
      <c r="C793" s="18"/>
    </row>
    <row r="794" spans="3:3" ht="15.75" customHeight="1" x14ac:dyDescent="0.3">
      <c r="C794" s="18"/>
    </row>
    <row r="795" spans="3:3" ht="15.75" customHeight="1" x14ac:dyDescent="0.3">
      <c r="C795" s="18"/>
    </row>
    <row r="796" spans="3:3" ht="15.75" customHeight="1" x14ac:dyDescent="0.3">
      <c r="C796" s="18"/>
    </row>
    <row r="797" spans="3:3" ht="15.75" customHeight="1" x14ac:dyDescent="0.3">
      <c r="C797" s="18"/>
    </row>
    <row r="798" spans="3:3" ht="15.75" customHeight="1" x14ac:dyDescent="0.3">
      <c r="C798" s="18"/>
    </row>
    <row r="799" spans="3:3" ht="15.75" customHeight="1" x14ac:dyDescent="0.3">
      <c r="C799" s="18"/>
    </row>
    <row r="800" spans="3:3" ht="15.75" customHeight="1" x14ac:dyDescent="0.3">
      <c r="C800" s="18"/>
    </row>
    <row r="801" spans="3:3" ht="15.75" customHeight="1" x14ac:dyDescent="0.3">
      <c r="C801" s="18"/>
    </row>
    <row r="802" spans="3:3" ht="15.75" customHeight="1" x14ac:dyDescent="0.3">
      <c r="C802" s="18"/>
    </row>
    <row r="803" spans="3:3" ht="15.75" customHeight="1" x14ac:dyDescent="0.3">
      <c r="C803" s="18"/>
    </row>
    <row r="804" spans="3:3" ht="15.75" customHeight="1" x14ac:dyDescent="0.3">
      <c r="C804" s="18"/>
    </row>
    <row r="805" spans="3:3" ht="15.75" customHeight="1" x14ac:dyDescent="0.3">
      <c r="C805" s="18"/>
    </row>
    <row r="806" spans="3:3" ht="15.75" customHeight="1" x14ac:dyDescent="0.3">
      <c r="C806" s="18"/>
    </row>
    <row r="807" spans="3:3" ht="15.75" customHeight="1" x14ac:dyDescent="0.3">
      <c r="C807" s="18"/>
    </row>
    <row r="808" spans="3:3" ht="15.75" customHeight="1" x14ac:dyDescent="0.3">
      <c r="C808" s="18"/>
    </row>
    <row r="809" spans="3:3" ht="15.75" customHeight="1" x14ac:dyDescent="0.3">
      <c r="C809" s="18"/>
    </row>
    <row r="810" spans="3:3" ht="15.75" customHeight="1" x14ac:dyDescent="0.3">
      <c r="C810" s="18"/>
    </row>
    <row r="811" spans="3:3" ht="15.75" customHeight="1" x14ac:dyDescent="0.3">
      <c r="C811" s="18"/>
    </row>
    <row r="812" spans="3:3" ht="15.75" customHeight="1" x14ac:dyDescent="0.3">
      <c r="C812" s="18"/>
    </row>
    <row r="813" spans="3:3" ht="15.75" customHeight="1" x14ac:dyDescent="0.3">
      <c r="C813" s="18"/>
    </row>
    <row r="814" spans="3:3" ht="15.75" customHeight="1" x14ac:dyDescent="0.3">
      <c r="C814" s="18"/>
    </row>
    <row r="815" spans="3:3" ht="15.75" customHeight="1" x14ac:dyDescent="0.3">
      <c r="C815" s="18"/>
    </row>
    <row r="816" spans="3:3" ht="15.75" customHeight="1" x14ac:dyDescent="0.3">
      <c r="C816" s="18"/>
    </row>
    <row r="817" spans="3:3" ht="15.75" customHeight="1" x14ac:dyDescent="0.3">
      <c r="C817" s="18"/>
    </row>
    <row r="818" spans="3:3" ht="15.75" customHeight="1" x14ac:dyDescent="0.3">
      <c r="C818" s="18"/>
    </row>
    <row r="819" spans="3:3" ht="15.75" customHeight="1" x14ac:dyDescent="0.3">
      <c r="C819" s="18"/>
    </row>
    <row r="820" spans="3:3" ht="15.75" customHeight="1" x14ac:dyDescent="0.3">
      <c r="C820" s="18"/>
    </row>
    <row r="821" spans="3:3" ht="15.75" customHeight="1" x14ac:dyDescent="0.3">
      <c r="C821" s="18"/>
    </row>
    <row r="822" spans="3:3" ht="15.75" customHeight="1" x14ac:dyDescent="0.3">
      <c r="C822" s="18"/>
    </row>
    <row r="823" spans="3:3" ht="15.75" customHeight="1" x14ac:dyDescent="0.3">
      <c r="C823" s="18"/>
    </row>
    <row r="824" spans="3:3" ht="15.75" customHeight="1" x14ac:dyDescent="0.3">
      <c r="C824" s="18"/>
    </row>
    <row r="825" spans="3:3" ht="15.75" customHeight="1" x14ac:dyDescent="0.3">
      <c r="C825" s="18"/>
    </row>
    <row r="826" spans="3:3" ht="15.75" customHeight="1" x14ac:dyDescent="0.3">
      <c r="C826" s="18"/>
    </row>
    <row r="827" spans="3:3" ht="15.75" customHeight="1" x14ac:dyDescent="0.3">
      <c r="C827" s="18"/>
    </row>
    <row r="828" spans="3:3" ht="15.75" customHeight="1" x14ac:dyDescent="0.3">
      <c r="C828" s="18"/>
    </row>
    <row r="829" spans="3:3" ht="15.75" customHeight="1" x14ac:dyDescent="0.3">
      <c r="C829" s="18"/>
    </row>
    <row r="830" spans="3:3" ht="15.75" customHeight="1" x14ac:dyDescent="0.3">
      <c r="C830" s="18"/>
    </row>
    <row r="831" spans="3:3" ht="15.75" customHeight="1" x14ac:dyDescent="0.3">
      <c r="C831" s="18"/>
    </row>
    <row r="832" spans="3:3" ht="15.75" customHeight="1" x14ac:dyDescent="0.3">
      <c r="C832" s="18"/>
    </row>
    <row r="833" spans="3:3" ht="15.75" customHeight="1" x14ac:dyDescent="0.3">
      <c r="C833" s="18"/>
    </row>
    <row r="834" spans="3:3" ht="15.75" customHeight="1" x14ac:dyDescent="0.3">
      <c r="C834" s="18"/>
    </row>
    <row r="835" spans="3:3" ht="15.75" customHeight="1" x14ac:dyDescent="0.3">
      <c r="C835" s="18"/>
    </row>
    <row r="836" spans="3:3" ht="15.75" customHeight="1" x14ac:dyDescent="0.3">
      <c r="C836" s="18"/>
    </row>
    <row r="837" spans="3:3" ht="15.75" customHeight="1" x14ac:dyDescent="0.3">
      <c r="C837" s="18"/>
    </row>
    <row r="838" spans="3:3" ht="15.75" customHeight="1" x14ac:dyDescent="0.3">
      <c r="C838" s="18"/>
    </row>
    <row r="839" spans="3:3" ht="15.75" customHeight="1" x14ac:dyDescent="0.3">
      <c r="C839" s="18"/>
    </row>
    <row r="840" spans="3:3" ht="15.75" customHeight="1" x14ac:dyDescent="0.3">
      <c r="C840" s="18"/>
    </row>
    <row r="841" spans="3:3" ht="15.75" customHeight="1" x14ac:dyDescent="0.3">
      <c r="C841" s="18"/>
    </row>
    <row r="842" spans="3:3" ht="15.75" customHeight="1" x14ac:dyDescent="0.3">
      <c r="C842" s="18"/>
    </row>
    <row r="843" spans="3:3" ht="15.75" customHeight="1" x14ac:dyDescent="0.3">
      <c r="C843" s="18"/>
    </row>
    <row r="844" spans="3:3" ht="15.75" customHeight="1" x14ac:dyDescent="0.3">
      <c r="C844" s="18"/>
    </row>
    <row r="845" spans="3:3" ht="15.75" customHeight="1" x14ac:dyDescent="0.3">
      <c r="C845" s="18"/>
    </row>
    <row r="846" spans="3:3" ht="15.75" customHeight="1" x14ac:dyDescent="0.3">
      <c r="C846" s="18"/>
    </row>
    <row r="847" spans="3:3" ht="15.75" customHeight="1" x14ac:dyDescent="0.3">
      <c r="C847" s="18"/>
    </row>
    <row r="848" spans="3:3" ht="15.75" customHeight="1" x14ac:dyDescent="0.3">
      <c r="C848" s="18"/>
    </row>
    <row r="849" spans="3:3" ht="15.75" customHeight="1" x14ac:dyDescent="0.3">
      <c r="C849" s="18"/>
    </row>
    <row r="850" spans="3:3" ht="15.75" customHeight="1" x14ac:dyDescent="0.3">
      <c r="C850" s="18"/>
    </row>
    <row r="851" spans="3:3" ht="15.75" customHeight="1" x14ac:dyDescent="0.3">
      <c r="C851" s="18"/>
    </row>
    <row r="852" spans="3:3" ht="15.75" customHeight="1" x14ac:dyDescent="0.3">
      <c r="C852" s="18"/>
    </row>
    <row r="853" spans="3:3" ht="15.75" customHeight="1" x14ac:dyDescent="0.3">
      <c r="C853" s="18"/>
    </row>
    <row r="854" spans="3:3" ht="15.75" customHeight="1" x14ac:dyDescent="0.3">
      <c r="C854" s="18"/>
    </row>
    <row r="855" spans="3:3" ht="15.75" customHeight="1" x14ac:dyDescent="0.3">
      <c r="C855" s="18"/>
    </row>
    <row r="856" spans="3:3" ht="15.75" customHeight="1" x14ac:dyDescent="0.3">
      <c r="C856" s="18"/>
    </row>
    <row r="857" spans="3:3" ht="15.75" customHeight="1" x14ac:dyDescent="0.3">
      <c r="C857" s="18"/>
    </row>
    <row r="858" spans="3:3" ht="15.75" customHeight="1" x14ac:dyDescent="0.3">
      <c r="C858" s="18"/>
    </row>
    <row r="859" spans="3:3" ht="15.75" customHeight="1" x14ac:dyDescent="0.3">
      <c r="C859" s="18"/>
    </row>
    <row r="860" spans="3:3" ht="15.75" customHeight="1" x14ac:dyDescent="0.3">
      <c r="C860" s="18"/>
    </row>
    <row r="861" spans="3:3" ht="15.75" customHeight="1" x14ac:dyDescent="0.3">
      <c r="C861" s="18"/>
    </row>
    <row r="862" spans="3:3" ht="15.75" customHeight="1" x14ac:dyDescent="0.3">
      <c r="C862" s="18"/>
    </row>
    <row r="863" spans="3:3" ht="15.75" customHeight="1" x14ac:dyDescent="0.3">
      <c r="C863" s="18"/>
    </row>
    <row r="864" spans="3:3" ht="15.75" customHeight="1" x14ac:dyDescent="0.3">
      <c r="C864" s="18"/>
    </row>
    <row r="865" spans="3:3" ht="15.75" customHeight="1" x14ac:dyDescent="0.3">
      <c r="C865" s="18"/>
    </row>
    <row r="866" spans="3:3" ht="15.75" customHeight="1" x14ac:dyDescent="0.3">
      <c r="C866" s="18"/>
    </row>
    <row r="867" spans="3:3" ht="15.75" customHeight="1" x14ac:dyDescent="0.3">
      <c r="C867" s="18"/>
    </row>
    <row r="868" spans="3:3" ht="15.75" customHeight="1" x14ac:dyDescent="0.3">
      <c r="C868" s="18"/>
    </row>
    <row r="869" spans="3:3" ht="15.75" customHeight="1" x14ac:dyDescent="0.3">
      <c r="C869" s="18"/>
    </row>
    <row r="870" spans="3:3" ht="15.75" customHeight="1" x14ac:dyDescent="0.3">
      <c r="C870" s="18"/>
    </row>
    <row r="871" spans="3:3" ht="15.75" customHeight="1" x14ac:dyDescent="0.3">
      <c r="C871" s="18"/>
    </row>
    <row r="872" spans="3:3" ht="15.75" customHeight="1" x14ac:dyDescent="0.3">
      <c r="C872" s="18"/>
    </row>
    <row r="873" spans="3:3" ht="15.75" customHeight="1" x14ac:dyDescent="0.3">
      <c r="C873" s="18"/>
    </row>
    <row r="874" spans="3:3" ht="15.75" customHeight="1" x14ac:dyDescent="0.3">
      <c r="C874" s="18"/>
    </row>
    <row r="875" spans="3:3" ht="15.75" customHeight="1" x14ac:dyDescent="0.3">
      <c r="C875" s="18"/>
    </row>
    <row r="876" spans="3:3" ht="15.75" customHeight="1" x14ac:dyDescent="0.3">
      <c r="C876" s="18"/>
    </row>
    <row r="877" spans="3:3" ht="15.75" customHeight="1" x14ac:dyDescent="0.3">
      <c r="C877" s="18"/>
    </row>
    <row r="878" spans="3:3" ht="15.75" customHeight="1" x14ac:dyDescent="0.3">
      <c r="C878" s="18"/>
    </row>
    <row r="879" spans="3:3" ht="15.75" customHeight="1" x14ac:dyDescent="0.3">
      <c r="C879" s="18"/>
    </row>
    <row r="880" spans="3:3" ht="15.75" customHeight="1" x14ac:dyDescent="0.3">
      <c r="C880" s="18"/>
    </row>
    <row r="881" spans="3:3" ht="15.75" customHeight="1" x14ac:dyDescent="0.3">
      <c r="C881" s="18"/>
    </row>
    <row r="882" spans="3:3" ht="15.75" customHeight="1" x14ac:dyDescent="0.3">
      <c r="C882" s="18"/>
    </row>
    <row r="883" spans="3:3" ht="15.75" customHeight="1" x14ac:dyDescent="0.3">
      <c r="C883" s="18"/>
    </row>
    <row r="884" spans="3:3" ht="15.75" customHeight="1" x14ac:dyDescent="0.3">
      <c r="C884" s="18"/>
    </row>
    <row r="885" spans="3:3" ht="15.75" customHeight="1" x14ac:dyDescent="0.3">
      <c r="C885" s="18"/>
    </row>
    <row r="886" spans="3:3" ht="15.75" customHeight="1" x14ac:dyDescent="0.3">
      <c r="C886" s="18"/>
    </row>
    <row r="887" spans="3:3" ht="15.75" customHeight="1" x14ac:dyDescent="0.3">
      <c r="C887" s="18"/>
    </row>
    <row r="888" spans="3:3" ht="15.75" customHeight="1" x14ac:dyDescent="0.3">
      <c r="C888" s="18"/>
    </row>
    <row r="889" spans="3:3" ht="15.75" customHeight="1" x14ac:dyDescent="0.3">
      <c r="C889" s="18"/>
    </row>
    <row r="890" spans="3:3" ht="15.75" customHeight="1" x14ac:dyDescent="0.3">
      <c r="C890" s="18"/>
    </row>
    <row r="891" spans="3:3" ht="15.75" customHeight="1" x14ac:dyDescent="0.3">
      <c r="C891" s="18"/>
    </row>
    <row r="892" spans="3:3" ht="15.75" customHeight="1" x14ac:dyDescent="0.3">
      <c r="C892" s="18"/>
    </row>
    <row r="893" spans="3:3" ht="15.75" customHeight="1" x14ac:dyDescent="0.3">
      <c r="C893" s="18"/>
    </row>
    <row r="894" spans="3:3" ht="15.75" customHeight="1" x14ac:dyDescent="0.3">
      <c r="C894" s="18"/>
    </row>
    <row r="895" spans="3:3" ht="15.75" customHeight="1" x14ac:dyDescent="0.3">
      <c r="C895" s="18"/>
    </row>
    <row r="896" spans="3:3" ht="15.75" customHeight="1" x14ac:dyDescent="0.3">
      <c r="C896" s="18"/>
    </row>
    <row r="897" spans="3:3" ht="15.75" customHeight="1" x14ac:dyDescent="0.3">
      <c r="C897" s="18"/>
    </row>
    <row r="898" spans="3:3" ht="15.75" customHeight="1" x14ac:dyDescent="0.3">
      <c r="C898" s="18"/>
    </row>
    <row r="899" spans="3:3" ht="15.75" customHeight="1" x14ac:dyDescent="0.3">
      <c r="C899" s="18"/>
    </row>
    <row r="900" spans="3:3" ht="15.75" customHeight="1" x14ac:dyDescent="0.3">
      <c r="C900" s="18"/>
    </row>
    <row r="901" spans="3:3" ht="15.75" customHeight="1" x14ac:dyDescent="0.3">
      <c r="C901" s="18"/>
    </row>
    <row r="902" spans="3:3" ht="15.75" customHeight="1" x14ac:dyDescent="0.3">
      <c r="C902" s="18"/>
    </row>
    <row r="903" spans="3:3" ht="15.75" customHeight="1" x14ac:dyDescent="0.3">
      <c r="C903" s="18"/>
    </row>
    <row r="904" spans="3:3" ht="15.75" customHeight="1" x14ac:dyDescent="0.3">
      <c r="C904" s="18"/>
    </row>
    <row r="905" spans="3:3" ht="15.75" customHeight="1" x14ac:dyDescent="0.3">
      <c r="C905" s="18"/>
    </row>
    <row r="906" spans="3:3" ht="15.75" customHeight="1" x14ac:dyDescent="0.3">
      <c r="C906" s="18"/>
    </row>
    <row r="907" spans="3:3" ht="15.75" customHeight="1" x14ac:dyDescent="0.3">
      <c r="C907" s="18"/>
    </row>
    <row r="908" spans="3:3" ht="15.75" customHeight="1" x14ac:dyDescent="0.3">
      <c r="C908" s="18"/>
    </row>
    <row r="909" spans="3:3" ht="15.75" customHeight="1" x14ac:dyDescent="0.3">
      <c r="C909" s="18"/>
    </row>
    <row r="910" spans="3:3" ht="15.75" customHeight="1" x14ac:dyDescent="0.3">
      <c r="C910" s="18"/>
    </row>
    <row r="911" spans="3:3" ht="15.75" customHeight="1" x14ac:dyDescent="0.3">
      <c r="C911" s="18"/>
    </row>
    <row r="912" spans="3:3" ht="15.75" customHeight="1" x14ac:dyDescent="0.3">
      <c r="C912" s="18"/>
    </row>
    <row r="913" spans="3:3" ht="15.75" customHeight="1" x14ac:dyDescent="0.3">
      <c r="C913" s="18"/>
    </row>
    <row r="914" spans="3:3" ht="15.75" customHeight="1" x14ac:dyDescent="0.3">
      <c r="C914" s="18"/>
    </row>
    <row r="915" spans="3:3" ht="15.75" customHeight="1" x14ac:dyDescent="0.3">
      <c r="C915" s="18"/>
    </row>
    <row r="916" spans="3:3" ht="15.75" customHeight="1" x14ac:dyDescent="0.3">
      <c r="C916" s="18"/>
    </row>
    <row r="917" spans="3:3" ht="15.75" customHeight="1" x14ac:dyDescent="0.3">
      <c r="C917" s="18"/>
    </row>
    <row r="918" spans="3:3" ht="15.75" customHeight="1" x14ac:dyDescent="0.3">
      <c r="C918" s="18"/>
    </row>
    <row r="919" spans="3:3" ht="15.75" customHeight="1" x14ac:dyDescent="0.3">
      <c r="C919" s="18"/>
    </row>
    <row r="920" spans="3:3" ht="15.75" customHeight="1" x14ac:dyDescent="0.3">
      <c r="C920" s="18"/>
    </row>
    <row r="921" spans="3:3" ht="15.75" customHeight="1" x14ac:dyDescent="0.3">
      <c r="C921" s="18"/>
    </row>
    <row r="922" spans="3:3" ht="15.75" customHeight="1" x14ac:dyDescent="0.3">
      <c r="C922" s="18"/>
    </row>
    <row r="923" spans="3:3" ht="15.75" customHeight="1" x14ac:dyDescent="0.3">
      <c r="C923" s="18"/>
    </row>
    <row r="924" spans="3:3" ht="15.75" customHeight="1" x14ac:dyDescent="0.3">
      <c r="C924" s="18"/>
    </row>
    <row r="925" spans="3:3" ht="15.75" customHeight="1" x14ac:dyDescent="0.3">
      <c r="C925" s="18"/>
    </row>
    <row r="926" spans="3:3" ht="15.75" customHeight="1" x14ac:dyDescent="0.3">
      <c r="C926" s="18"/>
    </row>
    <row r="927" spans="3:3" ht="15.75" customHeight="1" x14ac:dyDescent="0.3">
      <c r="C927" s="18"/>
    </row>
    <row r="928" spans="3:3" ht="15.75" customHeight="1" x14ac:dyDescent="0.3">
      <c r="C928" s="18"/>
    </row>
    <row r="929" spans="3:3" ht="15.75" customHeight="1" x14ac:dyDescent="0.3">
      <c r="C929" s="18"/>
    </row>
    <row r="930" spans="3:3" ht="15.75" customHeight="1" x14ac:dyDescent="0.3">
      <c r="C930" s="18"/>
    </row>
    <row r="931" spans="3:3" ht="15.75" customHeight="1" x14ac:dyDescent="0.3">
      <c r="C931" s="18"/>
    </row>
    <row r="932" spans="3:3" ht="15.75" customHeight="1" x14ac:dyDescent="0.3">
      <c r="C932" s="18"/>
    </row>
    <row r="933" spans="3:3" ht="15.75" customHeight="1" x14ac:dyDescent="0.3">
      <c r="C933" s="18"/>
    </row>
    <row r="934" spans="3:3" ht="15.75" customHeight="1" x14ac:dyDescent="0.3">
      <c r="C934" s="18"/>
    </row>
    <row r="935" spans="3:3" ht="15.75" customHeight="1" x14ac:dyDescent="0.3">
      <c r="C935" s="18"/>
    </row>
    <row r="936" spans="3:3" ht="15.75" customHeight="1" x14ac:dyDescent="0.3">
      <c r="C936" s="18"/>
    </row>
    <row r="937" spans="3:3" ht="15.75" customHeight="1" x14ac:dyDescent="0.3">
      <c r="C937" s="18"/>
    </row>
    <row r="938" spans="3:3" ht="15.75" customHeight="1" x14ac:dyDescent="0.3">
      <c r="C938" s="18"/>
    </row>
    <row r="939" spans="3:3" ht="15.75" customHeight="1" x14ac:dyDescent="0.3">
      <c r="C939" s="18"/>
    </row>
    <row r="940" spans="3:3" ht="15.75" customHeight="1" x14ac:dyDescent="0.3">
      <c r="C940" s="18"/>
    </row>
    <row r="941" spans="3:3" ht="15.75" customHeight="1" x14ac:dyDescent="0.3">
      <c r="C941" s="18"/>
    </row>
    <row r="942" spans="3:3" ht="15.75" customHeight="1" x14ac:dyDescent="0.3">
      <c r="C942" s="18"/>
    </row>
    <row r="943" spans="3:3" ht="15.75" customHeight="1" x14ac:dyDescent="0.3">
      <c r="C943" s="18"/>
    </row>
    <row r="944" spans="3:3" ht="15.75" customHeight="1" x14ac:dyDescent="0.3">
      <c r="C944" s="18"/>
    </row>
    <row r="945" spans="3:3" ht="15.75" customHeight="1" x14ac:dyDescent="0.3">
      <c r="C945" s="18"/>
    </row>
    <row r="946" spans="3:3" ht="15.75" customHeight="1" x14ac:dyDescent="0.3">
      <c r="C946" s="18"/>
    </row>
    <row r="947" spans="3:3" ht="15.75" customHeight="1" x14ac:dyDescent="0.3">
      <c r="C947" s="18"/>
    </row>
    <row r="948" spans="3:3" ht="15.75" customHeight="1" x14ac:dyDescent="0.3">
      <c r="C948" s="18"/>
    </row>
    <row r="949" spans="3:3" ht="15.75" customHeight="1" x14ac:dyDescent="0.3">
      <c r="C949" s="18"/>
    </row>
    <row r="950" spans="3:3" ht="15.75" customHeight="1" x14ac:dyDescent="0.3">
      <c r="C950" s="18"/>
    </row>
    <row r="951" spans="3:3" ht="15.75" customHeight="1" x14ac:dyDescent="0.3">
      <c r="C951" s="18"/>
    </row>
    <row r="952" spans="3:3" ht="15.75" customHeight="1" x14ac:dyDescent="0.3">
      <c r="C952" s="18"/>
    </row>
    <row r="953" spans="3:3" ht="15.75" customHeight="1" x14ac:dyDescent="0.3">
      <c r="C953" s="18"/>
    </row>
    <row r="954" spans="3:3" ht="15.75" customHeight="1" x14ac:dyDescent="0.3">
      <c r="C954" s="18"/>
    </row>
    <row r="955" spans="3:3" ht="15.75" customHeight="1" x14ac:dyDescent="0.3">
      <c r="C955" s="18"/>
    </row>
    <row r="956" spans="3:3" ht="15.75" customHeight="1" x14ac:dyDescent="0.3">
      <c r="C956" s="18"/>
    </row>
    <row r="957" spans="3:3" ht="15.75" customHeight="1" x14ac:dyDescent="0.3">
      <c r="C957" s="18"/>
    </row>
    <row r="958" spans="3:3" ht="15.75" customHeight="1" x14ac:dyDescent="0.3">
      <c r="C958" s="18"/>
    </row>
    <row r="959" spans="3:3" ht="15.75" customHeight="1" x14ac:dyDescent="0.3">
      <c r="C959" s="18"/>
    </row>
    <row r="960" spans="3:3" ht="15.75" customHeight="1" x14ac:dyDescent="0.3">
      <c r="C960" s="18"/>
    </row>
    <row r="961" spans="3:3" ht="15.75" customHeight="1" x14ac:dyDescent="0.3">
      <c r="C961" s="18"/>
    </row>
    <row r="962" spans="3:3" ht="15.75" customHeight="1" x14ac:dyDescent="0.3">
      <c r="C962" s="18"/>
    </row>
    <row r="963" spans="3:3" ht="15.75" customHeight="1" x14ac:dyDescent="0.3">
      <c r="C963" s="18"/>
    </row>
    <row r="964" spans="3:3" ht="15.75" customHeight="1" x14ac:dyDescent="0.3">
      <c r="C964" s="18"/>
    </row>
    <row r="965" spans="3:3" ht="15.75" customHeight="1" x14ac:dyDescent="0.3">
      <c r="C965" s="18"/>
    </row>
    <row r="966" spans="3:3" ht="15.75" customHeight="1" x14ac:dyDescent="0.3">
      <c r="C966" s="18"/>
    </row>
    <row r="967" spans="3:3" ht="15.75" customHeight="1" x14ac:dyDescent="0.3">
      <c r="C967" s="18"/>
    </row>
    <row r="968" spans="3:3" ht="15.75" customHeight="1" x14ac:dyDescent="0.3">
      <c r="C968" s="18"/>
    </row>
    <row r="969" spans="3:3" ht="15.75" customHeight="1" x14ac:dyDescent="0.3">
      <c r="C969" s="18"/>
    </row>
    <row r="970" spans="3:3" ht="15.75" customHeight="1" x14ac:dyDescent="0.3">
      <c r="C970" s="18"/>
    </row>
    <row r="971" spans="3:3" ht="15.75" customHeight="1" x14ac:dyDescent="0.3">
      <c r="C971" s="18"/>
    </row>
    <row r="972" spans="3:3" ht="15.75" customHeight="1" x14ac:dyDescent="0.3">
      <c r="C972" s="18"/>
    </row>
    <row r="973" spans="3:3" ht="15.75" customHeight="1" x14ac:dyDescent="0.3">
      <c r="C973" s="18"/>
    </row>
    <row r="974" spans="3:3" ht="15.75" customHeight="1" x14ac:dyDescent="0.3">
      <c r="C974" s="18"/>
    </row>
    <row r="975" spans="3:3" ht="15.75" customHeight="1" x14ac:dyDescent="0.3">
      <c r="C975" s="18"/>
    </row>
    <row r="976" spans="3:3" ht="15.75" customHeight="1" x14ac:dyDescent="0.3">
      <c r="C976" s="18"/>
    </row>
    <row r="977" spans="3:3" ht="15.75" customHeight="1" x14ac:dyDescent="0.3">
      <c r="C977" s="18"/>
    </row>
    <row r="978" spans="3:3" ht="15.75" customHeight="1" x14ac:dyDescent="0.3">
      <c r="C978" s="18"/>
    </row>
    <row r="979" spans="3:3" ht="15.75" customHeight="1" x14ac:dyDescent="0.3">
      <c r="C979" s="18"/>
    </row>
    <row r="980" spans="3:3" ht="15.75" customHeight="1" x14ac:dyDescent="0.3">
      <c r="C980" s="18"/>
    </row>
    <row r="981" spans="3:3" ht="15.75" customHeight="1" x14ac:dyDescent="0.3">
      <c r="C981" s="18"/>
    </row>
    <row r="982" spans="3:3" ht="15.75" customHeight="1" x14ac:dyDescent="0.3">
      <c r="C982" s="18"/>
    </row>
    <row r="983" spans="3:3" ht="15.75" customHeight="1" x14ac:dyDescent="0.3">
      <c r="C983" s="18"/>
    </row>
    <row r="984" spans="3:3" ht="15.75" customHeight="1" x14ac:dyDescent="0.3">
      <c r="C984" s="18"/>
    </row>
    <row r="985" spans="3:3" ht="15.75" customHeight="1" x14ac:dyDescent="0.3">
      <c r="C985" s="18"/>
    </row>
    <row r="986" spans="3:3" ht="15.75" customHeight="1" x14ac:dyDescent="0.3">
      <c r="C986" s="18"/>
    </row>
    <row r="987" spans="3:3" ht="15.75" customHeight="1" x14ac:dyDescent="0.3">
      <c r="C987" s="18"/>
    </row>
    <row r="988" spans="3:3" ht="15.75" customHeight="1" x14ac:dyDescent="0.3">
      <c r="C988" s="18"/>
    </row>
    <row r="989" spans="3:3" ht="15.75" customHeight="1" x14ac:dyDescent="0.3">
      <c r="C989" s="18"/>
    </row>
    <row r="990" spans="3:3" ht="15.75" customHeight="1" x14ac:dyDescent="0.3">
      <c r="C990" s="18"/>
    </row>
    <row r="991" spans="3:3" ht="15.75" customHeight="1" x14ac:dyDescent="0.3">
      <c r="C991" s="18"/>
    </row>
    <row r="992" spans="3:3" ht="15.75" customHeight="1" x14ac:dyDescent="0.3">
      <c r="C992" s="18"/>
    </row>
    <row r="993" spans="3:3" ht="15.75" customHeight="1" x14ac:dyDescent="0.3">
      <c r="C993" s="18"/>
    </row>
    <row r="994" spans="3:3" ht="15.75" customHeight="1" x14ac:dyDescent="0.3">
      <c r="C994" s="18"/>
    </row>
    <row r="995" spans="3:3" ht="15.75" customHeight="1" x14ac:dyDescent="0.3">
      <c r="C995" s="18"/>
    </row>
    <row r="996" spans="3:3" ht="15.75" customHeight="1" x14ac:dyDescent="0.3">
      <c r="C996" s="18"/>
    </row>
    <row r="997" spans="3:3" ht="15.75" customHeight="1" x14ac:dyDescent="0.3">
      <c r="C997" s="18"/>
    </row>
    <row r="998" spans="3:3" ht="15.75" customHeight="1" x14ac:dyDescent="0.3">
      <c r="C998" s="18"/>
    </row>
    <row r="999" spans="3:3" ht="15.75" customHeight="1" x14ac:dyDescent="0.3">
      <c r="C999" s="18"/>
    </row>
    <row r="1000" spans="3:3" ht="15.75" customHeight="1" x14ac:dyDescent="0.3">
      <c r="C1000" s="18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5F78-707E-4726-B608-64AA9F2F3A00}">
  <sheetPr codeName="Sheet20">
    <tabColor rgb="FF00B050"/>
  </sheetPr>
  <dimension ref="A1:H1000"/>
  <sheetViews>
    <sheetView workbookViewId="0">
      <pane ySplit="1" topLeftCell="A2" activePane="bottomLeft" state="frozen"/>
      <selection activeCell="F17" sqref="F17"/>
      <selection pane="bottomLeft" activeCell="A25" sqref="A25"/>
    </sheetView>
  </sheetViews>
  <sheetFormatPr defaultColWidth="12.44140625" defaultRowHeight="15" customHeight="1" x14ac:dyDescent="0.3"/>
  <cols>
    <col min="1" max="1" width="22.109375" style="2" bestFit="1" customWidth="1"/>
    <col min="2" max="2" width="9.44140625" style="2" bestFit="1" customWidth="1"/>
    <col min="3" max="8" width="10.5546875" style="2" bestFit="1" customWidth="1"/>
    <col min="9" max="26" width="8.6640625" style="2" customWidth="1"/>
    <col min="27" max="16384" width="12.44140625" style="2"/>
  </cols>
  <sheetData>
    <row r="1" spans="1:8" ht="14.4" x14ac:dyDescent="0.3">
      <c r="A1" s="3" t="s">
        <v>20</v>
      </c>
      <c r="B1" s="4" t="s">
        <v>21</v>
      </c>
      <c r="C1" s="4" t="str">
        <f>'OBE Details'!$B$20&amp;"_CO1"</f>
        <v>EC118_CO1</v>
      </c>
      <c r="D1" s="4" t="str">
        <f>'OBE Details'!$B$20&amp;"_CO2"</f>
        <v>EC118_CO2</v>
      </c>
      <c r="E1" s="4" t="str">
        <f>'OBE Details'!$B$20&amp;"_CO3"</f>
        <v>EC118_CO3</v>
      </c>
      <c r="F1" s="4" t="str">
        <f>'OBE Details'!$B$20&amp;"_CO4"</f>
        <v>EC118_CO4</v>
      </c>
      <c r="G1" s="4" t="str">
        <f>'OBE Details'!$B$20&amp;"_CO5"</f>
        <v>EC118_CO5</v>
      </c>
      <c r="H1" s="4" t="str">
        <f>'OBE Details'!$B$20&amp;"_CO6"</f>
        <v>EC118_CO6</v>
      </c>
    </row>
    <row r="2" spans="1:8" ht="14.4" x14ac:dyDescent="0.3">
      <c r="A2" s="96" t="s">
        <v>163</v>
      </c>
      <c r="B2" s="5">
        <v>1</v>
      </c>
      <c r="C2" s="5" t="b">
        <v>1</v>
      </c>
      <c r="D2" s="5" t="b">
        <v>0</v>
      </c>
      <c r="E2" s="5" t="b">
        <v>0</v>
      </c>
      <c r="F2" s="5" t="b">
        <v>0</v>
      </c>
      <c r="G2" s="5" t="b">
        <v>0</v>
      </c>
      <c r="H2" s="5" t="b">
        <v>0</v>
      </c>
    </row>
    <row r="3" spans="1:8" ht="14.4" x14ac:dyDescent="0.3">
      <c r="A3" s="96" t="s">
        <v>164</v>
      </c>
      <c r="B3" s="5">
        <v>1</v>
      </c>
      <c r="C3" s="5" t="b">
        <v>1</v>
      </c>
      <c r="D3" s="5" t="b">
        <v>0</v>
      </c>
      <c r="E3" s="5" t="b">
        <v>0</v>
      </c>
      <c r="F3" s="5" t="b">
        <v>0</v>
      </c>
      <c r="G3" s="5" t="b">
        <v>0</v>
      </c>
      <c r="H3" s="5" t="b">
        <v>0</v>
      </c>
    </row>
    <row r="4" spans="1:8" ht="14.4" x14ac:dyDescent="0.3">
      <c r="A4" s="96" t="s">
        <v>165</v>
      </c>
      <c r="B4" s="5">
        <v>1</v>
      </c>
      <c r="C4" s="5" t="b">
        <v>1</v>
      </c>
      <c r="D4" s="5" t="b">
        <v>0</v>
      </c>
      <c r="E4" s="5" t="b">
        <v>0</v>
      </c>
      <c r="F4" s="5" t="b">
        <v>0</v>
      </c>
      <c r="G4" s="5" t="b">
        <v>0</v>
      </c>
      <c r="H4" s="5" t="b">
        <v>0</v>
      </c>
    </row>
    <row r="5" spans="1:8" ht="14.4" x14ac:dyDescent="0.3">
      <c r="A5" s="96" t="s">
        <v>166</v>
      </c>
      <c r="B5" s="5">
        <v>1</v>
      </c>
      <c r="C5" s="5" t="b">
        <v>1</v>
      </c>
      <c r="D5" s="5" t="b">
        <v>0</v>
      </c>
      <c r="E5" s="5" t="b">
        <v>0</v>
      </c>
      <c r="F5" s="5" t="b">
        <v>0</v>
      </c>
      <c r="G5" s="5" t="b">
        <v>0</v>
      </c>
      <c r="H5" s="5" t="b">
        <v>0</v>
      </c>
    </row>
    <row r="6" spans="1:8" ht="14.4" x14ac:dyDescent="0.3">
      <c r="A6" s="96" t="s">
        <v>167</v>
      </c>
      <c r="B6" s="5">
        <v>1</v>
      </c>
      <c r="C6" s="5" t="b">
        <v>1</v>
      </c>
      <c r="D6" s="5" t="b">
        <v>0</v>
      </c>
      <c r="E6" s="5" t="b">
        <v>0</v>
      </c>
      <c r="F6" s="5" t="b">
        <v>0</v>
      </c>
      <c r="G6" s="5" t="b">
        <v>0</v>
      </c>
      <c r="H6" s="5" t="b">
        <v>0</v>
      </c>
    </row>
    <row r="7" spans="1:8" ht="14.4" x14ac:dyDescent="0.3">
      <c r="A7" s="96" t="s">
        <v>168</v>
      </c>
      <c r="B7" s="5">
        <v>2</v>
      </c>
      <c r="C7" s="5" t="b">
        <v>1</v>
      </c>
      <c r="D7" s="5" t="b">
        <v>0</v>
      </c>
      <c r="E7" s="5" t="b">
        <v>0</v>
      </c>
      <c r="F7" s="5" t="b">
        <v>0</v>
      </c>
      <c r="G7" s="5" t="b">
        <v>0</v>
      </c>
      <c r="H7" s="5" t="b">
        <v>0</v>
      </c>
    </row>
    <row r="8" spans="1:8" ht="14.4" x14ac:dyDescent="0.3">
      <c r="A8" s="96" t="s">
        <v>169</v>
      </c>
      <c r="B8" s="5">
        <v>2</v>
      </c>
      <c r="C8" s="5" t="b">
        <v>1</v>
      </c>
      <c r="D8" s="5" t="b">
        <v>0</v>
      </c>
      <c r="E8" s="5" t="b">
        <v>0</v>
      </c>
      <c r="F8" s="5" t="b">
        <v>0</v>
      </c>
      <c r="G8" s="5" t="b">
        <v>0</v>
      </c>
      <c r="H8" s="5" t="b">
        <v>0</v>
      </c>
    </row>
    <row r="9" spans="1:8" ht="14.4" x14ac:dyDescent="0.3">
      <c r="A9" s="96" t="s">
        <v>170</v>
      </c>
      <c r="B9" s="5">
        <v>2</v>
      </c>
      <c r="C9" s="5" t="b">
        <v>0</v>
      </c>
      <c r="D9" s="5" t="b">
        <v>1</v>
      </c>
      <c r="E9" s="5" t="b">
        <v>0</v>
      </c>
      <c r="F9" s="5" t="b">
        <v>0</v>
      </c>
      <c r="G9" s="5" t="b">
        <v>0</v>
      </c>
      <c r="H9" s="5" t="b">
        <v>0</v>
      </c>
    </row>
    <row r="10" spans="1:8" ht="14.4" x14ac:dyDescent="0.3">
      <c r="A10" s="96" t="s">
        <v>171</v>
      </c>
      <c r="B10" s="5">
        <v>2</v>
      </c>
      <c r="C10" s="5" t="b">
        <v>0</v>
      </c>
      <c r="D10" s="5" t="b">
        <v>1</v>
      </c>
      <c r="E10" s="5" t="b">
        <v>0</v>
      </c>
      <c r="F10" s="5" t="b">
        <v>0</v>
      </c>
      <c r="G10" s="5" t="b">
        <v>0</v>
      </c>
      <c r="H10" s="5" t="b">
        <v>0</v>
      </c>
    </row>
    <row r="11" spans="1:8" ht="14.4" x14ac:dyDescent="0.3">
      <c r="A11" s="96" t="s">
        <v>172</v>
      </c>
      <c r="B11" s="5">
        <v>2</v>
      </c>
      <c r="C11" s="5" t="b">
        <v>0</v>
      </c>
      <c r="D11" s="5" t="b">
        <v>0</v>
      </c>
      <c r="E11" s="5" t="b">
        <v>1</v>
      </c>
      <c r="F11" s="5" t="b">
        <v>0</v>
      </c>
      <c r="G11" s="5" t="b">
        <v>0</v>
      </c>
      <c r="H11" s="5" t="b">
        <v>0</v>
      </c>
    </row>
    <row r="12" spans="1:8" ht="14.4" x14ac:dyDescent="0.3">
      <c r="A12" s="96" t="s">
        <v>173</v>
      </c>
      <c r="B12" s="5">
        <v>2</v>
      </c>
      <c r="C12" s="5" t="b">
        <v>0</v>
      </c>
      <c r="D12" s="5" t="b">
        <v>1</v>
      </c>
      <c r="E12" s="5" t="b">
        <v>0</v>
      </c>
      <c r="F12" s="5" t="b">
        <v>0</v>
      </c>
      <c r="G12" s="5" t="b">
        <v>0</v>
      </c>
      <c r="H12" s="5" t="b">
        <v>0</v>
      </c>
    </row>
    <row r="13" spans="1:8" ht="14.4" x14ac:dyDescent="0.3">
      <c r="A13" s="96" t="s">
        <v>174</v>
      </c>
      <c r="B13" s="5">
        <v>5</v>
      </c>
      <c r="C13" s="5" t="b">
        <v>1</v>
      </c>
      <c r="D13" s="5" t="b">
        <v>0</v>
      </c>
      <c r="E13" s="5" t="b">
        <v>0</v>
      </c>
      <c r="F13" s="5" t="b">
        <v>0</v>
      </c>
      <c r="G13" s="5" t="b">
        <v>0</v>
      </c>
      <c r="H13" s="5" t="b">
        <v>0</v>
      </c>
    </row>
    <row r="14" spans="1:8" ht="14.4" x14ac:dyDescent="0.3">
      <c r="A14" s="96" t="s">
        <v>175</v>
      </c>
      <c r="B14" s="5">
        <v>5</v>
      </c>
      <c r="C14" s="5" t="b">
        <v>0</v>
      </c>
      <c r="D14" s="5" t="b">
        <v>1</v>
      </c>
      <c r="E14" s="5" t="b">
        <v>0</v>
      </c>
      <c r="F14" s="5" t="b">
        <v>0</v>
      </c>
      <c r="G14" s="5" t="b">
        <v>0</v>
      </c>
      <c r="H14" s="5" t="b">
        <v>0</v>
      </c>
    </row>
    <row r="15" spans="1:8" ht="14.4" x14ac:dyDescent="0.3">
      <c r="A15" s="96" t="s">
        <v>176</v>
      </c>
      <c r="B15" s="5">
        <v>5</v>
      </c>
      <c r="C15" s="5" t="b">
        <v>0</v>
      </c>
      <c r="D15" s="5" t="b">
        <v>1</v>
      </c>
      <c r="E15" s="5" t="b">
        <v>0</v>
      </c>
      <c r="F15" s="5" t="b">
        <v>0</v>
      </c>
      <c r="G15" s="5" t="b">
        <v>0</v>
      </c>
      <c r="H15" s="5" t="b">
        <v>0</v>
      </c>
    </row>
    <row r="16" spans="1:8" ht="14.4" x14ac:dyDescent="0.3">
      <c r="A16" s="96" t="s">
        <v>177</v>
      </c>
      <c r="B16" s="5">
        <v>5</v>
      </c>
      <c r="C16" s="5" t="b">
        <v>0</v>
      </c>
      <c r="D16" s="5" t="b">
        <v>1</v>
      </c>
      <c r="E16" s="5" t="b">
        <v>0</v>
      </c>
      <c r="F16" s="5" t="b">
        <v>0</v>
      </c>
      <c r="G16" s="5" t="b">
        <v>0</v>
      </c>
      <c r="H16" s="5" t="b">
        <v>0</v>
      </c>
    </row>
    <row r="17" spans="1:8" ht="14.4" x14ac:dyDescent="0.3">
      <c r="A17" s="96" t="s">
        <v>178</v>
      </c>
      <c r="B17" s="5">
        <v>5</v>
      </c>
      <c r="C17" s="5" t="b">
        <v>1</v>
      </c>
      <c r="D17" s="5" t="b">
        <v>0</v>
      </c>
      <c r="E17" s="5" t="b">
        <v>0</v>
      </c>
      <c r="F17" s="5" t="b">
        <v>0</v>
      </c>
      <c r="G17" s="5" t="b">
        <v>0</v>
      </c>
      <c r="H17" s="5" t="b">
        <v>0</v>
      </c>
    </row>
    <row r="18" spans="1:8" ht="14.4" x14ac:dyDescent="0.3">
      <c r="A18" s="96" t="s">
        <v>179</v>
      </c>
      <c r="B18" s="5">
        <v>5</v>
      </c>
      <c r="C18" s="5" t="b">
        <v>0</v>
      </c>
      <c r="D18" s="5" t="b">
        <v>0</v>
      </c>
      <c r="E18" s="5" t="b">
        <v>1</v>
      </c>
      <c r="F18" s="5" t="b">
        <v>0</v>
      </c>
      <c r="G18" s="5" t="b">
        <v>0</v>
      </c>
      <c r="H18" s="5" t="b">
        <v>0</v>
      </c>
    </row>
    <row r="19" spans="1:8" ht="14.4" x14ac:dyDescent="0.3">
      <c r="A19" s="96" t="s">
        <v>180</v>
      </c>
      <c r="B19" s="5">
        <v>10</v>
      </c>
      <c r="C19" s="5" t="b">
        <v>0</v>
      </c>
      <c r="D19" s="5" t="b">
        <v>0</v>
      </c>
      <c r="E19" s="5" t="b">
        <v>0</v>
      </c>
      <c r="F19" s="5" t="b">
        <v>0</v>
      </c>
      <c r="G19" s="5" t="b">
        <v>0</v>
      </c>
      <c r="H19" s="5" t="b">
        <v>0</v>
      </c>
    </row>
    <row r="20" spans="1:8" ht="14.4" x14ac:dyDescent="0.3">
      <c r="A20" s="96" t="s">
        <v>181</v>
      </c>
      <c r="B20" s="5">
        <v>10</v>
      </c>
      <c r="C20" s="5" t="b">
        <v>0</v>
      </c>
      <c r="D20" s="5" t="b">
        <v>0</v>
      </c>
      <c r="E20" s="5" t="b">
        <v>0</v>
      </c>
      <c r="F20" s="5" t="b">
        <v>0</v>
      </c>
      <c r="G20" s="5" t="b">
        <v>0</v>
      </c>
      <c r="H20" s="5" t="b">
        <v>0</v>
      </c>
    </row>
    <row r="21" spans="1:8" ht="15.75" customHeight="1" x14ac:dyDescent="0.3">
      <c r="A21" s="96" t="s">
        <v>182</v>
      </c>
      <c r="B21" s="5">
        <v>10</v>
      </c>
      <c r="C21" s="5" t="b">
        <v>0</v>
      </c>
      <c r="D21" s="5" t="b">
        <v>0</v>
      </c>
      <c r="E21" s="5" t="b">
        <v>0</v>
      </c>
      <c r="F21" s="5" t="b">
        <v>0</v>
      </c>
      <c r="G21" s="5" t="b">
        <v>0</v>
      </c>
      <c r="H21" s="5" t="b">
        <v>0</v>
      </c>
    </row>
    <row r="22" spans="1:8" ht="15.75" customHeight="1" x14ac:dyDescent="0.3">
      <c r="A22" s="96" t="s">
        <v>183</v>
      </c>
      <c r="B22" s="5">
        <v>10</v>
      </c>
      <c r="C22" s="5" t="b">
        <v>0</v>
      </c>
      <c r="D22" s="5" t="b">
        <v>0</v>
      </c>
      <c r="E22" s="5" t="b">
        <v>0</v>
      </c>
      <c r="F22" s="5" t="b">
        <v>0</v>
      </c>
      <c r="G22" s="5" t="b">
        <v>0</v>
      </c>
      <c r="H22" s="5" t="b">
        <v>0</v>
      </c>
    </row>
    <row r="23" spans="1:8" ht="15.75" customHeight="1" x14ac:dyDescent="0.3">
      <c r="A23" s="96" t="s">
        <v>184</v>
      </c>
      <c r="B23" s="5">
        <v>15</v>
      </c>
      <c r="C23" s="5" t="b">
        <v>0</v>
      </c>
      <c r="D23" s="5" t="b">
        <v>0</v>
      </c>
      <c r="E23" s="5" t="b">
        <v>0</v>
      </c>
      <c r="F23" s="5" t="b">
        <v>0</v>
      </c>
      <c r="G23" s="5" t="b">
        <v>0</v>
      </c>
      <c r="H23" s="5" t="b">
        <v>0</v>
      </c>
    </row>
    <row r="24" spans="1:8" ht="15.75" customHeight="1" x14ac:dyDescent="0.3">
      <c r="A24" s="96" t="s">
        <v>185</v>
      </c>
      <c r="B24" s="5">
        <v>15</v>
      </c>
      <c r="C24" s="5" t="b">
        <v>0</v>
      </c>
      <c r="D24" s="5" t="b">
        <v>0</v>
      </c>
      <c r="E24" s="5" t="b">
        <v>0</v>
      </c>
      <c r="F24" s="5" t="b">
        <v>0</v>
      </c>
      <c r="G24" s="5" t="b">
        <v>0</v>
      </c>
      <c r="H24" s="5" t="b">
        <v>0</v>
      </c>
    </row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12" type="noConversion"/>
  <dataValidations count="3">
    <dataValidation type="list" allowBlank="1" showDropDown="1" showErrorMessage="1" sqref="D2:H24" xr:uid="{986A2FC6-8517-4770-AF84-7B431EDEE6C8}">
      <formula1>"FALSE,TRUE"</formula1>
    </dataValidation>
    <dataValidation type="custom" allowBlank="1" showDropDown="1" sqref="B2:B24" xr:uid="{640F9124-99B6-4AC5-808F-AB15CFC9EFDD}">
      <formula1>AND(ISNUMBER(B2),(NOT(OR(NOT(ISERROR(DATEVALUE(B2))), AND(ISNUMBER(B2), LEFT(CELL("format", B2))="D")))))</formula1>
    </dataValidation>
    <dataValidation type="list" allowBlank="1" showDropDown="1" showErrorMessage="1" sqref="C2:C24" xr:uid="{FC2BA10B-AA64-4F82-A5CA-A70F972FEC61}">
      <formula1>"TRUE,FALSE"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CBE5A-DF8D-4741-A685-246D32C57DCB}">
  <sheetPr codeName="Sheet21">
    <tabColor rgb="FF00B050"/>
  </sheetPr>
  <dimension ref="A1:AK1000"/>
  <sheetViews>
    <sheetView topLeftCell="Y1" workbookViewId="0">
      <selection activeCell="AJ3" sqref="AJ3"/>
    </sheetView>
  </sheetViews>
  <sheetFormatPr defaultColWidth="12.44140625" defaultRowHeight="15" customHeight="1" x14ac:dyDescent="0.3"/>
  <cols>
    <col min="1" max="1" width="5.21875" style="2" bestFit="1" customWidth="1"/>
    <col min="2" max="2" width="20.44140625" style="2" bestFit="1" customWidth="1"/>
    <col min="3" max="3" width="26.77734375" style="2" bestFit="1" customWidth="1"/>
    <col min="4" max="4" width="14.44140625" style="2" bestFit="1" customWidth="1"/>
    <col min="5" max="5" width="11.33203125" style="2" bestFit="1" customWidth="1"/>
    <col min="6" max="6" width="20.5546875" style="2" bestFit="1" customWidth="1"/>
    <col min="7" max="7" width="26.21875" style="2" bestFit="1" customWidth="1"/>
    <col min="8" max="8" width="13.21875" style="2" bestFit="1" customWidth="1"/>
    <col min="9" max="9" width="15.88671875" style="2" bestFit="1" customWidth="1"/>
    <col min="10" max="10" width="16.88671875" style="2" bestFit="1" customWidth="1"/>
    <col min="11" max="11" width="14" style="2" bestFit="1" customWidth="1"/>
    <col min="12" max="12" width="20.44140625" style="2" bestFit="1" customWidth="1"/>
    <col min="13" max="17" width="12.44140625" style="2" bestFit="1" customWidth="1"/>
    <col min="18" max="25" width="12.77734375" style="2" bestFit="1" customWidth="1"/>
    <col min="26" max="32" width="13.88671875" style="2" bestFit="1" customWidth="1"/>
    <col min="33" max="33" width="20" style="2" bestFit="1" customWidth="1"/>
    <col min="34" max="35" width="13.6640625" style="2" bestFit="1" customWidth="1"/>
    <col min="36" max="36" width="10.109375" style="2" bestFit="1" customWidth="1"/>
    <col min="37" max="37" width="9.5546875" style="2" bestFit="1" customWidth="1"/>
    <col min="38" max="16384" width="12.44140625" style="2"/>
  </cols>
  <sheetData>
    <row r="1" spans="1:37" ht="14.4" x14ac:dyDescent="0.3">
      <c r="A1" s="10" t="s">
        <v>28</v>
      </c>
      <c r="B1" s="10" t="s">
        <v>29</v>
      </c>
      <c r="C1" s="10" t="s">
        <v>30</v>
      </c>
      <c r="D1" s="10" t="s">
        <v>31</v>
      </c>
      <c r="E1" s="10" t="s">
        <v>32</v>
      </c>
      <c r="F1" s="10" t="s">
        <v>33</v>
      </c>
      <c r="G1" s="10" t="s">
        <v>34</v>
      </c>
      <c r="H1" s="10" t="s">
        <v>35</v>
      </c>
      <c r="I1" s="10" t="s">
        <v>36</v>
      </c>
      <c r="J1" s="10" t="s">
        <v>37</v>
      </c>
      <c r="K1" s="10" t="s">
        <v>38</v>
      </c>
      <c r="L1" s="10" t="s">
        <v>39</v>
      </c>
      <c r="M1" s="10" t="str" cm="1">
        <f t="array" ref="M1:AI1">TRANSPOSE('ST3 CO Question Map'!A2:A24)</f>
        <v>20EC118-ST3-1a</v>
      </c>
      <c r="N1" s="10" t="str">
        <v>20EC118-ST3-1b</v>
      </c>
      <c r="O1" s="10" t="str">
        <v>20EC118-ST3-1c</v>
      </c>
      <c r="P1" s="10" t="str">
        <v>20EC118-ST3-1d</v>
      </c>
      <c r="Q1" s="10" t="str">
        <v>20EC118-ST3-1e</v>
      </c>
      <c r="R1" s="10" t="str">
        <v>20EC118-ST3-Q2</v>
      </c>
      <c r="S1" s="10" t="str">
        <v>20EC118-ST3-Q3</v>
      </c>
      <c r="T1" s="10" t="str">
        <v>20EC118-ST3-Q4</v>
      </c>
      <c r="U1" s="10" t="str">
        <v>20EC118-ST3-Q5</v>
      </c>
      <c r="V1" s="10" t="str">
        <v>20EC118-ST3-Q6</v>
      </c>
      <c r="W1" s="10" t="str">
        <v>20EC118-ST3-Q7</v>
      </c>
      <c r="X1" s="10" t="str">
        <v>20EC118-ST3-Q8</v>
      </c>
      <c r="Y1" s="10" t="str">
        <v>20EC118-ST3-Q9</v>
      </c>
      <c r="Z1" s="10" t="str">
        <v>20EC118-ST3-Q10</v>
      </c>
      <c r="AA1" s="10" t="str">
        <v>20EC118-ST3-Q11</v>
      </c>
      <c r="AB1" s="10" t="str">
        <v>20EC118-ST3-Q12</v>
      </c>
      <c r="AC1" s="10" t="str">
        <v>20EC118-ST3-Q13</v>
      </c>
      <c r="AD1" s="10" t="str">
        <v>20EC118-ST3-Q14</v>
      </c>
      <c r="AE1" s="10" t="str">
        <v>20EC118-ST3-Q15</v>
      </c>
      <c r="AF1" s="10" t="str">
        <v>20EC118-ST3-Q16</v>
      </c>
      <c r="AG1" s="10" t="str">
        <v>20EC118-ST3-Assignment</v>
      </c>
      <c r="AH1" s="10" t="str">
        <v>20EC118-ST3-FA1</v>
      </c>
      <c r="AI1" s="10" t="str">
        <v>20EC118-ST3-FA2</v>
      </c>
      <c r="AJ1" s="10" t="s">
        <v>40</v>
      </c>
      <c r="AK1" s="10" t="s">
        <v>84</v>
      </c>
    </row>
    <row r="2" spans="1:37" ht="14.4" x14ac:dyDescent="0.3">
      <c r="A2" s="10">
        <v>1</v>
      </c>
      <c r="B2" s="15" t="s">
        <v>41</v>
      </c>
      <c r="C2" s="10" t="s">
        <v>42</v>
      </c>
      <c r="D2" s="10"/>
      <c r="E2" s="10" t="s">
        <v>43</v>
      </c>
      <c r="F2" s="10" t="s">
        <v>44</v>
      </c>
      <c r="G2" s="10" t="s">
        <v>45</v>
      </c>
      <c r="H2" s="16" t="s">
        <v>46</v>
      </c>
      <c r="I2" s="10" t="s">
        <v>47</v>
      </c>
      <c r="J2" s="10">
        <v>2020</v>
      </c>
      <c r="K2" s="10">
        <v>4</v>
      </c>
      <c r="L2" s="10" t="s">
        <v>86</v>
      </c>
      <c r="M2" s="16">
        <v>1</v>
      </c>
      <c r="N2" s="16">
        <v>1</v>
      </c>
      <c r="O2" s="16">
        <v>1</v>
      </c>
      <c r="P2" s="16">
        <v>1</v>
      </c>
      <c r="Q2" s="16">
        <v>1</v>
      </c>
      <c r="R2" s="16" t="s">
        <v>49</v>
      </c>
      <c r="S2" s="16" t="s">
        <v>49</v>
      </c>
      <c r="T2" s="16" t="s">
        <v>49</v>
      </c>
      <c r="U2" s="16" t="s">
        <v>49</v>
      </c>
      <c r="V2" s="16" t="s">
        <v>49</v>
      </c>
      <c r="W2" s="16" t="s">
        <v>49</v>
      </c>
      <c r="X2" s="16" t="s">
        <v>49</v>
      </c>
      <c r="Y2" s="16" t="s">
        <v>49</v>
      </c>
      <c r="Z2" s="16" t="s">
        <v>49</v>
      </c>
      <c r="AA2" s="16" t="s">
        <v>49</v>
      </c>
      <c r="AB2" s="16" t="s">
        <v>49</v>
      </c>
      <c r="AC2" s="16">
        <v>1</v>
      </c>
      <c r="AD2" s="10" t="s">
        <v>49</v>
      </c>
      <c r="AE2" s="10" t="s">
        <v>49</v>
      </c>
      <c r="AF2" s="10" t="s">
        <v>49</v>
      </c>
      <c r="AG2" s="10" t="s">
        <v>49</v>
      </c>
      <c r="AH2" s="10" t="s">
        <v>49</v>
      </c>
      <c r="AI2" s="10" t="s">
        <v>49</v>
      </c>
      <c r="AJ2" s="10">
        <v>39</v>
      </c>
      <c r="AK2" s="10">
        <v>40</v>
      </c>
    </row>
    <row r="3" spans="1:37" ht="14.4" x14ac:dyDescent="0.3">
      <c r="A3" s="10">
        <v>2</v>
      </c>
      <c r="B3" s="15" t="s">
        <v>50</v>
      </c>
      <c r="C3" s="10" t="s">
        <v>51</v>
      </c>
      <c r="D3" s="10"/>
      <c r="E3" s="10" t="s">
        <v>43</v>
      </c>
      <c r="F3" s="10" t="s">
        <v>44</v>
      </c>
      <c r="G3" s="10" t="s">
        <v>45</v>
      </c>
      <c r="H3" s="16" t="s">
        <v>46</v>
      </c>
      <c r="I3" s="10" t="s">
        <v>47</v>
      </c>
      <c r="J3" s="10">
        <v>2020</v>
      </c>
      <c r="K3" s="10">
        <v>4</v>
      </c>
      <c r="L3" s="10" t="s">
        <v>86</v>
      </c>
      <c r="M3" s="16">
        <v>1</v>
      </c>
      <c r="N3" s="16">
        <v>1</v>
      </c>
      <c r="O3" s="16">
        <v>1</v>
      </c>
      <c r="P3" s="16">
        <v>1</v>
      </c>
      <c r="Q3" s="16">
        <v>1</v>
      </c>
      <c r="R3" s="16">
        <v>2</v>
      </c>
      <c r="S3" s="16">
        <v>2</v>
      </c>
      <c r="T3" s="16" t="s">
        <v>49</v>
      </c>
      <c r="U3" s="16">
        <v>2</v>
      </c>
      <c r="V3" s="16">
        <v>2</v>
      </c>
      <c r="W3" s="16">
        <v>2</v>
      </c>
      <c r="X3" s="16">
        <v>5</v>
      </c>
      <c r="Y3" s="16">
        <v>5</v>
      </c>
      <c r="Z3" s="16">
        <v>5</v>
      </c>
      <c r="AA3" s="16" t="s">
        <v>49</v>
      </c>
      <c r="AB3" s="16">
        <v>5</v>
      </c>
      <c r="AC3" s="16" t="s">
        <v>49</v>
      </c>
      <c r="AD3" s="10" t="s">
        <v>49</v>
      </c>
      <c r="AE3" s="10" t="s">
        <v>49</v>
      </c>
      <c r="AF3" s="10" t="s">
        <v>49</v>
      </c>
      <c r="AG3" s="10" t="s">
        <v>49</v>
      </c>
      <c r="AH3" s="10" t="s">
        <v>49</v>
      </c>
      <c r="AI3" s="10" t="s">
        <v>49</v>
      </c>
      <c r="AJ3" s="10">
        <f t="shared" ref="AJ3:AJ19" si="0">SUM(M3:AG3)</f>
        <v>35</v>
      </c>
      <c r="AK3" s="10">
        <v>40</v>
      </c>
    </row>
    <row r="4" spans="1:37" ht="14.4" x14ac:dyDescent="0.3">
      <c r="A4" s="10">
        <v>3</v>
      </c>
      <c r="B4" s="15" t="s">
        <v>52</v>
      </c>
      <c r="C4" s="10" t="s">
        <v>53</v>
      </c>
      <c r="D4" s="10"/>
      <c r="E4" s="10" t="s">
        <v>43</v>
      </c>
      <c r="F4" s="10" t="s">
        <v>44</v>
      </c>
      <c r="G4" s="10" t="s">
        <v>45</v>
      </c>
      <c r="H4" s="16" t="s">
        <v>46</v>
      </c>
      <c r="I4" s="10" t="s">
        <v>47</v>
      </c>
      <c r="J4" s="10">
        <v>2020</v>
      </c>
      <c r="K4" s="10">
        <v>4</v>
      </c>
      <c r="L4" s="10" t="s">
        <v>86</v>
      </c>
      <c r="M4" s="16">
        <v>1</v>
      </c>
      <c r="N4" s="16">
        <v>1</v>
      </c>
      <c r="O4" s="16">
        <v>1</v>
      </c>
      <c r="P4" s="16">
        <v>1</v>
      </c>
      <c r="Q4" s="16">
        <v>1</v>
      </c>
      <c r="R4" s="16">
        <v>2</v>
      </c>
      <c r="S4" s="16">
        <v>2</v>
      </c>
      <c r="T4" s="16">
        <v>2</v>
      </c>
      <c r="U4" s="16" t="s">
        <v>49</v>
      </c>
      <c r="V4" s="16">
        <v>2</v>
      </c>
      <c r="W4" s="16">
        <v>2</v>
      </c>
      <c r="X4" s="16" t="s">
        <v>49</v>
      </c>
      <c r="Y4" s="16">
        <v>1</v>
      </c>
      <c r="Z4" s="16" t="s">
        <v>49</v>
      </c>
      <c r="AA4" s="16" t="s">
        <v>49</v>
      </c>
      <c r="AB4" s="16">
        <v>1</v>
      </c>
      <c r="AC4" s="16" t="s">
        <v>49</v>
      </c>
      <c r="AD4" s="10" t="s">
        <v>49</v>
      </c>
      <c r="AE4" s="10" t="s">
        <v>49</v>
      </c>
      <c r="AF4" s="10" t="s">
        <v>49</v>
      </c>
      <c r="AG4" s="10" t="s">
        <v>49</v>
      </c>
      <c r="AH4" s="10" t="s">
        <v>49</v>
      </c>
      <c r="AI4" s="10" t="s">
        <v>49</v>
      </c>
      <c r="AJ4" s="10">
        <f t="shared" si="0"/>
        <v>17</v>
      </c>
      <c r="AK4" s="10">
        <v>40</v>
      </c>
    </row>
    <row r="5" spans="1:37" ht="14.4" x14ac:dyDescent="0.3">
      <c r="A5" s="10">
        <v>4</v>
      </c>
      <c r="B5" s="15" t="s">
        <v>54</v>
      </c>
      <c r="C5" s="10" t="s">
        <v>55</v>
      </c>
      <c r="D5" s="10"/>
      <c r="E5" s="10" t="s">
        <v>43</v>
      </c>
      <c r="F5" s="10" t="s">
        <v>44</v>
      </c>
      <c r="G5" s="10" t="s">
        <v>45</v>
      </c>
      <c r="H5" s="16" t="s">
        <v>46</v>
      </c>
      <c r="I5" s="10" t="s">
        <v>47</v>
      </c>
      <c r="J5" s="10">
        <v>2020</v>
      </c>
      <c r="K5" s="10">
        <v>4</v>
      </c>
      <c r="L5" s="10" t="s">
        <v>86</v>
      </c>
      <c r="M5" s="16">
        <v>1</v>
      </c>
      <c r="N5" s="16">
        <v>1</v>
      </c>
      <c r="O5" s="16">
        <v>1</v>
      </c>
      <c r="P5" s="16">
        <v>1</v>
      </c>
      <c r="Q5" s="16">
        <v>1</v>
      </c>
      <c r="R5" s="16">
        <v>1</v>
      </c>
      <c r="S5" s="16" t="s">
        <v>49</v>
      </c>
      <c r="T5" s="16" t="s">
        <v>49</v>
      </c>
      <c r="U5" s="16" t="s">
        <v>49</v>
      </c>
      <c r="V5" s="16" t="s">
        <v>49</v>
      </c>
      <c r="W5" s="16">
        <v>2</v>
      </c>
      <c r="X5" s="16" t="s">
        <v>49</v>
      </c>
      <c r="Y5" s="16" t="s">
        <v>49</v>
      </c>
      <c r="Z5" s="16" t="s">
        <v>49</v>
      </c>
      <c r="AA5" s="16" t="s">
        <v>49</v>
      </c>
      <c r="AB5" s="16" t="s">
        <v>49</v>
      </c>
      <c r="AC5" s="16">
        <v>1</v>
      </c>
      <c r="AD5" s="10" t="s">
        <v>49</v>
      </c>
      <c r="AE5" s="10" t="s">
        <v>49</v>
      </c>
      <c r="AF5" s="10" t="s">
        <v>49</v>
      </c>
      <c r="AG5" s="10" t="s">
        <v>49</v>
      </c>
      <c r="AH5" s="10" t="s">
        <v>49</v>
      </c>
      <c r="AI5" s="10" t="s">
        <v>49</v>
      </c>
      <c r="AJ5" s="10">
        <f t="shared" si="0"/>
        <v>9</v>
      </c>
      <c r="AK5" s="10">
        <v>40</v>
      </c>
    </row>
    <row r="6" spans="1:37" ht="15" customHeight="1" x14ac:dyDescent="0.3">
      <c r="A6" s="10">
        <v>5</v>
      </c>
      <c r="B6" s="15" t="s">
        <v>56</v>
      </c>
      <c r="C6" s="10" t="s">
        <v>57</v>
      </c>
      <c r="D6" s="10"/>
      <c r="E6" s="10" t="s">
        <v>43</v>
      </c>
      <c r="F6" s="10" t="s">
        <v>44</v>
      </c>
      <c r="G6" s="10" t="s">
        <v>45</v>
      </c>
      <c r="H6" s="16" t="s">
        <v>46</v>
      </c>
      <c r="I6" s="10" t="s">
        <v>47</v>
      </c>
      <c r="J6" s="10">
        <v>2020</v>
      </c>
      <c r="K6" s="10">
        <v>4</v>
      </c>
      <c r="L6" s="10" t="s">
        <v>86</v>
      </c>
      <c r="M6" s="16">
        <v>1</v>
      </c>
      <c r="N6" s="16">
        <v>1</v>
      </c>
      <c r="O6" s="16">
        <v>1</v>
      </c>
      <c r="P6" s="16">
        <v>1</v>
      </c>
      <c r="Q6" s="16">
        <v>1</v>
      </c>
      <c r="R6" s="16">
        <v>1</v>
      </c>
      <c r="S6" s="16">
        <v>2</v>
      </c>
      <c r="T6" s="16" t="s">
        <v>49</v>
      </c>
      <c r="U6" s="16" t="s">
        <v>49</v>
      </c>
      <c r="V6" s="16" t="s">
        <v>49</v>
      </c>
      <c r="W6" s="16" t="s">
        <v>49</v>
      </c>
      <c r="X6" s="16" t="s">
        <v>49</v>
      </c>
      <c r="Y6" s="16" t="s">
        <v>49</v>
      </c>
      <c r="Z6" s="16" t="s">
        <v>49</v>
      </c>
      <c r="AA6" s="16" t="s">
        <v>49</v>
      </c>
      <c r="AB6" s="16">
        <v>1</v>
      </c>
      <c r="AC6" s="16" t="s">
        <v>49</v>
      </c>
      <c r="AD6" s="10" t="s">
        <v>49</v>
      </c>
      <c r="AE6" s="10" t="s">
        <v>49</v>
      </c>
      <c r="AF6" s="10" t="s">
        <v>49</v>
      </c>
      <c r="AG6" s="10" t="s">
        <v>49</v>
      </c>
      <c r="AH6" s="10" t="s">
        <v>49</v>
      </c>
      <c r="AI6" s="10" t="s">
        <v>49</v>
      </c>
      <c r="AJ6" s="10">
        <f t="shared" si="0"/>
        <v>9</v>
      </c>
      <c r="AK6" s="10">
        <v>40</v>
      </c>
    </row>
    <row r="7" spans="1:37" ht="15" customHeight="1" x14ac:dyDescent="0.3">
      <c r="A7" s="10">
        <v>6</v>
      </c>
      <c r="B7" s="15" t="s">
        <v>58</v>
      </c>
      <c r="C7" s="10" t="s">
        <v>59</v>
      </c>
      <c r="D7" s="10"/>
      <c r="E7" s="10" t="s">
        <v>43</v>
      </c>
      <c r="F7" s="10" t="s">
        <v>44</v>
      </c>
      <c r="G7" s="10" t="s">
        <v>45</v>
      </c>
      <c r="H7" s="16" t="s">
        <v>46</v>
      </c>
      <c r="I7" s="10" t="s">
        <v>47</v>
      </c>
      <c r="J7" s="10">
        <v>2020</v>
      </c>
      <c r="K7" s="10">
        <v>4</v>
      </c>
      <c r="L7" s="10" t="s">
        <v>86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  <c r="R7" s="16" t="s">
        <v>49</v>
      </c>
      <c r="S7" s="16" t="s">
        <v>49</v>
      </c>
      <c r="T7" s="16">
        <v>1</v>
      </c>
      <c r="U7" s="16">
        <v>2</v>
      </c>
      <c r="V7" s="16">
        <v>2</v>
      </c>
      <c r="W7" s="16">
        <v>2</v>
      </c>
      <c r="X7" s="16" t="s">
        <v>49</v>
      </c>
      <c r="Y7" s="16" t="s">
        <v>49</v>
      </c>
      <c r="Z7" s="16" t="s">
        <v>49</v>
      </c>
      <c r="AA7" s="16" t="s">
        <v>49</v>
      </c>
      <c r="AB7" s="16">
        <v>1</v>
      </c>
      <c r="AC7" s="16" t="s">
        <v>49</v>
      </c>
      <c r="AD7" s="10" t="s">
        <v>49</v>
      </c>
      <c r="AE7" s="10" t="s">
        <v>49</v>
      </c>
      <c r="AF7" s="10" t="s">
        <v>49</v>
      </c>
      <c r="AG7" s="10" t="s">
        <v>49</v>
      </c>
      <c r="AH7" s="10" t="s">
        <v>49</v>
      </c>
      <c r="AI7" s="10" t="s">
        <v>49</v>
      </c>
      <c r="AJ7" s="10">
        <f t="shared" si="0"/>
        <v>13</v>
      </c>
      <c r="AK7" s="10">
        <v>40</v>
      </c>
    </row>
    <row r="8" spans="1:37" ht="15" customHeight="1" x14ac:dyDescent="0.3">
      <c r="A8" s="10">
        <v>7</v>
      </c>
      <c r="B8" s="15" t="s">
        <v>60</v>
      </c>
      <c r="C8" s="10" t="s">
        <v>61</v>
      </c>
      <c r="D8" s="10"/>
      <c r="E8" s="10" t="s">
        <v>43</v>
      </c>
      <c r="F8" s="10" t="s">
        <v>44</v>
      </c>
      <c r="G8" s="10" t="s">
        <v>45</v>
      </c>
      <c r="H8" s="16" t="s">
        <v>46</v>
      </c>
      <c r="I8" s="10" t="s">
        <v>47</v>
      </c>
      <c r="J8" s="10">
        <v>2020</v>
      </c>
      <c r="K8" s="10">
        <v>4</v>
      </c>
      <c r="L8" s="10" t="s">
        <v>86</v>
      </c>
      <c r="M8" s="16" t="s">
        <v>49</v>
      </c>
      <c r="N8" s="16" t="s">
        <v>49</v>
      </c>
      <c r="O8" s="16" t="s">
        <v>49</v>
      </c>
      <c r="P8" s="16" t="s">
        <v>49</v>
      </c>
      <c r="Q8" s="16" t="s">
        <v>49</v>
      </c>
      <c r="R8" s="16" t="s">
        <v>49</v>
      </c>
      <c r="S8" s="16" t="s">
        <v>49</v>
      </c>
      <c r="T8" s="16" t="s">
        <v>49</v>
      </c>
      <c r="U8" s="16" t="s">
        <v>49</v>
      </c>
      <c r="V8" s="16" t="s">
        <v>49</v>
      </c>
      <c r="W8" s="16" t="s">
        <v>49</v>
      </c>
      <c r="X8" s="16" t="s">
        <v>49</v>
      </c>
      <c r="Y8" s="16" t="s">
        <v>49</v>
      </c>
      <c r="Z8" s="16" t="s">
        <v>49</v>
      </c>
      <c r="AA8" s="16" t="s">
        <v>49</v>
      </c>
      <c r="AB8" s="16" t="s">
        <v>49</v>
      </c>
      <c r="AC8" s="16" t="s">
        <v>49</v>
      </c>
      <c r="AD8" s="10" t="s">
        <v>49</v>
      </c>
      <c r="AE8" s="10" t="s">
        <v>49</v>
      </c>
      <c r="AF8" s="10" t="s">
        <v>49</v>
      </c>
      <c r="AG8" s="10" t="s">
        <v>49</v>
      </c>
      <c r="AH8" s="10" t="s">
        <v>49</v>
      </c>
      <c r="AI8" s="10" t="s">
        <v>49</v>
      </c>
      <c r="AJ8" s="10">
        <v>43</v>
      </c>
      <c r="AK8" s="10">
        <v>40</v>
      </c>
    </row>
    <row r="9" spans="1:37" ht="15" customHeight="1" x14ac:dyDescent="0.3">
      <c r="A9" s="10">
        <v>8</v>
      </c>
      <c r="B9" s="15" t="s">
        <v>62</v>
      </c>
      <c r="C9" s="10" t="s">
        <v>63</v>
      </c>
      <c r="D9" s="10"/>
      <c r="E9" s="10" t="s">
        <v>43</v>
      </c>
      <c r="F9" s="10" t="s">
        <v>44</v>
      </c>
      <c r="G9" s="10" t="s">
        <v>45</v>
      </c>
      <c r="H9" s="16" t="s">
        <v>46</v>
      </c>
      <c r="I9" s="10" t="s">
        <v>47</v>
      </c>
      <c r="J9" s="10">
        <v>2020</v>
      </c>
      <c r="K9" s="10">
        <v>4</v>
      </c>
      <c r="L9" s="10" t="s">
        <v>86</v>
      </c>
      <c r="M9" s="16">
        <v>1</v>
      </c>
      <c r="N9" s="16">
        <v>1</v>
      </c>
      <c r="O9" s="16">
        <v>1</v>
      </c>
      <c r="P9" s="16">
        <v>1</v>
      </c>
      <c r="Q9" s="16">
        <v>1</v>
      </c>
      <c r="R9" s="16">
        <v>1</v>
      </c>
      <c r="S9" s="16" t="s">
        <v>49</v>
      </c>
      <c r="T9" s="16" t="s">
        <v>49</v>
      </c>
      <c r="U9" s="16" t="s">
        <v>49</v>
      </c>
      <c r="V9" s="16">
        <v>2</v>
      </c>
      <c r="W9" s="16">
        <v>2</v>
      </c>
      <c r="X9" s="16" t="s">
        <v>49</v>
      </c>
      <c r="Y9" s="16" t="s">
        <v>49</v>
      </c>
      <c r="Z9" s="16" t="s">
        <v>49</v>
      </c>
      <c r="AA9" s="16" t="s">
        <v>49</v>
      </c>
      <c r="AB9" s="16">
        <v>1</v>
      </c>
      <c r="AC9" s="16" t="s">
        <v>49</v>
      </c>
      <c r="AD9" s="10" t="s">
        <v>49</v>
      </c>
      <c r="AE9" s="10" t="s">
        <v>49</v>
      </c>
      <c r="AF9" s="10" t="s">
        <v>49</v>
      </c>
      <c r="AG9" s="10" t="s">
        <v>49</v>
      </c>
      <c r="AH9" s="10" t="s">
        <v>49</v>
      </c>
      <c r="AI9" s="10" t="s">
        <v>49</v>
      </c>
      <c r="AJ9" s="10">
        <f t="shared" si="0"/>
        <v>11</v>
      </c>
      <c r="AK9" s="10">
        <v>40</v>
      </c>
    </row>
    <row r="10" spans="1:37" ht="15" customHeight="1" x14ac:dyDescent="0.3">
      <c r="A10" s="10">
        <v>9</v>
      </c>
      <c r="B10" s="15" t="s">
        <v>64</v>
      </c>
      <c r="C10" s="10" t="s">
        <v>65</v>
      </c>
      <c r="D10" s="10"/>
      <c r="E10" s="10" t="s">
        <v>43</v>
      </c>
      <c r="F10" s="10" t="s">
        <v>44</v>
      </c>
      <c r="G10" s="10" t="s">
        <v>45</v>
      </c>
      <c r="H10" s="16" t="s">
        <v>46</v>
      </c>
      <c r="I10" s="10" t="s">
        <v>47</v>
      </c>
      <c r="J10" s="10">
        <v>2020</v>
      </c>
      <c r="K10" s="10">
        <v>4</v>
      </c>
      <c r="L10" s="10" t="s">
        <v>86</v>
      </c>
      <c r="M10" s="16">
        <v>1</v>
      </c>
      <c r="N10" s="16">
        <v>1</v>
      </c>
      <c r="O10" s="16">
        <v>1</v>
      </c>
      <c r="P10" s="16">
        <v>1</v>
      </c>
      <c r="Q10" s="16">
        <v>1</v>
      </c>
      <c r="R10" s="16" t="s">
        <v>49</v>
      </c>
      <c r="S10" s="16">
        <v>1</v>
      </c>
      <c r="T10" s="16">
        <v>2</v>
      </c>
      <c r="U10" s="16">
        <v>2</v>
      </c>
      <c r="V10" s="16">
        <v>2</v>
      </c>
      <c r="W10" s="16">
        <v>2</v>
      </c>
      <c r="X10" s="16" t="s">
        <v>49</v>
      </c>
      <c r="Y10" s="16" t="s">
        <v>49</v>
      </c>
      <c r="Z10" s="16" t="s">
        <v>49</v>
      </c>
      <c r="AA10" s="16" t="s">
        <v>49</v>
      </c>
      <c r="AB10" s="16" t="s">
        <v>49</v>
      </c>
      <c r="AC10" s="16">
        <v>1</v>
      </c>
      <c r="AD10" s="10" t="s">
        <v>49</v>
      </c>
      <c r="AE10" s="10" t="s">
        <v>49</v>
      </c>
      <c r="AF10" s="10" t="s">
        <v>49</v>
      </c>
      <c r="AG10" s="10" t="s">
        <v>49</v>
      </c>
      <c r="AH10" s="10" t="s">
        <v>49</v>
      </c>
      <c r="AI10" s="10" t="s">
        <v>49</v>
      </c>
      <c r="AJ10" s="10">
        <f t="shared" si="0"/>
        <v>15</v>
      </c>
      <c r="AK10" s="10">
        <v>40</v>
      </c>
    </row>
    <row r="11" spans="1:37" ht="15" customHeight="1" x14ac:dyDescent="0.3">
      <c r="A11" s="10">
        <v>10</v>
      </c>
      <c r="B11" s="15" t="s">
        <v>66</v>
      </c>
      <c r="C11" s="10" t="s">
        <v>67</v>
      </c>
      <c r="D11" s="10"/>
      <c r="E11" s="10" t="s">
        <v>43</v>
      </c>
      <c r="F11" s="10" t="s">
        <v>44</v>
      </c>
      <c r="G11" s="10" t="s">
        <v>45</v>
      </c>
      <c r="H11" s="16" t="s">
        <v>46</v>
      </c>
      <c r="I11" s="10" t="s">
        <v>47</v>
      </c>
      <c r="J11" s="10">
        <v>2020</v>
      </c>
      <c r="K11" s="10">
        <v>4</v>
      </c>
      <c r="L11" s="10" t="s">
        <v>86</v>
      </c>
      <c r="M11" s="16">
        <v>1</v>
      </c>
      <c r="N11" s="16">
        <v>1</v>
      </c>
      <c r="O11" s="16">
        <v>1</v>
      </c>
      <c r="P11" s="16">
        <v>1</v>
      </c>
      <c r="Q11" s="16">
        <v>1</v>
      </c>
      <c r="R11" s="16" t="s">
        <v>49</v>
      </c>
      <c r="S11" s="16" t="s">
        <v>49</v>
      </c>
      <c r="T11" s="16">
        <v>1</v>
      </c>
      <c r="U11" s="16">
        <v>1</v>
      </c>
      <c r="V11" s="16" t="s">
        <v>49</v>
      </c>
      <c r="W11" s="16">
        <v>2</v>
      </c>
      <c r="X11" s="16" t="s">
        <v>49</v>
      </c>
      <c r="Y11" s="16" t="s">
        <v>49</v>
      </c>
      <c r="Z11" s="16" t="s">
        <v>49</v>
      </c>
      <c r="AA11" s="16" t="s">
        <v>49</v>
      </c>
      <c r="AB11" s="16">
        <v>1</v>
      </c>
      <c r="AC11" s="16" t="s">
        <v>49</v>
      </c>
      <c r="AD11" s="10" t="s">
        <v>49</v>
      </c>
      <c r="AE11" s="10" t="s">
        <v>49</v>
      </c>
      <c r="AF11" s="10" t="s">
        <v>49</v>
      </c>
      <c r="AG11" s="10" t="s">
        <v>49</v>
      </c>
      <c r="AH11" s="10" t="s">
        <v>49</v>
      </c>
      <c r="AI11" s="10" t="s">
        <v>49</v>
      </c>
      <c r="AJ11" s="10">
        <f t="shared" si="0"/>
        <v>10</v>
      </c>
      <c r="AK11" s="10">
        <v>40</v>
      </c>
    </row>
    <row r="12" spans="1:37" ht="15" customHeight="1" x14ac:dyDescent="0.3">
      <c r="A12" s="10">
        <v>11</v>
      </c>
      <c r="B12" s="15" t="s">
        <v>68</v>
      </c>
      <c r="C12" s="10" t="s">
        <v>69</v>
      </c>
      <c r="D12" s="10"/>
      <c r="E12" s="10" t="s">
        <v>43</v>
      </c>
      <c r="F12" s="10" t="s">
        <v>44</v>
      </c>
      <c r="G12" s="10" t="s">
        <v>45</v>
      </c>
      <c r="H12" s="16" t="s">
        <v>46</v>
      </c>
      <c r="I12" s="10" t="s">
        <v>47</v>
      </c>
      <c r="J12" s="10">
        <v>2020</v>
      </c>
      <c r="K12" s="10">
        <v>4</v>
      </c>
      <c r="L12" s="10" t="s">
        <v>86</v>
      </c>
      <c r="M12" s="16">
        <v>1</v>
      </c>
      <c r="N12" s="16">
        <v>1</v>
      </c>
      <c r="O12" s="16">
        <v>1</v>
      </c>
      <c r="P12" s="16">
        <v>1</v>
      </c>
      <c r="Q12" s="16">
        <v>1</v>
      </c>
      <c r="R12" s="16" t="s">
        <v>49</v>
      </c>
      <c r="S12" s="16" t="s">
        <v>49</v>
      </c>
      <c r="T12" s="16" t="s">
        <v>49</v>
      </c>
      <c r="U12" s="16">
        <v>1</v>
      </c>
      <c r="V12" s="16" t="s">
        <v>49</v>
      </c>
      <c r="W12" s="16" t="s">
        <v>49</v>
      </c>
      <c r="X12" s="16" t="s">
        <v>49</v>
      </c>
      <c r="Y12" s="16" t="s">
        <v>49</v>
      </c>
      <c r="Z12" s="16" t="s">
        <v>49</v>
      </c>
      <c r="AA12" s="16" t="s">
        <v>49</v>
      </c>
      <c r="AB12" s="16">
        <v>1</v>
      </c>
      <c r="AC12" s="16" t="s">
        <v>49</v>
      </c>
      <c r="AD12" s="10" t="s">
        <v>49</v>
      </c>
      <c r="AE12" s="10" t="s">
        <v>49</v>
      </c>
      <c r="AF12" s="10" t="s">
        <v>49</v>
      </c>
      <c r="AG12" s="10" t="s">
        <v>49</v>
      </c>
      <c r="AH12" s="10" t="s">
        <v>49</v>
      </c>
      <c r="AI12" s="10" t="s">
        <v>49</v>
      </c>
      <c r="AJ12" s="10">
        <f t="shared" si="0"/>
        <v>7</v>
      </c>
      <c r="AK12" s="10">
        <v>40</v>
      </c>
    </row>
    <row r="13" spans="1:37" ht="15" customHeight="1" x14ac:dyDescent="0.3">
      <c r="A13" s="10">
        <v>12</v>
      </c>
      <c r="B13" s="15" t="s">
        <v>70</v>
      </c>
      <c r="C13" s="10" t="s">
        <v>71</v>
      </c>
      <c r="D13" s="10"/>
      <c r="E13" s="10" t="s">
        <v>43</v>
      </c>
      <c r="F13" s="10" t="s">
        <v>44</v>
      </c>
      <c r="G13" s="10" t="s">
        <v>45</v>
      </c>
      <c r="H13" s="16" t="s">
        <v>46</v>
      </c>
      <c r="I13" s="10" t="s">
        <v>47</v>
      </c>
      <c r="J13" s="10">
        <v>2020</v>
      </c>
      <c r="K13" s="10">
        <v>4</v>
      </c>
      <c r="L13" s="10" t="s">
        <v>86</v>
      </c>
      <c r="M13" s="16">
        <v>1</v>
      </c>
      <c r="N13" s="16">
        <v>1</v>
      </c>
      <c r="O13" s="16">
        <v>1</v>
      </c>
      <c r="P13" s="16">
        <v>1</v>
      </c>
      <c r="Q13" s="16">
        <v>1</v>
      </c>
      <c r="R13" s="16">
        <v>2</v>
      </c>
      <c r="S13" s="16" t="s">
        <v>49</v>
      </c>
      <c r="T13" s="16">
        <v>2</v>
      </c>
      <c r="U13" s="16">
        <v>2</v>
      </c>
      <c r="V13" s="16">
        <v>2</v>
      </c>
      <c r="W13" s="16">
        <v>2</v>
      </c>
      <c r="X13" s="16">
        <v>3</v>
      </c>
      <c r="Y13" s="16" t="s">
        <v>49</v>
      </c>
      <c r="Z13" s="16" t="s">
        <v>49</v>
      </c>
      <c r="AA13" s="16" t="s">
        <v>49</v>
      </c>
      <c r="AB13" s="16" t="s">
        <v>49</v>
      </c>
      <c r="AC13" s="16">
        <v>1</v>
      </c>
      <c r="AD13" s="10" t="s">
        <v>49</v>
      </c>
      <c r="AE13" s="10" t="s">
        <v>49</v>
      </c>
      <c r="AF13" s="10" t="s">
        <v>49</v>
      </c>
      <c r="AG13" s="10" t="s">
        <v>49</v>
      </c>
      <c r="AH13" s="10" t="s">
        <v>49</v>
      </c>
      <c r="AI13" s="10" t="s">
        <v>49</v>
      </c>
      <c r="AJ13" s="10">
        <f t="shared" si="0"/>
        <v>19</v>
      </c>
      <c r="AK13" s="10">
        <v>40</v>
      </c>
    </row>
    <row r="14" spans="1:37" ht="15" customHeight="1" x14ac:dyDescent="0.3">
      <c r="A14" s="10">
        <v>13</v>
      </c>
      <c r="B14" s="15" t="s">
        <v>72</v>
      </c>
      <c r="C14" s="10" t="s">
        <v>73</v>
      </c>
      <c r="D14" s="10"/>
      <c r="E14" s="10" t="s">
        <v>43</v>
      </c>
      <c r="F14" s="10" t="s">
        <v>44</v>
      </c>
      <c r="G14" s="10" t="s">
        <v>45</v>
      </c>
      <c r="H14" s="16" t="s">
        <v>46</v>
      </c>
      <c r="I14" s="10" t="s">
        <v>47</v>
      </c>
      <c r="J14" s="10">
        <v>2020</v>
      </c>
      <c r="K14" s="10">
        <v>4</v>
      </c>
      <c r="L14" s="10" t="s">
        <v>86</v>
      </c>
      <c r="M14" s="16">
        <v>1</v>
      </c>
      <c r="N14" s="16">
        <v>1</v>
      </c>
      <c r="O14" s="16">
        <v>1</v>
      </c>
      <c r="P14" s="16">
        <v>1</v>
      </c>
      <c r="Q14" s="16">
        <v>1</v>
      </c>
      <c r="R14" s="16">
        <v>2</v>
      </c>
      <c r="S14" s="16">
        <v>2</v>
      </c>
      <c r="T14" s="16">
        <v>2</v>
      </c>
      <c r="U14" s="16" t="s">
        <v>49</v>
      </c>
      <c r="V14" s="16">
        <v>2</v>
      </c>
      <c r="W14" s="16">
        <v>2</v>
      </c>
      <c r="X14" s="16">
        <v>5</v>
      </c>
      <c r="Y14" s="16" t="s">
        <v>49</v>
      </c>
      <c r="Z14" s="16">
        <v>5</v>
      </c>
      <c r="AA14" s="16">
        <v>5</v>
      </c>
      <c r="AB14" s="16">
        <v>5</v>
      </c>
      <c r="AC14" s="16" t="s">
        <v>49</v>
      </c>
      <c r="AD14" s="10" t="s">
        <v>49</v>
      </c>
      <c r="AE14" s="10" t="s">
        <v>49</v>
      </c>
      <c r="AF14" s="10" t="s">
        <v>49</v>
      </c>
      <c r="AG14" s="10" t="s">
        <v>49</v>
      </c>
      <c r="AH14" s="10" t="s">
        <v>49</v>
      </c>
      <c r="AI14" s="10" t="s">
        <v>49</v>
      </c>
      <c r="AJ14" s="10">
        <f t="shared" si="0"/>
        <v>35</v>
      </c>
      <c r="AK14" s="10">
        <v>40</v>
      </c>
    </row>
    <row r="15" spans="1:37" ht="15" customHeight="1" x14ac:dyDescent="0.3">
      <c r="A15" s="10">
        <v>14</v>
      </c>
      <c r="B15" s="15" t="s">
        <v>74</v>
      </c>
      <c r="C15" s="10" t="s">
        <v>75</v>
      </c>
      <c r="D15" s="10"/>
      <c r="E15" s="10" t="s">
        <v>43</v>
      </c>
      <c r="F15" s="10" t="s">
        <v>44</v>
      </c>
      <c r="G15" s="10" t="s">
        <v>45</v>
      </c>
      <c r="H15" s="16" t="s">
        <v>46</v>
      </c>
      <c r="I15" s="10" t="s">
        <v>47</v>
      </c>
      <c r="J15" s="10">
        <v>2020</v>
      </c>
      <c r="K15" s="10">
        <v>4</v>
      </c>
      <c r="L15" s="10" t="s">
        <v>86</v>
      </c>
      <c r="M15" s="16">
        <v>1</v>
      </c>
      <c r="N15" s="16">
        <v>1</v>
      </c>
      <c r="O15" s="16">
        <v>1</v>
      </c>
      <c r="P15" s="16">
        <v>1</v>
      </c>
      <c r="Q15" s="16">
        <v>1</v>
      </c>
      <c r="R15" s="16">
        <v>1</v>
      </c>
      <c r="S15" s="16">
        <v>2</v>
      </c>
      <c r="T15" s="16" t="s">
        <v>49</v>
      </c>
      <c r="U15" s="16" t="s">
        <v>49</v>
      </c>
      <c r="V15" s="16" t="s">
        <v>49</v>
      </c>
      <c r="W15" s="16">
        <v>2</v>
      </c>
      <c r="X15" s="16" t="s">
        <v>49</v>
      </c>
      <c r="Y15" s="16" t="s">
        <v>49</v>
      </c>
      <c r="Z15" s="16" t="s">
        <v>49</v>
      </c>
      <c r="AA15" s="16" t="s">
        <v>49</v>
      </c>
      <c r="AB15" s="16">
        <v>1</v>
      </c>
      <c r="AC15" s="16" t="s">
        <v>49</v>
      </c>
      <c r="AD15" s="10" t="s">
        <v>49</v>
      </c>
      <c r="AE15" s="10" t="s">
        <v>49</v>
      </c>
      <c r="AF15" s="10" t="s">
        <v>49</v>
      </c>
      <c r="AG15" s="10" t="s">
        <v>49</v>
      </c>
      <c r="AH15" s="10" t="s">
        <v>49</v>
      </c>
      <c r="AI15" s="10" t="s">
        <v>49</v>
      </c>
      <c r="AJ15" s="10">
        <f t="shared" si="0"/>
        <v>11</v>
      </c>
      <c r="AK15" s="10">
        <v>40</v>
      </c>
    </row>
    <row r="16" spans="1:37" ht="15" customHeight="1" x14ac:dyDescent="0.3">
      <c r="A16" s="10">
        <v>15</v>
      </c>
      <c r="B16" s="15" t="s">
        <v>76</v>
      </c>
      <c r="C16" s="10" t="s">
        <v>77</v>
      </c>
      <c r="D16" s="10"/>
      <c r="E16" s="10" t="s">
        <v>43</v>
      </c>
      <c r="F16" s="10" t="s">
        <v>44</v>
      </c>
      <c r="G16" s="10" t="s">
        <v>45</v>
      </c>
      <c r="H16" s="16" t="s">
        <v>46</v>
      </c>
      <c r="I16" s="10" t="s">
        <v>47</v>
      </c>
      <c r="J16" s="10">
        <v>2020</v>
      </c>
      <c r="K16" s="10">
        <v>4</v>
      </c>
      <c r="L16" s="10" t="s">
        <v>86</v>
      </c>
      <c r="M16" s="16">
        <v>1</v>
      </c>
      <c r="N16" s="16">
        <v>1</v>
      </c>
      <c r="O16" s="16">
        <v>1</v>
      </c>
      <c r="P16" s="16">
        <v>1</v>
      </c>
      <c r="Q16" s="16">
        <v>1</v>
      </c>
      <c r="R16" s="16">
        <v>2</v>
      </c>
      <c r="S16" s="16">
        <v>2</v>
      </c>
      <c r="T16" s="16">
        <v>2</v>
      </c>
      <c r="U16" s="16">
        <v>2</v>
      </c>
      <c r="V16" s="16" t="s">
        <v>49</v>
      </c>
      <c r="W16" s="16">
        <v>2</v>
      </c>
      <c r="X16" s="16">
        <v>1</v>
      </c>
      <c r="Y16" s="16">
        <v>5</v>
      </c>
      <c r="Z16" s="16" t="s">
        <v>49</v>
      </c>
      <c r="AA16" s="16" t="s">
        <v>49</v>
      </c>
      <c r="AB16" s="16" t="s">
        <v>49</v>
      </c>
      <c r="AC16" s="16">
        <v>1</v>
      </c>
      <c r="AD16" s="10" t="s">
        <v>49</v>
      </c>
      <c r="AE16" s="10" t="s">
        <v>49</v>
      </c>
      <c r="AF16" s="10" t="s">
        <v>49</v>
      </c>
      <c r="AG16" s="10" t="s">
        <v>49</v>
      </c>
      <c r="AH16" s="10" t="s">
        <v>49</v>
      </c>
      <c r="AI16" s="10" t="s">
        <v>49</v>
      </c>
      <c r="AJ16" s="10">
        <f t="shared" si="0"/>
        <v>22</v>
      </c>
      <c r="AK16" s="10">
        <v>40</v>
      </c>
    </row>
    <row r="17" spans="1:37" ht="15" customHeight="1" x14ac:dyDescent="0.3">
      <c r="A17" s="10">
        <v>16</v>
      </c>
      <c r="B17" s="15" t="s">
        <v>78</v>
      </c>
      <c r="C17" s="10" t="s">
        <v>79</v>
      </c>
      <c r="D17" s="10"/>
      <c r="E17" s="10" t="s">
        <v>43</v>
      </c>
      <c r="F17" s="10" t="s">
        <v>44</v>
      </c>
      <c r="G17" s="10" t="s">
        <v>45</v>
      </c>
      <c r="H17" s="16" t="s">
        <v>46</v>
      </c>
      <c r="I17" s="10" t="s">
        <v>47</v>
      </c>
      <c r="J17" s="10">
        <v>2020</v>
      </c>
      <c r="K17" s="10">
        <v>4</v>
      </c>
      <c r="L17" s="10" t="s">
        <v>86</v>
      </c>
      <c r="M17" s="16" t="s">
        <v>49</v>
      </c>
      <c r="N17" s="16" t="s">
        <v>49</v>
      </c>
      <c r="O17" s="16" t="s">
        <v>49</v>
      </c>
      <c r="P17" s="16" t="s">
        <v>49</v>
      </c>
      <c r="Q17" s="16" t="s">
        <v>49</v>
      </c>
      <c r="R17" s="16" t="s">
        <v>49</v>
      </c>
      <c r="S17" s="16" t="s">
        <v>49</v>
      </c>
      <c r="T17" s="16" t="s">
        <v>49</v>
      </c>
      <c r="U17" s="16" t="s">
        <v>49</v>
      </c>
      <c r="V17" s="16" t="s">
        <v>49</v>
      </c>
      <c r="W17" s="16" t="s">
        <v>49</v>
      </c>
      <c r="X17" s="16" t="s">
        <v>49</v>
      </c>
      <c r="Y17" s="16" t="s">
        <v>49</v>
      </c>
      <c r="Z17" s="16" t="s">
        <v>49</v>
      </c>
      <c r="AA17" s="16" t="s">
        <v>49</v>
      </c>
      <c r="AB17" s="16" t="s">
        <v>49</v>
      </c>
      <c r="AC17" s="16" t="s">
        <v>49</v>
      </c>
      <c r="AD17" s="10" t="s">
        <v>49</v>
      </c>
      <c r="AE17" s="10" t="s">
        <v>49</v>
      </c>
      <c r="AF17" s="10" t="s">
        <v>49</v>
      </c>
      <c r="AG17" s="10" t="s">
        <v>49</v>
      </c>
      <c r="AH17" s="10" t="s">
        <v>49</v>
      </c>
      <c r="AI17" s="10" t="s">
        <v>49</v>
      </c>
      <c r="AJ17" s="10">
        <f t="shared" si="0"/>
        <v>0</v>
      </c>
      <c r="AK17" s="10">
        <v>40</v>
      </c>
    </row>
    <row r="18" spans="1:37" ht="15" customHeight="1" x14ac:dyDescent="0.3">
      <c r="A18" s="10">
        <v>17</v>
      </c>
      <c r="B18" s="15" t="s">
        <v>80</v>
      </c>
      <c r="C18" s="10" t="s">
        <v>81</v>
      </c>
      <c r="D18" s="10"/>
      <c r="E18" s="10" t="s">
        <v>43</v>
      </c>
      <c r="F18" s="10" t="s">
        <v>44</v>
      </c>
      <c r="G18" s="10" t="s">
        <v>45</v>
      </c>
      <c r="H18" s="16" t="s">
        <v>46</v>
      </c>
      <c r="I18" s="10" t="s">
        <v>47</v>
      </c>
      <c r="J18" s="10">
        <v>2020</v>
      </c>
      <c r="K18" s="10">
        <v>4</v>
      </c>
      <c r="L18" s="10" t="s">
        <v>86</v>
      </c>
      <c r="M18" s="16">
        <v>1</v>
      </c>
      <c r="N18" s="16">
        <v>1</v>
      </c>
      <c r="O18" s="16">
        <v>1</v>
      </c>
      <c r="P18" s="16">
        <v>1</v>
      </c>
      <c r="Q18" s="16">
        <v>1</v>
      </c>
      <c r="R18" s="16">
        <v>1</v>
      </c>
      <c r="S18" s="16">
        <v>2</v>
      </c>
      <c r="T18" s="16">
        <v>2</v>
      </c>
      <c r="U18" s="16">
        <v>2</v>
      </c>
      <c r="V18" s="16" t="s">
        <v>49</v>
      </c>
      <c r="W18" s="16">
        <v>2</v>
      </c>
      <c r="X18" s="16" t="s">
        <v>49</v>
      </c>
      <c r="Y18" s="16" t="s">
        <v>49</v>
      </c>
      <c r="Z18" s="16">
        <v>1</v>
      </c>
      <c r="AA18" s="16" t="s">
        <v>49</v>
      </c>
      <c r="AB18" s="16" t="s">
        <v>49</v>
      </c>
      <c r="AC18" s="16">
        <v>1</v>
      </c>
      <c r="AD18" s="10" t="s">
        <v>49</v>
      </c>
      <c r="AE18" s="10" t="s">
        <v>49</v>
      </c>
      <c r="AF18" s="10" t="s">
        <v>49</v>
      </c>
      <c r="AG18" s="10" t="s">
        <v>49</v>
      </c>
      <c r="AH18" s="10" t="s">
        <v>49</v>
      </c>
      <c r="AI18" s="10" t="s">
        <v>49</v>
      </c>
      <c r="AJ18" s="10">
        <f t="shared" si="0"/>
        <v>16</v>
      </c>
      <c r="AK18" s="10">
        <v>40</v>
      </c>
    </row>
    <row r="19" spans="1:37" ht="15" customHeight="1" x14ac:dyDescent="0.3">
      <c r="A19" s="10">
        <v>18</v>
      </c>
      <c r="B19" s="15" t="s">
        <v>82</v>
      </c>
      <c r="C19" s="10" t="s">
        <v>83</v>
      </c>
      <c r="D19" s="10"/>
      <c r="E19" s="10" t="s">
        <v>43</v>
      </c>
      <c r="F19" s="10" t="s">
        <v>44</v>
      </c>
      <c r="G19" s="10" t="s">
        <v>45</v>
      </c>
      <c r="H19" s="16" t="s">
        <v>46</v>
      </c>
      <c r="I19" s="10" t="s">
        <v>47</v>
      </c>
      <c r="J19" s="10">
        <v>2020</v>
      </c>
      <c r="K19" s="10">
        <v>4</v>
      </c>
      <c r="L19" s="10" t="s">
        <v>86</v>
      </c>
      <c r="M19" s="16">
        <v>1</v>
      </c>
      <c r="N19" s="16">
        <v>1</v>
      </c>
      <c r="O19" s="16">
        <v>1</v>
      </c>
      <c r="P19" s="16">
        <v>1</v>
      </c>
      <c r="Q19" s="16">
        <v>1</v>
      </c>
      <c r="R19" s="16">
        <v>1</v>
      </c>
      <c r="S19" s="16">
        <v>1</v>
      </c>
      <c r="T19" s="16" t="s">
        <v>49</v>
      </c>
      <c r="U19" s="16" t="s">
        <v>49</v>
      </c>
      <c r="V19" s="16">
        <v>2</v>
      </c>
      <c r="W19" s="16">
        <v>2</v>
      </c>
      <c r="X19" s="16" t="s">
        <v>49</v>
      </c>
      <c r="Y19" s="16" t="s">
        <v>49</v>
      </c>
      <c r="Z19" s="16" t="s">
        <v>49</v>
      </c>
      <c r="AA19" s="16" t="s">
        <v>49</v>
      </c>
      <c r="AB19" s="16" t="s">
        <v>49</v>
      </c>
      <c r="AC19" s="16">
        <v>1</v>
      </c>
      <c r="AD19" s="10" t="s">
        <v>49</v>
      </c>
      <c r="AE19" s="10" t="s">
        <v>49</v>
      </c>
      <c r="AF19" s="10" t="s">
        <v>49</v>
      </c>
      <c r="AG19" s="10" t="s">
        <v>49</v>
      </c>
      <c r="AH19" s="10" t="s">
        <v>49</v>
      </c>
      <c r="AI19" s="10" t="s">
        <v>49</v>
      </c>
      <c r="AJ19" s="10">
        <f t="shared" si="0"/>
        <v>12</v>
      </c>
      <c r="AK19" s="10">
        <v>40</v>
      </c>
    </row>
    <row r="21" spans="1:37" ht="15.75" customHeight="1" x14ac:dyDescent="0.3"/>
    <row r="22" spans="1:37" ht="15.75" customHeight="1" x14ac:dyDescent="0.3"/>
    <row r="23" spans="1:37" ht="15.75" customHeight="1" x14ac:dyDescent="0.3"/>
    <row r="24" spans="1:37" ht="15.75" customHeight="1" x14ac:dyDescent="0.3"/>
    <row r="25" spans="1:37" ht="15.75" customHeight="1" x14ac:dyDescent="0.3"/>
    <row r="26" spans="1:37" ht="15.75" customHeight="1" x14ac:dyDescent="0.3"/>
    <row r="27" spans="1:37" ht="15.75" customHeight="1" x14ac:dyDescent="0.3"/>
    <row r="28" spans="1:37" ht="15.75" customHeight="1" x14ac:dyDescent="0.3"/>
    <row r="29" spans="1:37" ht="15.75" customHeight="1" x14ac:dyDescent="0.3"/>
    <row r="30" spans="1:37" ht="15.75" customHeight="1" x14ac:dyDescent="0.3"/>
    <row r="31" spans="1:37" ht="15.75" customHeight="1" x14ac:dyDescent="0.3"/>
    <row r="32" spans="1:3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6801-E814-43B4-81F2-5C28C5000F73}">
  <sheetPr codeName="Sheet22">
    <tabColor rgb="FF00B050"/>
  </sheetPr>
  <dimension ref="A1:I1000"/>
  <sheetViews>
    <sheetView workbookViewId="0">
      <pane ySplit="1" topLeftCell="A2" activePane="bottomLeft" state="frozen"/>
      <selection activeCell="F17" sqref="F17"/>
      <selection pane="bottomLeft" activeCell="M8" sqref="M8"/>
    </sheetView>
  </sheetViews>
  <sheetFormatPr defaultColWidth="12.44140625" defaultRowHeight="15" customHeight="1" x14ac:dyDescent="0.3"/>
  <cols>
    <col min="1" max="1" width="22.109375" style="2" bestFit="1" customWidth="1"/>
    <col min="2" max="2" width="9.44140625" style="2" bestFit="1" customWidth="1"/>
    <col min="3" max="8" width="10.5546875" style="2" bestFit="1" customWidth="1"/>
    <col min="9" max="26" width="8.6640625" style="2" customWidth="1"/>
    <col min="27" max="16384" width="12.44140625" style="2"/>
  </cols>
  <sheetData>
    <row r="1" spans="1:9" ht="14.4" x14ac:dyDescent="0.3">
      <c r="A1" s="3" t="s">
        <v>20</v>
      </c>
      <c r="B1" s="4" t="s">
        <v>21</v>
      </c>
      <c r="C1" s="4" t="str">
        <f>'OBE Details'!$B$20&amp;"_CO1"</f>
        <v>EC118_CO1</v>
      </c>
      <c r="D1" s="4" t="str">
        <f>'OBE Details'!$B$20&amp;"_CO2"</f>
        <v>EC118_CO2</v>
      </c>
      <c r="E1" s="4" t="str">
        <f>'OBE Details'!$B$20&amp;"_CO3"</f>
        <v>EC118_CO3</v>
      </c>
      <c r="F1" s="4" t="str">
        <f>'OBE Details'!$B$20&amp;"_CO4"</f>
        <v>EC118_CO4</v>
      </c>
      <c r="G1" s="4" t="str">
        <f>'OBE Details'!$B$20&amp;"_CO5"</f>
        <v>EC118_CO5</v>
      </c>
      <c r="H1" s="4" t="str">
        <f>'OBE Details'!$B$20&amp;"_CO6"</f>
        <v>EC118_CO6</v>
      </c>
      <c r="I1" s="104" t="s">
        <v>209</v>
      </c>
    </row>
    <row r="2" spans="1:9" ht="14.4" x14ac:dyDescent="0.3">
      <c r="A2" s="96" t="s">
        <v>186</v>
      </c>
      <c r="B2" s="5">
        <v>1</v>
      </c>
      <c r="C2" s="5" t="b">
        <v>1</v>
      </c>
      <c r="D2" s="5" t="b">
        <v>1</v>
      </c>
      <c r="E2" s="5" t="b">
        <v>1</v>
      </c>
      <c r="F2" s="5" t="b">
        <v>0</v>
      </c>
      <c r="G2" s="5" t="b">
        <v>0</v>
      </c>
      <c r="H2" s="5" t="b">
        <v>0</v>
      </c>
      <c r="I2" s="2">
        <f>COUNTIF(B2:H2,"TRUE")</f>
        <v>3</v>
      </c>
    </row>
    <row r="3" spans="1:9" ht="14.4" x14ac:dyDescent="0.3">
      <c r="A3" s="96" t="s">
        <v>187</v>
      </c>
      <c r="B3" s="5">
        <v>1</v>
      </c>
      <c r="C3" s="5" t="b">
        <v>1</v>
      </c>
      <c r="D3" s="5" t="b">
        <v>1</v>
      </c>
      <c r="E3" s="5" t="b">
        <v>1</v>
      </c>
      <c r="F3" s="5" t="b">
        <v>0</v>
      </c>
      <c r="G3" s="5" t="b">
        <v>0</v>
      </c>
      <c r="H3" s="5" t="b">
        <v>0</v>
      </c>
      <c r="I3" s="2">
        <f t="shared" ref="I3:I24" si="0">COUNTIF(B3:H3,"TRUE")</f>
        <v>3</v>
      </c>
    </row>
    <row r="4" spans="1:9" ht="14.4" x14ac:dyDescent="0.3">
      <c r="A4" s="96" t="s">
        <v>188</v>
      </c>
      <c r="B4" s="5">
        <v>1</v>
      </c>
      <c r="C4" s="5" t="b">
        <v>1</v>
      </c>
      <c r="D4" s="5" t="b">
        <v>1</v>
      </c>
      <c r="E4" s="5" t="b">
        <v>1</v>
      </c>
      <c r="F4" s="5" t="b">
        <v>0</v>
      </c>
      <c r="G4" s="5" t="b">
        <v>0</v>
      </c>
      <c r="H4" s="5" t="b">
        <v>0</v>
      </c>
      <c r="I4" s="2">
        <f t="shared" si="0"/>
        <v>3</v>
      </c>
    </row>
    <row r="5" spans="1:9" ht="14.4" x14ac:dyDescent="0.3">
      <c r="A5" s="96" t="s">
        <v>189</v>
      </c>
      <c r="B5" s="5">
        <v>1</v>
      </c>
      <c r="C5" s="5" t="b">
        <v>1</v>
      </c>
      <c r="D5" s="5" t="b">
        <v>1</v>
      </c>
      <c r="E5" s="5" t="b">
        <v>1</v>
      </c>
      <c r="F5" s="5" t="b">
        <v>0</v>
      </c>
      <c r="G5" s="5" t="b">
        <v>0</v>
      </c>
      <c r="H5" s="5" t="b">
        <v>0</v>
      </c>
      <c r="I5" s="2">
        <f t="shared" si="0"/>
        <v>3</v>
      </c>
    </row>
    <row r="6" spans="1:9" ht="14.4" x14ac:dyDescent="0.3">
      <c r="A6" s="96" t="s">
        <v>190</v>
      </c>
      <c r="B6" s="5">
        <v>1</v>
      </c>
      <c r="C6" s="5" t="b">
        <v>1</v>
      </c>
      <c r="D6" s="5" t="b">
        <v>1</v>
      </c>
      <c r="E6" s="5" t="b">
        <v>1</v>
      </c>
      <c r="F6" s="5" t="b">
        <v>0</v>
      </c>
      <c r="G6" s="5" t="b">
        <v>0</v>
      </c>
      <c r="H6" s="5" t="b">
        <v>0</v>
      </c>
      <c r="I6" s="2">
        <f t="shared" si="0"/>
        <v>3</v>
      </c>
    </row>
    <row r="7" spans="1:9" ht="14.4" x14ac:dyDescent="0.3">
      <c r="A7" s="96" t="s">
        <v>191</v>
      </c>
      <c r="B7" s="5">
        <v>2</v>
      </c>
      <c r="C7" s="5" t="b">
        <v>1</v>
      </c>
      <c r="D7" s="5" t="b">
        <v>1</v>
      </c>
      <c r="E7" s="5" t="b">
        <v>0</v>
      </c>
      <c r="F7" s="5" t="b">
        <v>0</v>
      </c>
      <c r="G7" s="5" t="b">
        <v>0</v>
      </c>
      <c r="H7" s="5" t="b">
        <v>0</v>
      </c>
      <c r="I7" s="2">
        <f t="shared" si="0"/>
        <v>2</v>
      </c>
    </row>
    <row r="8" spans="1:9" ht="14.4" x14ac:dyDescent="0.3">
      <c r="A8" s="96" t="s">
        <v>192</v>
      </c>
      <c r="B8" s="5">
        <v>2</v>
      </c>
      <c r="C8" s="5" t="b">
        <v>0</v>
      </c>
      <c r="D8" s="5" t="b">
        <v>1</v>
      </c>
      <c r="E8" s="5" t="b">
        <v>0</v>
      </c>
      <c r="F8" s="5" t="b">
        <v>0</v>
      </c>
      <c r="G8" s="5" t="b">
        <v>0</v>
      </c>
      <c r="H8" s="5" t="b">
        <v>0</v>
      </c>
      <c r="I8" s="2">
        <f t="shared" si="0"/>
        <v>1</v>
      </c>
    </row>
    <row r="9" spans="1:9" ht="14.4" x14ac:dyDescent="0.3">
      <c r="A9" s="96" t="s">
        <v>193</v>
      </c>
      <c r="B9" s="5">
        <v>2</v>
      </c>
      <c r="C9" s="5" t="b">
        <v>1</v>
      </c>
      <c r="D9" s="5" t="b">
        <v>0</v>
      </c>
      <c r="E9" s="5" t="b">
        <v>0</v>
      </c>
      <c r="F9" s="5" t="b">
        <v>0</v>
      </c>
      <c r="G9" s="5" t="b">
        <v>0</v>
      </c>
      <c r="H9" s="5" t="b">
        <v>0</v>
      </c>
      <c r="I9" s="2">
        <f t="shared" si="0"/>
        <v>1</v>
      </c>
    </row>
    <row r="10" spans="1:9" ht="14.4" x14ac:dyDescent="0.3">
      <c r="A10" s="96" t="s">
        <v>194</v>
      </c>
      <c r="B10" s="5">
        <v>2</v>
      </c>
      <c r="C10" s="5" t="b">
        <v>0</v>
      </c>
      <c r="D10" s="5" t="b">
        <v>1</v>
      </c>
      <c r="E10" s="5" t="b">
        <v>0</v>
      </c>
      <c r="F10" s="5" t="b">
        <v>0</v>
      </c>
      <c r="G10" s="5" t="b">
        <v>0</v>
      </c>
      <c r="H10" s="5" t="b">
        <v>0</v>
      </c>
      <c r="I10" s="2">
        <f t="shared" si="0"/>
        <v>1</v>
      </c>
    </row>
    <row r="11" spans="1:9" ht="14.4" x14ac:dyDescent="0.3">
      <c r="A11" s="96" t="s">
        <v>195</v>
      </c>
      <c r="B11" s="5">
        <v>2</v>
      </c>
      <c r="C11" s="5" t="b">
        <v>0</v>
      </c>
      <c r="D11" s="5" t="b">
        <v>1</v>
      </c>
      <c r="E11" s="5" t="b">
        <v>0</v>
      </c>
      <c r="F11" s="5" t="b">
        <v>0</v>
      </c>
      <c r="G11" s="5" t="b">
        <v>0</v>
      </c>
      <c r="H11" s="5" t="b">
        <v>0</v>
      </c>
      <c r="I11" s="2">
        <f t="shared" si="0"/>
        <v>1</v>
      </c>
    </row>
    <row r="12" spans="1:9" ht="14.4" x14ac:dyDescent="0.3">
      <c r="A12" s="96" t="s">
        <v>196</v>
      </c>
      <c r="B12" s="5">
        <v>2</v>
      </c>
      <c r="C12" s="5" t="b">
        <v>1</v>
      </c>
      <c r="D12" s="5" t="b">
        <v>0</v>
      </c>
      <c r="E12" s="5" t="b">
        <v>0</v>
      </c>
      <c r="F12" s="5" t="b">
        <v>0</v>
      </c>
      <c r="G12" s="5" t="b">
        <v>0</v>
      </c>
      <c r="H12" s="5" t="b">
        <v>0</v>
      </c>
      <c r="I12" s="2">
        <f t="shared" si="0"/>
        <v>1</v>
      </c>
    </row>
    <row r="13" spans="1:9" ht="14.4" x14ac:dyDescent="0.3">
      <c r="A13" s="96" t="s">
        <v>197</v>
      </c>
      <c r="B13" s="5">
        <v>5</v>
      </c>
      <c r="C13" s="5" t="b">
        <v>0</v>
      </c>
      <c r="D13" s="5" t="b">
        <v>1</v>
      </c>
      <c r="E13" s="5" t="b">
        <v>0</v>
      </c>
      <c r="F13" s="5" t="b">
        <v>0</v>
      </c>
      <c r="G13" s="5" t="b">
        <v>0</v>
      </c>
      <c r="H13" s="5" t="b">
        <v>0</v>
      </c>
      <c r="I13" s="2">
        <f t="shared" si="0"/>
        <v>1</v>
      </c>
    </row>
    <row r="14" spans="1:9" ht="14.4" x14ac:dyDescent="0.3">
      <c r="A14" s="96" t="s">
        <v>198</v>
      </c>
      <c r="B14" s="5">
        <v>5</v>
      </c>
      <c r="C14" s="5" t="b">
        <v>1</v>
      </c>
      <c r="D14" s="5" t="b">
        <v>0</v>
      </c>
      <c r="E14" s="5" t="b">
        <v>0</v>
      </c>
      <c r="F14" s="5" t="b">
        <v>0</v>
      </c>
      <c r="G14" s="5" t="b">
        <v>0</v>
      </c>
      <c r="H14" s="5" t="b">
        <v>0</v>
      </c>
      <c r="I14" s="2">
        <f t="shared" si="0"/>
        <v>1</v>
      </c>
    </row>
    <row r="15" spans="1:9" ht="14.4" x14ac:dyDescent="0.3">
      <c r="A15" s="96" t="s">
        <v>199</v>
      </c>
      <c r="B15" s="5">
        <v>5</v>
      </c>
      <c r="C15" s="5" t="b">
        <v>0</v>
      </c>
      <c r="D15" s="5" t="b">
        <v>1</v>
      </c>
      <c r="E15" s="5" t="b">
        <v>0</v>
      </c>
      <c r="F15" s="5" t="b">
        <v>0</v>
      </c>
      <c r="G15" s="5" t="b">
        <v>0</v>
      </c>
      <c r="H15" s="5" t="b">
        <v>0</v>
      </c>
      <c r="I15" s="2">
        <f t="shared" si="0"/>
        <v>1</v>
      </c>
    </row>
    <row r="16" spans="1:9" ht="14.4" x14ac:dyDescent="0.3">
      <c r="A16" s="96" t="s">
        <v>200</v>
      </c>
      <c r="B16" s="5">
        <v>5</v>
      </c>
      <c r="C16" s="5" t="b">
        <v>0</v>
      </c>
      <c r="D16" s="5" t="b">
        <v>0</v>
      </c>
      <c r="E16" s="5" t="b">
        <v>1</v>
      </c>
      <c r="F16" s="5" t="b">
        <v>0</v>
      </c>
      <c r="G16" s="5" t="b">
        <v>0</v>
      </c>
      <c r="H16" s="5" t="b">
        <v>0</v>
      </c>
      <c r="I16" s="2">
        <f t="shared" si="0"/>
        <v>1</v>
      </c>
    </row>
    <row r="17" spans="1:9" ht="14.4" x14ac:dyDescent="0.3">
      <c r="A17" s="96" t="s">
        <v>201</v>
      </c>
      <c r="B17" s="5">
        <v>5</v>
      </c>
      <c r="C17" s="5" t="b">
        <v>0</v>
      </c>
      <c r="D17" s="5" t="b">
        <v>1</v>
      </c>
      <c r="E17" s="5" t="b">
        <v>1</v>
      </c>
      <c r="F17" s="5" t="b">
        <v>0</v>
      </c>
      <c r="G17" s="5" t="b">
        <v>0</v>
      </c>
      <c r="H17" s="5" t="b">
        <v>0</v>
      </c>
      <c r="I17" s="2">
        <f t="shared" si="0"/>
        <v>2</v>
      </c>
    </row>
    <row r="18" spans="1:9" ht="14.4" x14ac:dyDescent="0.3">
      <c r="A18" s="96" t="s">
        <v>202</v>
      </c>
      <c r="B18" s="5">
        <v>5</v>
      </c>
      <c r="C18" s="5" t="b">
        <v>0</v>
      </c>
      <c r="D18" s="5" t="b">
        <v>0</v>
      </c>
      <c r="E18" s="5" t="b">
        <v>0</v>
      </c>
      <c r="F18" s="5" t="b">
        <v>0</v>
      </c>
      <c r="G18" s="5" t="b">
        <v>0</v>
      </c>
      <c r="H18" s="5" t="b">
        <v>0</v>
      </c>
      <c r="I18" s="2">
        <f t="shared" si="0"/>
        <v>0</v>
      </c>
    </row>
    <row r="19" spans="1:9" ht="14.4" x14ac:dyDescent="0.3">
      <c r="A19" s="96" t="s">
        <v>203</v>
      </c>
      <c r="B19" s="5">
        <v>10</v>
      </c>
      <c r="C19" s="5" t="b">
        <v>1</v>
      </c>
      <c r="D19" s="5" t="b">
        <v>0</v>
      </c>
      <c r="E19" s="5" t="b">
        <v>0</v>
      </c>
      <c r="F19" s="5" t="b">
        <v>0</v>
      </c>
      <c r="G19" s="5" t="b">
        <v>0</v>
      </c>
      <c r="H19" s="5" t="b">
        <v>0</v>
      </c>
      <c r="I19" s="2">
        <f t="shared" si="0"/>
        <v>1</v>
      </c>
    </row>
    <row r="20" spans="1:9" ht="14.4" x14ac:dyDescent="0.3">
      <c r="A20" s="96" t="s">
        <v>204</v>
      </c>
      <c r="B20" s="5">
        <v>10</v>
      </c>
      <c r="C20" s="5" t="b">
        <v>0</v>
      </c>
      <c r="D20" s="5" t="b">
        <v>1</v>
      </c>
      <c r="E20" s="5" t="b">
        <v>1</v>
      </c>
      <c r="F20" s="5" t="b">
        <v>0</v>
      </c>
      <c r="G20" s="5" t="b">
        <v>0</v>
      </c>
      <c r="H20" s="5" t="b">
        <v>0</v>
      </c>
      <c r="I20" s="2">
        <f t="shared" si="0"/>
        <v>2</v>
      </c>
    </row>
    <row r="21" spans="1:9" ht="15.75" customHeight="1" x14ac:dyDescent="0.3">
      <c r="A21" s="96" t="s">
        <v>205</v>
      </c>
      <c r="B21" s="5">
        <v>10</v>
      </c>
      <c r="C21" s="5" t="b">
        <v>0</v>
      </c>
      <c r="D21" s="5" t="b">
        <v>1</v>
      </c>
      <c r="E21" s="5" t="b">
        <v>1</v>
      </c>
      <c r="F21" s="5" t="b">
        <v>0</v>
      </c>
      <c r="G21" s="5" t="b">
        <v>0</v>
      </c>
      <c r="H21" s="5" t="b">
        <v>0</v>
      </c>
      <c r="I21" s="2">
        <f t="shared" si="0"/>
        <v>2</v>
      </c>
    </row>
    <row r="22" spans="1:9" ht="15.75" customHeight="1" x14ac:dyDescent="0.3">
      <c r="A22" s="96" t="s">
        <v>206</v>
      </c>
      <c r="B22" s="5">
        <v>10</v>
      </c>
      <c r="C22" s="5" t="b">
        <v>0</v>
      </c>
      <c r="D22" s="5" t="b">
        <v>0</v>
      </c>
      <c r="E22" s="5" t="b">
        <v>0</v>
      </c>
      <c r="F22" s="5" t="b">
        <v>0</v>
      </c>
      <c r="G22" s="5" t="b">
        <v>0</v>
      </c>
      <c r="H22" s="5" t="b">
        <v>0</v>
      </c>
      <c r="I22" s="2">
        <f t="shared" si="0"/>
        <v>0</v>
      </c>
    </row>
    <row r="23" spans="1:9" ht="15.75" customHeight="1" x14ac:dyDescent="0.3">
      <c r="A23" s="96" t="s">
        <v>207</v>
      </c>
      <c r="B23" s="5">
        <v>15</v>
      </c>
      <c r="C23" s="5" t="b">
        <v>0</v>
      </c>
      <c r="D23" s="5" t="b">
        <v>0</v>
      </c>
      <c r="E23" s="5" t="b">
        <v>0</v>
      </c>
      <c r="F23" s="5" t="b">
        <v>0</v>
      </c>
      <c r="G23" s="5" t="b">
        <v>0</v>
      </c>
      <c r="H23" s="5" t="b">
        <v>0</v>
      </c>
      <c r="I23" s="2">
        <f t="shared" si="0"/>
        <v>0</v>
      </c>
    </row>
    <row r="24" spans="1:9" ht="15.75" customHeight="1" x14ac:dyDescent="0.3">
      <c r="A24" s="96" t="s">
        <v>208</v>
      </c>
      <c r="B24" s="5">
        <v>15</v>
      </c>
      <c r="C24" s="5" t="b">
        <v>0</v>
      </c>
      <c r="D24" s="5" t="b">
        <v>0</v>
      </c>
      <c r="E24" s="5" t="b">
        <v>0</v>
      </c>
      <c r="F24" s="5" t="b">
        <v>0</v>
      </c>
      <c r="G24" s="5" t="b">
        <v>0</v>
      </c>
      <c r="H24" s="5" t="b">
        <v>0</v>
      </c>
      <c r="I24" s="2">
        <f t="shared" si="0"/>
        <v>0</v>
      </c>
    </row>
    <row r="25" spans="1:9" ht="15.75" customHeight="1" x14ac:dyDescent="0.3"/>
    <row r="26" spans="1:9" ht="15.75" customHeight="1" x14ac:dyDescent="0.3"/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12" type="noConversion"/>
  <dataValidations count="3">
    <dataValidation type="list" allowBlank="1" showDropDown="1" showErrorMessage="1" sqref="D2:H18 C19:H19 D20:H24" xr:uid="{A024EF4B-3405-4DCC-94EC-19497099685E}">
      <formula1>"FALSE,TRUE"</formula1>
    </dataValidation>
    <dataValidation type="custom" allowBlank="1" showDropDown="1" sqref="B2:B24" xr:uid="{EB7AEDFB-8EC8-4533-A402-7C03AB650499}">
      <formula1>AND(ISNUMBER(B2),(NOT(OR(NOT(ISERROR(DATEVALUE(B2))), AND(ISNUMBER(B2), LEFT(CELL("format", B2))="D")))))</formula1>
    </dataValidation>
    <dataValidation type="list" allowBlank="1" showDropDown="1" showErrorMessage="1" sqref="C2:C18 C20:C24" xr:uid="{2E268847-4170-4F8A-ABEE-6971CBD8A2FF}">
      <formula1>"TRUE,FALSE"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5ED8A-0611-4942-AADF-1315B42A7FEC}">
  <sheetPr codeName="Sheet23">
    <tabColor rgb="FF00B050"/>
  </sheetPr>
  <dimension ref="A1:AK1000"/>
  <sheetViews>
    <sheetView workbookViewId="0">
      <selection activeCell="F20" sqref="F20"/>
    </sheetView>
  </sheetViews>
  <sheetFormatPr defaultColWidth="12.44140625" defaultRowHeight="15" customHeight="1" x14ac:dyDescent="0.3"/>
  <cols>
    <col min="1" max="1" width="5.33203125" style="2" bestFit="1" customWidth="1"/>
    <col min="2" max="2" width="21.44140625" style="2" bestFit="1" customWidth="1"/>
    <col min="3" max="3" width="26.77734375" style="2" bestFit="1" customWidth="1"/>
    <col min="4" max="4" width="15.44140625" style="2" bestFit="1" customWidth="1"/>
    <col min="5" max="5" width="11.44140625" style="2" bestFit="1" customWidth="1"/>
    <col min="6" max="6" width="20.5546875" style="2" bestFit="1" customWidth="1"/>
    <col min="7" max="7" width="27.21875" style="2" bestFit="1" customWidth="1"/>
    <col min="8" max="8" width="13.44140625" style="2" bestFit="1" customWidth="1"/>
    <col min="9" max="9" width="16.44140625" style="2" bestFit="1" customWidth="1"/>
    <col min="10" max="10" width="17.5546875" style="2" bestFit="1" customWidth="1"/>
    <col min="11" max="11" width="14.44140625" style="2" bestFit="1" customWidth="1"/>
    <col min="12" max="12" width="21.109375" style="2" bestFit="1" customWidth="1"/>
    <col min="13" max="13" width="12.5546875" style="2" bestFit="1" customWidth="1"/>
    <col min="14" max="15" width="12.44140625" style="2" bestFit="1" customWidth="1"/>
    <col min="16" max="16" width="12.5546875" style="2" bestFit="1" customWidth="1"/>
    <col min="17" max="17" width="12.44140625" style="2" bestFit="1" customWidth="1"/>
    <col min="18" max="25" width="12.77734375" style="2" bestFit="1" customWidth="1"/>
    <col min="26" max="32" width="13.88671875" style="2" bestFit="1" customWidth="1"/>
    <col min="33" max="33" width="20.33203125" style="2" bestFit="1" customWidth="1"/>
    <col min="34" max="35" width="13.6640625" style="2" bestFit="1" customWidth="1"/>
    <col min="36" max="36" width="10.44140625" style="2" bestFit="1" customWidth="1"/>
    <col min="37" max="37" width="9.88671875" style="2" bestFit="1" customWidth="1"/>
    <col min="38" max="16384" width="12.44140625" style="2"/>
  </cols>
  <sheetData>
    <row r="1" spans="1:37" ht="14.4" x14ac:dyDescent="0.3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  <c r="G1" s="8" t="s">
        <v>34</v>
      </c>
      <c r="H1" s="8" t="s">
        <v>35</v>
      </c>
      <c r="I1" s="8" t="s">
        <v>36</v>
      </c>
      <c r="J1" s="8" t="s">
        <v>37</v>
      </c>
      <c r="K1" s="8" t="s">
        <v>38</v>
      </c>
      <c r="L1" s="8" t="s">
        <v>39</v>
      </c>
      <c r="M1" s="8" t="str">
        <f t="array" ref="M1:AI1">TRANSPOSE('ETE CO Question Map'!A2:A24)</f>
        <v>20EC118-ETE-1a</v>
      </c>
      <c r="N1" s="8" t="str">
        <v>20EC118-ETE-1b</v>
      </c>
      <c r="O1" s="8" t="str">
        <v>20EC118-ETE-1c</v>
      </c>
      <c r="P1" s="8" t="str">
        <v>20EC118-ETE-1d</v>
      </c>
      <c r="Q1" s="8" t="str">
        <v>20EC118-ETE-1e</v>
      </c>
      <c r="R1" s="8" t="str">
        <v>20EC118-ETE-Q2</v>
      </c>
      <c r="S1" s="8" t="str">
        <v>20EC118-ETE-Q3</v>
      </c>
      <c r="T1" s="8" t="str">
        <v>20EC118-ETE-Q4</v>
      </c>
      <c r="U1" s="8" t="str">
        <v>20EC118-ETE-Q5</v>
      </c>
      <c r="V1" s="8" t="str">
        <v>20EC118-ETE-Q6</v>
      </c>
      <c r="W1" s="8" t="str">
        <v>20EC118-ETE-Q7</v>
      </c>
      <c r="X1" s="8" t="str">
        <v>20EC118-ETE-Q8</v>
      </c>
      <c r="Y1" s="8" t="str">
        <v>20EC118-ETE-Q9</v>
      </c>
      <c r="Z1" s="8" t="str">
        <v>20EC118-ETE-Q10</v>
      </c>
      <c r="AA1" s="8" t="str">
        <v>20EC118-ETE-Q11</v>
      </c>
      <c r="AB1" s="8" t="str">
        <v>20EC118-ETE-Q12</v>
      </c>
      <c r="AC1" s="8" t="str">
        <v>20EC118-ETE-Q13</v>
      </c>
      <c r="AD1" s="8" t="str">
        <v>20EC118-ETE-Q14</v>
      </c>
      <c r="AE1" s="8" t="str">
        <v>20EC118-ETE-Q15</v>
      </c>
      <c r="AF1" s="8" t="str">
        <v>20EC118-ETE-Q16</v>
      </c>
      <c r="AG1" s="8" t="str">
        <v>20EC118-ETE-Assignment</v>
      </c>
      <c r="AH1" s="8" t="str">
        <v>20EC118-ETE-FA1</v>
      </c>
      <c r="AI1" s="8" t="str">
        <v>20EC118-ETE-FA2</v>
      </c>
      <c r="AJ1" s="8" t="s">
        <v>40</v>
      </c>
      <c r="AK1" s="8" t="s">
        <v>84</v>
      </c>
    </row>
    <row r="2" spans="1:37" ht="14.4" x14ac:dyDescent="0.3">
      <c r="A2" s="10">
        <v>1</v>
      </c>
      <c r="B2" s="15" t="s">
        <v>41</v>
      </c>
      <c r="C2" s="10" t="s">
        <v>42</v>
      </c>
      <c r="D2" s="10"/>
      <c r="E2" s="10" t="s">
        <v>43</v>
      </c>
      <c r="F2" s="10" t="s">
        <v>44</v>
      </c>
      <c r="G2" s="10" t="s">
        <v>45</v>
      </c>
      <c r="H2" s="16" t="s">
        <v>46</v>
      </c>
      <c r="I2" s="10" t="s">
        <v>47</v>
      </c>
      <c r="J2" s="10">
        <v>2020</v>
      </c>
      <c r="K2" s="10">
        <v>4</v>
      </c>
      <c r="L2" s="10" t="s">
        <v>87</v>
      </c>
      <c r="M2" s="16">
        <v>1</v>
      </c>
      <c r="N2" s="16">
        <v>1</v>
      </c>
      <c r="O2" s="16">
        <v>1</v>
      </c>
      <c r="P2" s="16">
        <v>1</v>
      </c>
      <c r="Q2" s="16">
        <v>1</v>
      </c>
      <c r="R2" s="16">
        <v>2</v>
      </c>
      <c r="S2" s="16">
        <v>2</v>
      </c>
      <c r="T2" s="16" t="s">
        <v>49</v>
      </c>
      <c r="U2" s="16" t="s">
        <v>49</v>
      </c>
      <c r="V2" s="16">
        <v>2</v>
      </c>
      <c r="W2" s="16">
        <v>2</v>
      </c>
      <c r="X2" s="16">
        <v>3</v>
      </c>
      <c r="Y2" s="16" t="s">
        <v>49</v>
      </c>
      <c r="Z2" s="16">
        <v>5</v>
      </c>
      <c r="AA2" s="16">
        <v>5</v>
      </c>
      <c r="AB2" s="16">
        <v>5</v>
      </c>
      <c r="AC2" s="16" t="s">
        <v>49</v>
      </c>
      <c r="AD2" s="16" t="s">
        <v>49</v>
      </c>
      <c r="AE2" s="16" t="s">
        <v>49</v>
      </c>
      <c r="AF2" s="16">
        <v>2</v>
      </c>
      <c r="AG2" s="10" t="s">
        <v>49</v>
      </c>
      <c r="AH2" s="10" t="s">
        <v>49</v>
      </c>
      <c r="AI2" s="10" t="s">
        <v>49</v>
      </c>
      <c r="AJ2" s="10">
        <f t="shared" ref="AJ2:AJ19" si="0">SUM(M2:AI2)</f>
        <v>33</v>
      </c>
      <c r="AK2" s="10">
        <v>60</v>
      </c>
    </row>
    <row r="3" spans="1:37" ht="14.4" x14ac:dyDescent="0.3">
      <c r="A3" s="10">
        <v>2</v>
      </c>
      <c r="B3" s="15" t="s">
        <v>50</v>
      </c>
      <c r="C3" s="10" t="s">
        <v>51</v>
      </c>
      <c r="D3" s="10"/>
      <c r="E3" s="10" t="s">
        <v>43</v>
      </c>
      <c r="F3" s="10" t="s">
        <v>44</v>
      </c>
      <c r="G3" s="10" t="s">
        <v>45</v>
      </c>
      <c r="H3" s="16" t="s">
        <v>46</v>
      </c>
      <c r="I3" s="10" t="s">
        <v>47</v>
      </c>
      <c r="J3" s="10">
        <v>2020</v>
      </c>
      <c r="K3" s="10">
        <v>4</v>
      </c>
      <c r="L3" s="10" t="s">
        <v>87</v>
      </c>
      <c r="M3" s="16">
        <v>1</v>
      </c>
      <c r="N3" s="16">
        <v>1</v>
      </c>
      <c r="O3" s="16">
        <v>1</v>
      </c>
      <c r="P3" s="16">
        <v>1</v>
      </c>
      <c r="Q3" s="16">
        <v>1</v>
      </c>
      <c r="R3" s="16">
        <v>2</v>
      </c>
      <c r="S3" s="16">
        <v>2</v>
      </c>
      <c r="T3" s="16">
        <v>2</v>
      </c>
      <c r="U3" s="16">
        <v>2</v>
      </c>
      <c r="V3" s="16" t="s">
        <v>49</v>
      </c>
      <c r="W3" s="16">
        <v>2</v>
      </c>
      <c r="X3" s="16">
        <v>5</v>
      </c>
      <c r="Y3" s="16">
        <v>5</v>
      </c>
      <c r="Z3" s="16">
        <v>5</v>
      </c>
      <c r="AA3" s="16">
        <v>5</v>
      </c>
      <c r="AB3" s="16" t="s">
        <v>49</v>
      </c>
      <c r="AC3" s="16">
        <v>5</v>
      </c>
      <c r="AD3" s="16" t="s">
        <v>49</v>
      </c>
      <c r="AE3" s="16">
        <v>5</v>
      </c>
      <c r="AF3" s="16">
        <v>10</v>
      </c>
      <c r="AG3" s="10" t="s">
        <v>49</v>
      </c>
      <c r="AH3" s="10" t="s">
        <v>49</v>
      </c>
      <c r="AI3" s="10" t="s">
        <v>49</v>
      </c>
      <c r="AJ3" s="10">
        <f t="shared" si="0"/>
        <v>55</v>
      </c>
      <c r="AK3" s="10">
        <v>60</v>
      </c>
    </row>
    <row r="4" spans="1:37" ht="14.4" x14ac:dyDescent="0.3">
      <c r="A4" s="10">
        <v>3</v>
      </c>
      <c r="B4" s="15" t="s">
        <v>52</v>
      </c>
      <c r="C4" s="10" t="s">
        <v>53</v>
      </c>
      <c r="D4" s="10"/>
      <c r="E4" s="10" t="s">
        <v>43</v>
      </c>
      <c r="F4" s="10" t="s">
        <v>44</v>
      </c>
      <c r="G4" s="10" t="s">
        <v>45</v>
      </c>
      <c r="H4" s="16" t="s">
        <v>46</v>
      </c>
      <c r="I4" s="10" t="s">
        <v>47</v>
      </c>
      <c r="J4" s="10">
        <v>2020</v>
      </c>
      <c r="K4" s="10">
        <v>4</v>
      </c>
      <c r="L4" s="10" t="s">
        <v>87</v>
      </c>
      <c r="M4" s="16">
        <v>1</v>
      </c>
      <c r="N4" s="16">
        <v>1</v>
      </c>
      <c r="O4" s="16">
        <v>1</v>
      </c>
      <c r="P4" s="16">
        <v>1</v>
      </c>
      <c r="Q4" s="16">
        <v>1</v>
      </c>
      <c r="R4" s="16">
        <v>2</v>
      </c>
      <c r="S4" s="16">
        <v>2</v>
      </c>
      <c r="T4" s="16" t="s">
        <v>49</v>
      </c>
      <c r="U4" s="16" t="s">
        <v>49</v>
      </c>
      <c r="V4" s="16">
        <v>2</v>
      </c>
      <c r="W4" s="16">
        <v>2</v>
      </c>
      <c r="X4" s="16">
        <v>4</v>
      </c>
      <c r="Y4" s="16">
        <v>5</v>
      </c>
      <c r="Z4" s="16" t="s">
        <v>49</v>
      </c>
      <c r="AA4" s="16" t="s">
        <v>49</v>
      </c>
      <c r="AB4" s="16" t="s">
        <v>49</v>
      </c>
      <c r="AC4" s="16" t="s">
        <v>49</v>
      </c>
      <c r="AD4" s="16" t="s">
        <v>49</v>
      </c>
      <c r="AE4" s="16">
        <v>2</v>
      </c>
      <c r="AF4" s="16" t="s">
        <v>49</v>
      </c>
      <c r="AG4" s="10" t="s">
        <v>49</v>
      </c>
      <c r="AH4" s="10" t="s">
        <v>49</v>
      </c>
      <c r="AI4" s="10" t="s">
        <v>49</v>
      </c>
      <c r="AJ4" s="10">
        <f t="shared" si="0"/>
        <v>24</v>
      </c>
      <c r="AK4" s="10">
        <v>60</v>
      </c>
    </row>
    <row r="5" spans="1:37" ht="14.4" x14ac:dyDescent="0.3">
      <c r="A5" s="10">
        <v>4</v>
      </c>
      <c r="B5" s="15" t="s">
        <v>54</v>
      </c>
      <c r="C5" s="10" t="s">
        <v>55</v>
      </c>
      <c r="D5" s="10"/>
      <c r="E5" s="10" t="s">
        <v>43</v>
      </c>
      <c r="F5" s="10" t="s">
        <v>44</v>
      </c>
      <c r="G5" s="10" t="s">
        <v>45</v>
      </c>
      <c r="H5" s="16" t="s">
        <v>46</v>
      </c>
      <c r="I5" s="10" t="s">
        <v>47</v>
      </c>
      <c r="J5" s="10">
        <v>2020</v>
      </c>
      <c r="K5" s="10">
        <v>4</v>
      </c>
      <c r="L5" s="10" t="s">
        <v>87</v>
      </c>
      <c r="M5" s="16">
        <v>1</v>
      </c>
      <c r="N5" s="16">
        <v>1</v>
      </c>
      <c r="O5" s="16">
        <v>1</v>
      </c>
      <c r="P5" s="16">
        <v>1</v>
      </c>
      <c r="Q5" s="16">
        <v>1</v>
      </c>
      <c r="R5" s="16" t="s">
        <v>49</v>
      </c>
      <c r="S5" s="16" t="s">
        <v>49</v>
      </c>
      <c r="T5" s="16" t="s">
        <v>49</v>
      </c>
      <c r="U5" s="16" t="s">
        <v>49</v>
      </c>
      <c r="V5" s="16" t="s">
        <v>49</v>
      </c>
      <c r="W5" s="16" t="s">
        <v>49</v>
      </c>
      <c r="X5" s="16" t="s">
        <v>49</v>
      </c>
      <c r="Y5" s="16" t="s">
        <v>49</v>
      </c>
      <c r="Z5" s="16" t="s">
        <v>49</v>
      </c>
      <c r="AA5" s="16" t="s">
        <v>49</v>
      </c>
      <c r="AB5" s="16" t="s">
        <v>49</v>
      </c>
      <c r="AC5" s="16" t="s">
        <v>49</v>
      </c>
      <c r="AD5" s="16">
        <v>1</v>
      </c>
      <c r="AE5" s="16" t="s">
        <v>49</v>
      </c>
      <c r="AF5" s="16" t="s">
        <v>49</v>
      </c>
      <c r="AG5" s="10" t="s">
        <v>49</v>
      </c>
      <c r="AH5" s="10" t="s">
        <v>49</v>
      </c>
      <c r="AI5" s="10" t="s">
        <v>49</v>
      </c>
      <c r="AJ5" s="10">
        <f t="shared" si="0"/>
        <v>6</v>
      </c>
      <c r="AK5" s="10">
        <v>60</v>
      </c>
    </row>
    <row r="6" spans="1:37" ht="15" customHeight="1" x14ac:dyDescent="0.3">
      <c r="A6" s="10">
        <v>5</v>
      </c>
      <c r="B6" s="15" t="s">
        <v>56</v>
      </c>
      <c r="C6" s="10" t="s">
        <v>57</v>
      </c>
      <c r="D6" s="10"/>
      <c r="E6" s="10" t="s">
        <v>43</v>
      </c>
      <c r="F6" s="10" t="s">
        <v>44</v>
      </c>
      <c r="G6" s="10" t="s">
        <v>45</v>
      </c>
      <c r="H6" s="16" t="s">
        <v>46</v>
      </c>
      <c r="I6" s="10" t="s">
        <v>47</v>
      </c>
      <c r="J6" s="10">
        <v>2020</v>
      </c>
      <c r="K6" s="10">
        <v>4</v>
      </c>
      <c r="L6" s="10" t="s">
        <v>87</v>
      </c>
      <c r="M6" s="16">
        <v>1</v>
      </c>
      <c r="N6" s="16">
        <v>1</v>
      </c>
      <c r="O6" s="16">
        <v>1</v>
      </c>
      <c r="P6" s="16">
        <v>1</v>
      </c>
      <c r="Q6" s="16">
        <v>1</v>
      </c>
      <c r="R6" s="16">
        <v>2</v>
      </c>
      <c r="S6" s="16">
        <v>2</v>
      </c>
      <c r="T6" s="16">
        <v>2</v>
      </c>
      <c r="U6" s="16">
        <v>2</v>
      </c>
      <c r="V6" s="16" t="s">
        <v>49</v>
      </c>
      <c r="W6" s="16" t="s">
        <v>49</v>
      </c>
      <c r="X6" s="16">
        <v>5</v>
      </c>
      <c r="Y6" s="16">
        <v>3</v>
      </c>
      <c r="Z6" s="16" t="s">
        <v>49</v>
      </c>
      <c r="AA6" s="16" t="s">
        <v>49</v>
      </c>
      <c r="AB6" s="16" t="s">
        <v>49</v>
      </c>
      <c r="AC6" s="16">
        <v>5</v>
      </c>
      <c r="AD6" s="16">
        <v>2</v>
      </c>
      <c r="AE6" s="16" t="s">
        <v>49</v>
      </c>
      <c r="AF6" s="16" t="s">
        <v>49</v>
      </c>
      <c r="AG6" s="10" t="s">
        <v>49</v>
      </c>
      <c r="AH6" s="10" t="s">
        <v>49</v>
      </c>
      <c r="AI6" s="10" t="s">
        <v>49</v>
      </c>
      <c r="AJ6" s="10">
        <f t="shared" si="0"/>
        <v>28</v>
      </c>
      <c r="AK6" s="10">
        <v>60</v>
      </c>
    </row>
    <row r="7" spans="1:37" ht="15" customHeight="1" x14ac:dyDescent="0.3">
      <c r="A7" s="10">
        <v>6</v>
      </c>
      <c r="B7" s="15" t="s">
        <v>58</v>
      </c>
      <c r="C7" s="10" t="s">
        <v>59</v>
      </c>
      <c r="D7" s="10"/>
      <c r="E7" s="10" t="s">
        <v>43</v>
      </c>
      <c r="F7" s="10" t="s">
        <v>44</v>
      </c>
      <c r="G7" s="10" t="s">
        <v>45</v>
      </c>
      <c r="H7" s="16" t="s">
        <v>46</v>
      </c>
      <c r="I7" s="10" t="s">
        <v>47</v>
      </c>
      <c r="J7" s="10">
        <v>2020</v>
      </c>
      <c r="K7" s="10">
        <v>4</v>
      </c>
      <c r="L7" s="10" t="s">
        <v>87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  <c r="R7" s="16">
        <v>2</v>
      </c>
      <c r="S7" s="16">
        <v>2</v>
      </c>
      <c r="T7" s="16">
        <v>2</v>
      </c>
      <c r="U7" s="16" t="s">
        <v>49</v>
      </c>
      <c r="V7" s="16">
        <v>2</v>
      </c>
      <c r="W7" s="16" t="s">
        <v>49</v>
      </c>
      <c r="X7" s="16">
        <v>5</v>
      </c>
      <c r="Y7" s="16" t="s">
        <v>49</v>
      </c>
      <c r="Z7" s="16" t="s">
        <v>49</v>
      </c>
      <c r="AA7" s="16" t="s">
        <v>49</v>
      </c>
      <c r="AB7" s="16">
        <v>5</v>
      </c>
      <c r="AC7" s="16" t="s">
        <v>49</v>
      </c>
      <c r="AD7" s="16">
        <v>2</v>
      </c>
      <c r="AE7" s="16" t="s">
        <v>49</v>
      </c>
      <c r="AF7" s="16" t="s">
        <v>49</v>
      </c>
      <c r="AG7" s="10" t="s">
        <v>49</v>
      </c>
      <c r="AH7" s="10" t="s">
        <v>49</v>
      </c>
      <c r="AI7" s="10" t="s">
        <v>49</v>
      </c>
      <c r="AJ7" s="10">
        <f t="shared" si="0"/>
        <v>25</v>
      </c>
      <c r="AK7" s="10">
        <v>60</v>
      </c>
    </row>
    <row r="8" spans="1:37" ht="15" customHeight="1" x14ac:dyDescent="0.3">
      <c r="A8" s="10">
        <v>7</v>
      </c>
      <c r="B8" s="15" t="s">
        <v>60</v>
      </c>
      <c r="C8" s="10" t="s">
        <v>61</v>
      </c>
      <c r="D8" s="10"/>
      <c r="E8" s="10" t="s">
        <v>43</v>
      </c>
      <c r="F8" s="10" t="s">
        <v>44</v>
      </c>
      <c r="G8" s="10" t="s">
        <v>45</v>
      </c>
      <c r="H8" s="16" t="s">
        <v>46</v>
      </c>
      <c r="I8" s="10" t="s">
        <v>47</v>
      </c>
      <c r="J8" s="10">
        <v>2020</v>
      </c>
      <c r="K8" s="10">
        <v>4</v>
      </c>
      <c r="L8" s="10" t="s">
        <v>87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  <c r="R8" s="16">
        <v>2</v>
      </c>
      <c r="S8" s="16">
        <v>2</v>
      </c>
      <c r="T8" s="16" t="s">
        <v>49</v>
      </c>
      <c r="U8" s="16">
        <v>2</v>
      </c>
      <c r="V8" s="16">
        <v>2</v>
      </c>
      <c r="W8" s="16">
        <v>2</v>
      </c>
      <c r="X8" s="16">
        <v>5</v>
      </c>
      <c r="Y8" s="16">
        <v>5</v>
      </c>
      <c r="Z8" s="16">
        <v>5</v>
      </c>
      <c r="AA8" s="16">
        <v>5</v>
      </c>
      <c r="AB8" s="16">
        <v>5</v>
      </c>
      <c r="AC8" s="16" t="s">
        <v>49</v>
      </c>
      <c r="AD8" s="16">
        <v>7</v>
      </c>
      <c r="AE8" s="16">
        <v>10</v>
      </c>
      <c r="AF8" s="16" t="s">
        <v>49</v>
      </c>
      <c r="AG8" s="10" t="s">
        <v>49</v>
      </c>
      <c r="AH8" s="10" t="s">
        <v>49</v>
      </c>
      <c r="AI8" s="10" t="s">
        <v>49</v>
      </c>
      <c r="AJ8" s="10">
        <f t="shared" si="0"/>
        <v>57</v>
      </c>
      <c r="AK8" s="10">
        <v>60</v>
      </c>
    </row>
    <row r="9" spans="1:37" ht="15" customHeight="1" x14ac:dyDescent="0.3">
      <c r="A9" s="10">
        <v>8</v>
      </c>
      <c r="B9" s="15" t="s">
        <v>62</v>
      </c>
      <c r="C9" s="10" t="s">
        <v>63</v>
      </c>
      <c r="D9" s="10"/>
      <c r="E9" s="10" t="s">
        <v>43</v>
      </c>
      <c r="F9" s="10" t="s">
        <v>44</v>
      </c>
      <c r="G9" s="10" t="s">
        <v>45</v>
      </c>
      <c r="H9" s="16" t="s">
        <v>46</v>
      </c>
      <c r="I9" s="10" t="s">
        <v>47</v>
      </c>
      <c r="J9" s="10">
        <v>2020</v>
      </c>
      <c r="K9" s="10">
        <v>4</v>
      </c>
      <c r="L9" s="10" t="s">
        <v>87</v>
      </c>
      <c r="M9" s="16">
        <v>1</v>
      </c>
      <c r="N9" s="16">
        <v>1</v>
      </c>
      <c r="O9" s="16">
        <v>1</v>
      </c>
      <c r="P9" s="16">
        <v>1</v>
      </c>
      <c r="Q9" s="16">
        <v>1</v>
      </c>
      <c r="R9" s="16">
        <v>2</v>
      </c>
      <c r="S9" s="16">
        <v>2</v>
      </c>
      <c r="T9" s="16" t="s">
        <v>49</v>
      </c>
      <c r="U9" s="16">
        <v>2</v>
      </c>
      <c r="V9" s="16" t="s">
        <v>49</v>
      </c>
      <c r="W9" s="16">
        <v>2</v>
      </c>
      <c r="X9" s="16" t="s">
        <v>49</v>
      </c>
      <c r="Y9" s="16">
        <v>4</v>
      </c>
      <c r="Z9" s="16" t="s">
        <v>49</v>
      </c>
      <c r="AA9" s="16" t="s">
        <v>49</v>
      </c>
      <c r="AB9" s="16" t="s">
        <v>49</v>
      </c>
      <c r="AC9" s="16">
        <v>5</v>
      </c>
      <c r="AD9" s="16" t="s">
        <v>49</v>
      </c>
      <c r="AE9" s="16" t="s">
        <v>49</v>
      </c>
      <c r="AF9" s="16">
        <v>2</v>
      </c>
      <c r="AG9" s="10" t="s">
        <v>49</v>
      </c>
      <c r="AH9" s="10" t="s">
        <v>49</v>
      </c>
      <c r="AI9" s="10" t="s">
        <v>49</v>
      </c>
      <c r="AJ9" s="10">
        <f t="shared" si="0"/>
        <v>24</v>
      </c>
      <c r="AK9" s="10">
        <v>60</v>
      </c>
    </row>
    <row r="10" spans="1:37" ht="15" customHeight="1" x14ac:dyDescent="0.3">
      <c r="A10" s="10">
        <v>9</v>
      </c>
      <c r="B10" s="15" t="s">
        <v>64</v>
      </c>
      <c r="C10" s="10" t="s">
        <v>65</v>
      </c>
      <c r="D10" s="10"/>
      <c r="E10" s="10" t="s">
        <v>43</v>
      </c>
      <c r="F10" s="10" t="s">
        <v>44</v>
      </c>
      <c r="G10" s="10" t="s">
        <v>45</v>
      </c>
      <c r="H10" s="16" t="s">
        <v>46</v>
      </c>
      <c r="I10" s="10" t="s">
        <v>47</v>
      </c>
      <c r="J10" s="10">
        <v>2020</v>
      </c>
      <c r="K10" s="10">
        <v>4</v>
      </c>
      <c r="L10" s="10" t="s">
        <v>87</v>
      </c>
      <c r="M10" s="16">
        <v>1</v>
      </c>
      <c r="N10" s="16">
        <v>1</v>
      </c>
      <c r="O10" s="16">
        <v>1</v>
      </c>
      <c r="P10" s="16">
        <v>1</v>
      </c>
      <c r="Q10" s="16">
        <v>1</v>
      </c>
      <c r="R10" s="16">
        <v>2</v>
      </c>
      <c r="S10" s="16" t="s">
        <v>49</v>
      </c>
      <c r="T10" s="16">
        <v>2</v>
      </c>
      <c r="U10" s="16" t="s">
        <v>49</v>
      </c>
      <c r="V10" s="16">
        <v>2</v>
      </c>
      <c r="W10" s="16">
        <v>2</v>
      </c>
      <c r="X10" s="16">
        <v>3</v>
      </c>
      <c r="Y10" s="16">
        <v>5</v>
      </c>
      <c r="Z10" s="16">
        <v>5</v>
      </c>
      <c r="AA10" s="16">
        <v>5</v>
      </c>
      <c r="AB10" s="16" t="s">
        <v>49</v>
      </c>
      <c r="AC10" s="16">
        <v>5</v>
      </c>
      <c r="AD10" s="16" t="s">
        <v>49</v>
      </c>
      <c r="AE10" s="16" t="s">
        <v>49</v>
      </c>
      <c r="AF10" s="16">
        <v>2</v>
      </c>
      <c r="AG10" s="10" t="s">
        <v>49</v>
      </c>
      <c r="AH10" s="10" t="s">
        <v>49</v>
      </c>
      <c r="AI10" s="10" t="s">
        <v>49</v>
      </c>
      <c r="AJ10" s="10">
        <f t="shared" si="0"/>
        <v>38</v>
      </c>
      <c r="AK10" s="10">
        <v>60</v>
      </c>
    </row>
    <row r="11" spans="1:37" ht="15" customHeight="1" x14ac:dyDescent="0.3">
      <c r="A11" s="10">
        <v>10</v>
      </c>
      <c r="B11" s="15" t="s">
        <v>66</v>
      </c>
      <c r="C11" s="10" t="s">
        <v>67</v>
      </c>
      <c r="D11" s="10"/>
      <c r="E11" s="10" t="s">
        <v>43</v>
      </c>
      <c r="F11" s="10" t="s">
        <v>44</v>
      </c>
      <c r="G11" s="10" t="s">
        <v>45</v>
      </c>
      <c r="H11" s="16" t="s">
        <v>46</v>
      </c>
      <c r="I11" s="10" t="s">
        <v>47</v>
      </c>
      <c r="J11" s="10">
        <v>2020</v>
      </c>
      <c r="K11" s="10">
        <v>4</v>
      </c>
      <c r="L11" s="10" t="s">
        <v>87</v>
      </c>
      <c r="M11" s="16">
        <v>1</v>
      </c>
      <c r="N11" s="16">
        <v>1</v>
      </c>
      <c r="O11" s="16">
        <v>1</v>
      </c>
      <c r="P11" s="16">
        <v>1</v>
      </c>
      <c r="Q11" s="16">
        <v>1</v>
      </c>
      <c r="R11" s="16">
        <v>2</v>
      </c>
      <c r="S11" s="16">
        <v>2</v>
      </c>
      <c r="T11" s="16">
        <v>2</v>
      </c>
      <c r="U11" s="16" t="s">
        <v>49</v>
      </c>
      <c r="V11" s="16">
        <v>2</v>
      </c>
      <c r="W11" s="16" t="s">
        <v>49</v>
      </c>
      <c r="X11" s="16" t="s">
        <v>49</v>
      </c>
      <c r="Y11" s="16" t="s">
        <v>49</v>
      </c>
      <c r="Z11" s="16">
        <v>3</v>
      </c>
      <c r="AA11" s="16">
        <v>5</v>
      </c>
      <c r="AB11" s="16">
        <v>5</v>
      </c>
      <c r="AC11" s="16">
        <v>5</v>
      </c>
      <c r="AD11" s="16">
        <v>2</v>
      </c>
      <c r="AE11" s="16" t="s">
        <v>49</v>
      </c>
      <c r="AF11" s="16" t="s">
        <v>49</v>
      </c>
      <c r="AG11" s="10" t="s">
        <v>49</v>
      </c>
      <c r="AH11" s="10" t="s">
        <v>49</v>
      </c>
      <c r="AI11" s="10" t="s">
        <v>49</v>
      </c>
      <c r="AJ11" s="10">
        <f t="shared" si="0"/>
        <v>33</v>
      </c>
      <c r="AK11" s="10">
        <v>60</v>
      </c>
    </row>
    <row r="12" spans="1:37" ht="15" customHeight="1" x14ac:dyDescent="0.3">
      <c r="A12" s="10">
        <v>11</v>
      </c>
      <c r="B12" s="15" t="s">
        <v>68</v>
      </c>
      <c r="C12" s="10" t="s">
        <v>69</v>
      </c>
      <c r="D12" s="10"/>
      <c r="E12" s="10" t="s">
        <v>43</v>
      </c>
      <c r="F12" s="10" t="s">
        <v>44</v>
      </c>
      <c r="G12" s="10" t="s">
        <v>45</v>
      </c>
      <c r="H12" s="16" t="s">
        <v>46</v>
      </c>
      <c r="I12" s="10" t="s">
        <v>47</v>
      </c>
      <c r="J12" s="10">
        <v>2020</v>
      </c>
      <c r="K12" s="10">
        <v>4</v>
      </c>
      <c r="L12" s="10" t="s">
        <v>87</v>
      </c>
      <c r="M12" s="16">
        <v>1</v>
      </c>
      <c r="N12" s="16">
        <v>1</v>
      </c>
      <c r="O12" s="16">
        <v>1</v>
      </c>
      <c r="P12" s="16">
        <v>1</v>
      </c>
      <c r="Q12" s="16">
        <v>1</v>
      </c>
      <c r="R12" s="16">
        <v>2</v>
      </c>
      <c r="S12" s="16">
        <v>2</v>
      </c>
      <c r="T12" s="16" t="s">
        <v>49</v>
      </c>
      <c r="U12" s="16">
        <v>2</v>
      </c>
      <c r="V12" s="16" t="s">
        <v>49</v>
      </c>
      <c r="W12" s="16" t="s">
        <v>49</v>
      </c>
      <c r="X12" s="16" t="s">
        <v>49</v>
      </c>
      <c r="Y12" s="16" t="s">
        <v>49</v>
      </c>
      <c r="Z12" s="16" t="s">
        <v>49</v>
      </c>
      <c r="AA12" s="16" t="s">
        <v>49</v>
      </c>
      <c r="AB12" s="16" t="s">
        <v>49</v>
      </c>
      <c r="AC12" s="16" t="s">
        <v>49</v>
      </c>
      <c r="AD12" s="16" t="s">
        <v>49</v>
      </c>
      <c r="AE12" s="16" t="s">
        <v>49</v>
      </c>
      <c r="AF12" s="16">
        <v>2</v>
      </c>
      <c r="AG12" s="10" t="s">
        <v>49</v>
      </c>
      <c r="AH12" s="10" t="s">
        <v>49</v>
      </c>
      <c r="AI12" s="10" t="s">
        <v>49</v>
      </c>
      <c r="AJ12" s="10">
        <f t="shared" si="0"/>
        <v>13</v>
      </c>
      <c r="AK12" s="10">
        <v>60</v>
      </c>
    </row>
    <row r="13" spans="1:37" ht="15" customHeight="1" x14ac:dyDescent="0.3">
      <c r="A13" s="10">
        <v>12</v>
      </c>
      <c r="B13" s="15" t="s">
        <v>70</v>
      </c>
      <c r="C13" s="10" t="s">
        <v>71</v>
      </c>
      <c r="D13" s="10"/>
      <c r="E13" s="10" t="s">
        <v>43</v>
      </c>
      <c r="F13" s="10" t="s">
        <v>44</v>
      </c>
      <c r="G13" s="10" t="s">
        <v>45</v>
      </c>
      <c r="H13" s="16" t="s">
        <v>46</v>
      </c>
      <c r="I13" s="10" t="s">
        <v>47</v>
      </c>
      <c r="J13" s="10">
        <v>2020</v>
      </c>
      <c r="K13" s="10">
        <v>4</v>
      </c>
      <c r="L13" s="10" t="s">
        <v>87</v>
      </c>
      <c r="M13" s="16">
        <v>1</v>
      </c>
      <c r="N13" s="16">
        <v>1</v>
      </c>
      <c r="O13" s="16">
        <v>1</v>
      </c>
      <c r="P13" s="16">
        <v>1</v>
      </c>
      <c r="Q13" s="16">
        <v>1</v>
      </c>
      <c r="R13" s="16">
        <v>2</v>
      </c>
      <c r="S13" s="16">
        <v>2</v>
      </c>
      <c r="T13" s="16" t="s">
        <v>49</v>
      </c>
      <c r="U13" s="16" t="s">
        <v>49</v>
      </c>
      <c r="V13" s="16">
        <v>2</v>
      </c>
      <c r="W13" s="16">
        <v>2</v>
      </c>
      <c r="X13" s="16" t="s">
        <v>49</v>
      </c>
      <c r="Y13" s="16">
        <v>5</v>
      </c>
      <c r="Z13" s="16" t="s">
        <v>49</v>
      </c>
      <c r="AA13" s="16">
        <v>2</v>
      </c>
      <c r="AB13" s="16" t="s">
        <v>49</v>
      </c>
      <c r="AC13" s="16">
        <v>5</v>
      </c>
      <c r="AD13" s="16" t="s">
        <v>49</v>
      </c>
      <c r="AE13" s="16">
        <v>2</v>
      </c>
      <c r="AF13" s="16" t="s">
        <v>49</v>
      </c>
      <c r="AG13" s="10" t="s">
        <v>49</v>
      </c>
      <c r="AH13" s="10" t="s">
        <v>49</v>
      </c>
      <c r="AI13" s="10" t="s">
        <v>49</v>
      </c>
      <c r="AJ13" s="10">
        <f t="shared" si="0"/>
        <v>27</v>
      </c>
      <c r="AK13" s="10">
        <v>60</v>
      </c>
    </row>
    <row r="14" spans="1:37" ht="15" customHeight="1" x14ac:dyDescent="0.3">
      <c r="A14" s="10">
        <v>13</v>
      </c>
      <c r="B14" s="15" t="s">
        <v>72</v>
      </c>
      <c r="C14" s="10" t="s">
        <v>73</v>
      </c>
      <c r="D14" s="10"/>
      <c r="E14" s="10" t="s">
        <v>43</v>
      </c>
      <c r="F14" s="10" t="s">
        <v>44</v>
      </c>
      <c r="G14" s="10" t="s">
        <v>45</v>
      </c>
      <c r="H14" s="16" t="s">
        <v>46</v>
      </c>
      <c r="I14" s="10" t="s">
        <v>47</v>
      </c>
      <c r="J14" s="10">
        <v>2020</v>
      </c>
      <c r="K14" s="10">
        <v>4</v>
      </c>
      <c r="L14" s="10" t="s">
        <v>87</v>
      </c>
      <c r="M14" s="16">
        <v>1</v>
      </c>
      <c r="N14" s="16">
        <v>1</v>
      </c>
      <c r="O14" s="16">
        <v>1</v>
      </c>
      <c r="P14" s="16">
        <v>1</v>
      </c>
      <c r="Q14" s="16">
        <v>1</v>
      </c>
      <c r="R14" s="16">
        <v>2</v>
      </c>
      <c r="S14" s="16" t="s">
        <v>49</v>
      </c>
      <c r="T14" s="16">
        <v>2</v>
      </c>
      <c r="U14" s="16" t="s">
        <v>49</v>
      </c>
      <c r="V14" s="16">
        <v>2</v>
      </c>
      <c r="W14" s="16">
        <v>2</v>
      </c>
      <c r="X14" s="16">
        <v>5</v>
      </c>
      <c r="Y14" s="16">
        <v>5</v>
      </c>
      <c r="Z14" s="16">
        <v>5</v>
      </c>
      <c r="AA14" s="16" t="s">
        <v>49</v>
      </c>
      <c r="AB14" s="16">
        <v>5</v>
      </c>
      <c r="AC14" s="16">
        <v>5</v>
      </c>
      <c r="AD14" s="16">
        <v>2</v>
      </c>
      <c r="AE14" s="16" t="s">
        <v>49</v>
      </c>
      <c r="AF14" s="16">
        <v>2</v>
      </c>
      <c r="AG14" s="10" t="s">
        <v>49</v>
      </c>
      <c r="AH14" s="10" t="s">
        <v>49</v>
      </c>
      <c r="AI14" s="10" t="s">
        <v>49</v>
      </c>
      <c r="AJ14" s="10">
        <f t="shared" si="0"/>
        <v>42</v>
      </c>
      <c r="AK14" s="10">
        <v>60</v>
      </c>
    </row>
    <row r="15" spans="1:37" ht="15" customHeight="1" x14ac:dyDescent="0.3">
      <c r="A15" s="10">
        <v>14</v>
      </c>
      <c r="B15" s="15" t="s">
        <v>74</v>
      </c>
      <c r="C15" s="10" t="s">
        <v>75</v>
      </c>
      <c r="D15" s="10"/>
      <c r="E15" s="10" t="s">
        <v>43</v>
      </c>
      <c r="F15" s="10" t="s">
        <v>44</v>
      </c>
      <c r="G15" s="10" t="s">
        <v>45</v>
      </c>
      <c r="H15" s="16" t="s">
        <v>46</v>
      </c>
      <c r="I15" s="10" t="s">
        <v>47</v>
      </c>
      <c r="J15" s="10">
        <v>2020</v>
      </c>
      <c r="K15" s="10">
        <v>4</v>
      </c>
      <c r="L15" s="10" t="s">
        <v>87</v>
      </c>
      <c r="M15" s="16">
        <v>1</v>
      </c>
      <c r="N15" s="16">
        <v>1</v>
      </c>
      <c r="O15" s="16">
        <v>1</v>
      </c>
      <c r="P15" s="16">
        <v>1</v>
      </c>
      <c r="Q15" s="16">
        <v>1</v>
      </c>
      <c r="R15" s="16" t="s">
        <v>49</v>
      </c>
      <c r="S15" s="16">
        <v>2</v>
      </c>
      <c r="T15" s="16" t="s">
        <v>49</v>
      </c>
      <c r="U15" s="16">
        <v>2</v>
      </c>
      <c r="V15" s="16">
        <v>2</v>
      </c>
      <c r="W15" s="16">
        <v>2</v>
      </c>
      <c r="X15" s="16">
        <v>5</v>
      </c>
      <c r="Y15" s="16" t="s">
        <v>49</v>
      </c>
      <c r="Z15" s="16" t="s">
        <v>49</v>
      </c>
      <c r="AA15" s="16" t="s">
        <v>49</v>
      </c>
      <c r="AB15" s="16" t="s">
        <v>49</v>
      </c>
      <c r="AC15" s="16">
        <v>5</v>
      </c>
      <c r="AD15" s="16" t="s">
        <v>49</v>
      </c>
      <c r="AE15" s="16">
        <v>2</v>
      </c>
      <c r="AF15" s="16" t="s">
        <v>49</v>
      </c>
      <c r="AG15" s="10" t="s">
        <v>49</v>
      </c>
      <c r="AH15" s="10" t="s">
        <v>49</v>
      </c>
      <c r="AI15" s="10" t="s">
        <v>49</v>
      </c>
      <c r="AJ15" s="10">
        <f t="shared" si="0"/>
        <v>25</v>
      </c>
      <c r="AK15" s="10">
        <v>60</v>
      </c>
    </row>
    <row r="16" spans="1:37" ht="15" customHeight="1" x14ac:dyDescent="0.3">
      <c r="A16" s="10">
        <v>15</v>
      </c>
      <c r="B16" s="15" t="s">
        <v>76</v>
      </c>
      <c r="C16" s="10" t="s">
        <v>77</v>
      </c>
      <c r="D16" s="10"/>
      <c r="E16" s="10" t="s">
        <v>43</v>
      </c>
      <c r="F16" s="10" t="s">
        <v>44</v>
      </c>
      <c r="G16" s="10" t="s">
        <v>45</v>
      </c>
      <c r="H16" s="16" t="s">
        <v>46</v>
      </c>
      <c r="I16" s="10" t="s">
        <v>47</v>
      </c>
      <c r="J16" s="10">
        <v>2020</v>
      </c>
      <c r="K16" s="10">
        <v>4</v>
      </c>
      <c r="L16" s="10" t="s">
        <v>87</v>
      </c>
      <c r="M16" s="16">
        <v>1</v>
      </c>
      <c r="N16" s="16">
        <v>1</v>
      </c>
      <c r="O16" s="16">
        <v>1</v>
      </c>
      <c r="P16" s="16">
        <v>1</v>
      </c>
      <c r="Q16" s="16">
        <v>1</v>
      </c>
      <c r="R16" s="16">
        <v>2</v>
      </c>
      <c r="S16" s="16">
        <v>2</v>
      </c>
      <c r="T16" s="16" t="s">
        <v>49</v>
      </c>
      <c r="U16" s="16">
        <v>2</v>
      </c>
      <c r="V16" s="16" t="s">
        <v>49</v>
      </c>
      <c r="W16" s="16">
        <v>2</v>
      </c>
      <c r="X16" s="16">
        <v>5</v>
      </c>
      <c r="Y16" s="16">
        <v>2</v>
      </c>
      <c r="Z16" s="16">
        <v>5</v>
      </c>
      <c r="AA16" s="16" t="s">
        <v>49</v>
      </c>
      <c r="AB16" s="16" t="s">
        <v>49</v>
      </c>
      <c r="AC16" s="16">
        <v>5</v>
      </c>
      <c r="AD16" s="16" t="s">
        <v>49</v>
      </c>
      <c r="AE16" s="16">
        <v>2</v>
      </c>
      <c r="AF16" s="16" t="s">
        <v>49</v>
      </c>
      <c r="AG16" s="10" t="s">
        <v>49</v>
      </c>
      <c r="AH16" s="10" t="s">
        <v>49</v>
      </c>
      <c r="AI16" s="10" t="s">
        <v>49</v>
      </c>
      <c r="AJ16" s="10">
        <f t="shared" si="0"/>
        <v>32</v>
      </c>
      <c r="AK16" s="10">
        <v>60</v>
      </c>
    </row>
    <row r="17" spans="1:37" ht="15" customHeight="1" x14ac:dyDescent="0.3">
      <c r="A17" s="10">
        <v>16</v>
      </c>
      <c r="B17" s="15" t="s">
        <v>78</v>
      </c>
      <c r="C17" s="10" t="s">
        <v>79</v>
      </c>
      <c r="D17" s="10"/>
      <c r="E17" s="10" t="s">
        <v>43</v>
      </c>
      <c r="F17" s="10" t="s">
        <v>44</v>
      </c>
      <c r="G17" s="10" t="s">
        <v>45</v>
      </c>
      <c r="H17" s="16" t="s">
        <v>46</v>
      </c>
      <c r="I17" s="10" t="s">
        <v>47</v>
      </c>
      <c r="J17" s="10">
        <v>2020</v>
      </c>
      <c r="K17" s="10">
        <v>4</v>
      </c>
      <c r="L17" s="10" t="s">
        <v>87</v>
      </c>
      <c r="M17" s="16">
        <v>1</v>
      </c>
      <c r="N17" s="16">
        <v>1</v>
      </c>
      <c r="O17" s="16">
        <v>1</v>
      </c>
      <c r="P17" s="16">
        <v>1</v>
      </c>
      <c r="Q17" s="16">
        <v>1</v>
      </c>
      <c r="R17" s="16">
        <v>2</v>
      </c>
      <c r="S17" s="16" t="s">
        <v>49</v>
      </c>
      <c r="T17" s="16">
        <v>2</v>
      </c>
      <c r="U17" s="16">
        <v>2</v>
      </c>
      <c r="V17" s="16" t="s">
        <v>49</v>
      </c>
      <c r="W17" s="16">
        <v>2</v>
      </c>
      <c r="X17" s="16">
        <v>5</v>
      </c>
      <c r="Y17" s="16">
        <v>5</v>
      </c>
      <c r="Z17" s="16">
        <v>5</v>
      </c>
      <c r="AA17" s="16">
        <v>5</v>
      </c>
      <c r="AB17" s="16">
        <v>5</v>
      </c>
      <c r="AC17" s="16" t="s">
        <v>49</v>
      </c>
      <c r="AD17" s="16">
        <v>2</v>
      </c>
      <c r="AE17" s="16" t="s">
        <v>49</v>
      </c>
      <c r="AF17" s="16">
        <v>8</v>
      </c>
      <c r="AG17" s="10" t="s">
        <v>49</v>
      </c>
      <c r="AH17" s="10" t="s">
        <v>49</v>
      </c>
      <c r="AI17" s="10" t="s">
        <v>49</v>
      </c>
      <c r="AJ17" s="10">
        <f t="shared" si="0"/>
        <v>48</v>
      </c>
      <c r="AK17" s="10">
        <v>60</v>
      </c>
    </row>
    <row r="18" spans="1:37" ht="15" customHeight="1" x14ac:dyDescent="0.3">
      <c r="A18" s="10">
        <v>17</v>
      </c>
      <c r="B18" s="15" t="s">
        <v>80</v>
      </c>
      <c r="C18" s="10" t="s">
        <v>81</v>
      </c>
      <c r="D18" s="10"/>
      <c r="E18" s="10" t="s">
        <v>43</v>
      </c>
      <c r="F18" s="10" t="s">
        <v>44</v>
      </c>
      <c r="G18" s="10" t="s">
        <v>45</v>
      </c>
      <c r="H18" s="16" t="s">
        <v>46</v>
      </c>
      <c r="I18" s="10" t="s">
        <v>47</v>
      </c>
      <c r="J18" s="10">
        <v>2020</v>
      </c>
      <c r="K18" s="10">
        <v>4</v>
      </c>
      <c r="L18" s="10" t="s">
        <v>87</v>
      </c>
      <c r="M18" s="16">
        <v>1</v>
      </c>
      <c r="N18" s="16">
        <v>1</v>
      </c>
      <c r="O18" s="16">
        <v>1</v>
      </c>
      <c r="P18" s="16">
        <v>1</v>
      </c>
      <c r="Q18" s="16">
        <v>1</v>
      </c>
      <c r="R18" s="16">
        <v>2</v>
      </c>
      <c r="S18" s="16">
        <v>2</v>
      </c>
      <c r="T18" s="16" t="s">
        <v>49</v>
      </c>
      <c r="U18" s="16" t="s">
        <v>49</v>
      </c>
      <c r="V18" s="16">
        <v>2</v>
      </c>
      <c r="W18" s="16">
        <v>2</v>
      </c>
      <c r="X18" s="16">
        <v>5</v>
      </c>
      <c r="Y18" s="16" t="s">
        <v>49</v>
      </c>
      <c r="Z18" s="16">
        <v>5</v>
      </c>
      <c r="AA18" s="16">
        <v>5</v>
      </c>
      <c r="AB18" s="16">
        <v>5</v>
      </c>
      <c r="AC18" s="16">
        <v>5</v>
      </c>
      <c r="AD18" s="16">
        <v>2</v>
      </c>
      <c r="AE18" s="16" t="s">
        <v>49</v>
      </c>
      <c r="AF18" s="16">
        <v>1</v>
      </c>
      <c r="AG18" s="10" t="s">
        <v>49</v>
      </c>
      <c r="AH18" s="10" t="s">
        <v>49</v>
      </c>
      <c r="AI18" s="10" t="s">
        <v>49</v>
      </c>
      <c r="AJ18" s="10">
        <f t="shared" si="0"/>
        <v>41</v>
      </c>
      <c r="AK18" s="10">
        <v>60</v>
      </c>
    </row>
    <row r="19" spans="1:37" ht="15" customHeight="1" x14ac:dyDescent="0.3">
      <c r="A19" s="10">
        <v>18</v>
      </c>
      <c r="B19" s="15" t="s">
        <v>82</v>
      </c>
      <c r="C19" s="10" t="s">
        <v>83</v>
      </c>
      <c r="D19" s="10"/>
      <c r="E19" s="10" t="s">
        <v>43</v>
      </c>
      <c r="F19" s="10" t="s">
        <v>44</v>
      </c>
      <c r="G19" s="10" t="s">
        <v>45</v>
      </c>
      <c r="H19" s="16" t="s">
        <v>46</v>
      </c>
      <c r="I19" s="10" t="s">
        <v>47</v>
      </c>
      <c r="J19" s="10">
        <v>2020</v>
      </c>
      <c r="K19" s="10">
        <v>4</v>
      </c>
      <c r="L19" s="10" t="s">
        <v>87</v>
      </c>
      <c r="M19" s="16">
        <v>1</v>
      </c>
      <c r="N19" s="16">
        <v>1</v>
      </c>
      <c r="O19" s="16">
        <v>1</v>
      </c>
      <c r="P19" s="16">
        <v>1</v>
      </c>
      <c r="Q19" s="16">
        <v>1</v>
      </c>
      <c r="R19" s="16">
        <v>2</v>
      </c>
      <c r="S19" s="16">
        <v>2</v>
      </c>
      <c r="T19" s="16" t="s">
        <v>49</v>
      </c>
      <c r="U19" s="16" t="s">
        <v>49</v>
      </c>
      <c r="V19" s="16">
        <v>2</v>
      </c>
      <c r="W19" s="16">
        <v>2</v>
      </c>
      <c r="X19" s="16">
        <v>5</v>
      </c>
      <c r="Y19" s="16">
        <v>5</v>
      </c>
      <c r="Z19" s="16">
        <v>1</v>
      </c>
      <c r="AA19" s="16">
        <v>5</v>
      </c>
      <c r="AB19" s="16">
        <v>5</v>
      </c>
      <c r="AC19" s="16" t="s">
        <v>49</v>
      </c>
      <c r="AD19" s="16">
        <v>2</v>
      </c>
      <c r="AE19" s="16" t="s">
        <v>49</v>
      </c>
      <c r="AF19" s="16" t="s">
        <v>49</v>
      </c>
      <c r="AG19" s="10" t="s">
        <v>49</v>
      </c>
      <c r="AH19" s="10" t="s">
        <v>49</v>
      </c>
      <c r="AI19" s="10" t="s">
        <v>49</v>
      </c>
      <c r="AJ19" s="10">
        <f t="shared" si="0"/>
        <v>36</v>
      </c>
      <c r="AK19" s="10">
        <v>60</v>
      </c>
    </row>
    <row r="21" spans="1:37" ht="15.75" customHeight="1" x14ac:dyDescent="0.3"/>
    <row r="22" spans="1:37" ht="15.75" customHeight="1" x14ac:dyDescent="0.3"/>
    <row r="23" spans="1:37" ht="15.75" customHeight="1" x14ac:dyDescent="0.3"/>
    <row r="24" spans="1:37" ht="15.75" customHeight="1" x14ac:dyDescent="0.3"/>
    <row r="25" spans="1:37" ht="15.75" customHeight="1" x14ac:dyDescent="0.3"/>
    <row r="26" spans="1:37" ht="15.75" customHeight="1" x14ac:dyDescent="0.3"/>
    <row r="27" spans="1:37" ht="15.75" customHeight="1" x14ac:dyDescent="0.3"/>
    <row r="28" spans="1:37" ht="15.75" customHeight="1" x14ac:dyDescent="0.3"/>
    <row r="29" spans="1:37" ht="15.75" customHeight="1" x14ac:dyDescent="0.3"/>
    <row r="30" spans="1:37" ht="15.75" customHeight="1" x14ac:dyDescent="0.3"/>
    <row r="31" spans="1:37" ht="15.75" customHeight="1" x14ac:dyDescent="0.3"/>
    <row r="32" spans="1:3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CEC72-7352-4E0C-89AA-0D7E8E896BD0}">
  <sheetPr codeName="Sheet3">
    <tabColor rgb="FFFFFF00"/>
  </sheetPr>
  <dimension ref="A1:X19"/>
  <sheetViews>
    <sheetView workbookViewId="0">
      <selection activeCell="G9" sqref="G9"/>
    </sheetView>
  </sheetViews>
  <sheetFormatPr defaultRowHeight="14.4" x14ac:dyDescent="0.3"/>
  <cols>
    <col min="1" max="1" width="21" bestFit="1" customWidth="1"/>
    <col min="2" max="3" width="12.33203125" bestFit="1" customWidth="1"/>
    <col min="4" max="4" width="12.21875" bestFit="1" customWidth="1"/>
    <col min="5" max="6" width="12.33203125" bestFit="1" customWidth="1"/>
    <col min="7" max="14" width="12.6640625" bestFit="1" customWidth="1"/>
    <col min="15" max="21" width="13.77734375" bestFit="1" customWidth="1"/>
    <col min="22" max="22" width="19.77734375" bestFit="1" customWidth="1"/>
    <col min="23" max="24" width="13.44140625" bestFit="1" customWidth="1"/>
  </cols>
  <sheetData>
    <row r="1" spans="1:24" x14ac:dyDescent="0.3">
      <c r="A1" t="str" cm="1">
        <f t="array" ref="A1:A19">'ST1 Result'!B1:INDEX('ST1 Result'!B:B,COUNTA('ST1 Result'!B:B))</f>
        <v>Admission No. (Roll No.)</v>
      </c>
      <c r="B1" t="str" cm="1">
        <f t="array" ref="B1:B19">'ST1 Result'!M1:INDEX('ST1 Result'!M:M,COUNTA('ST1 Result'!M:M))</f>
        <v>20EC118-ST1-1a</v>
      </c>
      <c r="C1" t="str" cm="1">
        <f t="array" ref="C1:C19">'ST1 Result'!N1:INDEX('ST1 Result'!N:N,COUNTA('ST1 Result'!N:N))</f>
        <v>20EC118-ST1-1b</v>
      </c>
      <c r="D1" t="str" cm="1">
        <f t="array" ref="D1:D19">'ST1 Result'!O1:INDEX('ST1 Result'!O:O,COUNTA('ST1 Result'!O:O))</f>
        <v>20EC118-ST1-1c</v>
      </c>
      <c r="E1" t="str" cm="1">
        <f t="array" ref="E1:E19">'ST1 Result'!P1:INDEX('ST1 Result'!P:P,COUNTA('ST1 Result'!P:P))</f>
        <v>20EC118-ST1-1d</v>
      </c>
      <c r="F1" t="str" cm="1">
        <f t="array" ref="F1:F19">'ST1 Result'!Q1:INDEX('ST1 Result'!Q:Q,COUNTA('ST1 Result'!Q:Q))</f>
        <v>20EC118-ST1-1e</v>
      </c>
      <c r="G1" t="str" cm="1">
        <f t="array" ref="G1:G19">'ST1 Result'!R1:INDEX('ST1 Result'!R:R,COUNTA('ST1 Result'!R:R))</f>
        <v>20EC118-ST1-Q2</v>
      </c>
      <c r="H1" t="str" cm="1">
        <f t="array" ref="H1:H19">'ST1 Result'!S1:INDEX('ST1 Result'!S:S,COUNTA('ST1 Result'!S:S))</f>
        <v>20EC118-ST1-Q3</v>
      </c>
      <c r="I1" t="str" cm="1">
        <f t="array" ref="I1:I19">'ST1 Result'!T1:INDEX('ST1 Result'!T:T,COUNTA('ST1 Result'!T:T))</f>
        <v>20EC118-ST1-Q4</v>
      </c>
      <c r="J1" t="str" cm="1">
        <f t="array" ref="J1:J19">'ST1 Result'!U1:INDEX('ST1 Result'!U:U,COUNTA('ST1 Result'!U:U))</f>
        <v>20EC118-ST1-Q5</v>
      </c>
      <c r="K1" t="str" cm="1">
        <f t="array" ref="K1:K19">'ST1 Result'!V1:INDEX('ST1 Result'!V:V,COUNTA('ST1 Result'!V:V))</f>
        <v>20EC118-ST1-Q6</v>
      </c>
      <c r="L1" t="str" cm="1">
        <f t="array" ref="L1:L19">'ST1 Result'!W1:INDEX('ST1 Result'!W:W,COUNTA('ST1 Result'!W:W))</f>
        <v>20EC118-ST1-Q7</v>
      </c>
      <c r="M1" t="str" cm="1">
        <f t="array" ref="M1:M19">'ST1 Result'!X1:INDEX('ST1 Result'!X:X,COUNTA('ST1 Result'!X:X))</f>
        <v>20EC118-ST1-Q8</v>
      </c>
      <c r="N1" t="str" cm="1">
        <f t="array" ref="N1:N19">'ST1 Result'!Y1:INDEX('ST1 Result'!Y:Y,COUNTA('ST1 Result'!Y:Y))</f>
        <v>20EC118-ST1-Q9</v>
      </c>
      <c r="O1" t="str" cm="1">
        <f t="array" ref="O1:O19">'ST1 Result'!Z1:INDEX('ST1 Result'!Z:Z,COUNTA('ST1 Result'!Z:Z))</f>
        <v>20EC118-ST1-Q10</v>
      </c>
      <c r="P1" t="str" cm="1">
        <f t="array" ref="P1:P19">'ST1 Result'!AA1:INDEX('ST1 Result'!AA:AA,COUNTA('ST1 Result'!AA:AA))</f>
        <v>20EC118-ST1-Q11</v>
      </c>
      <c r="Q1" t="str" cm="1">
        <f t="array" ref="Q1:Q19">'ST1 Result'!AB1:INDEX('ST1 Result'!AB:AB,COUNTA('ST1 Result'!AB:AB))</f>
        <v>20EC118-ST1-Q12</v>
      </c>
      <c r="R1" t="str" cm="1">
        <f t="array" ref="R1:R19">'ST1 Result'!AC1:INDEX('ST1 Result'!AC:AC,COUNTA('ST1 Result'!AC:AC))</f>
        <v>20EC118-ST1-Q13</v>
      </c>
      <c r="S1" t="str" cm="1">
        <f t="array" ref="S1:S19">'ST1 Result'!AD1:INDEX('ST1 Result'!AD:AD,COUNTA('ST1 Result'!AD:AD))</f>
        <v>20EC118-ST1-Q14</v>
      </c>
      <c r="T1" t="str" cm="1">
        <f t="array" ref="T1:T19">'ST1 Result'!AE1:INDEX('ST1 Result'!AE:AE,COUNTA('ST1 Result'!AE:AE))</f>
        <v>20EC118-ST1-Q15</v>
      </c>
      <c r="U1" t="str" cm="1">
        <f t="array" ref="U1:U19">'ST1 Result'!AF1:INDEX('ST1 Result'!AF:AF,COUNTA('ST1 Result'!AF:AF))</f>
        <v>20EC118-ST1-Q16</v>
      </c>
      <c r="V1" t="str" cm="1">
        <f t="array" ref="V1:V19">'ST1 Result'!AG1:INDEX('ST1 Result'!AG:AG,COUNTA('ST1 Result'!AG:AG))</f>
        <v>20EC118-ST1-Assignment</v>
      </c>
      <c r="W1" t="str" cm="1">
        <f t="array" ref="W1:W19">'ST1 Result'!AH1:INDEX('ST1 Result'!AH:AH,COUNTA('ST1 Result'!AH:AH))</f>
        <v>20EC118-ST1-FA1</v>
      </c>
      <c r="X1" t="str" cm="1">
        <f t="array" ref="X1:X19">'ST1 Result'!AI1:INDEX('ST1 Result'!AI:AI,COUNTA('ST1 Result'!AI:AI))</f>
        <v>20EC118-ST1-FA2</v>
      </c>
    </row>
    <row r="2" spans="1:24" x14ac:dyDescent="0.3">
      <c r="A2" t="str">
        <v>2010990089 </v>
      </c>
      <c r="B2">
        <v>1</v>
      </c>
      <c r="C2">
        <v>1</v>
      </c>
      <c r="D2">
        <v>1</v>
      </c>
      <c r="E2">
        <v>1</v>
      </c>
      <c r="F2">
        <v>1</v>
      </c>
      <c r="G2">
        <v>2</v>
      </c>
      <c r="H2">
        <v>2</v>
      </c>
      <c r="I2">
        <v>2</v>
      </c>
      <c r="J2">
        <v>2</v>
      </c>
      <c r="K2">
        <v>2</v>
      </c>
      <c r="L2" t="str">
        <v>U</v>
      </c>
      <c r="M2">
        <v>1</v>
      </c>
      <c r="N2" t="str">
        <v>U</v>
      </c>
      <c r="O2">
        <v>5</v>
      </c>
      <c r="P2">
        <v>5</v>
      </c>
      <c r="Q2">
        <v>1</v>
      </c>
      <c r="R2" t="str">
        <v>U</v>
      </c>
      <c r="S2" t="str">
        <v>U</v>
      </c>
      <c r="T2" t="str">
        <v>U</v>
      </c>
      <c r="U2" t="str">
        <v>U</v>
      </c>
      <c r="V2">
        <v>7</v>
      </c>
      <c r="W2" t="str">
        <v>U</v>
      </c>
      <c r="X2" t="str">
        <v>U</v>
      </c>
    </row>
    <row r="3" spans="1:24" x14ac:dyDescent="0.3">
      <c r="A3" t="str">
        <v>2010992002 </v>
      </c>
      <c r="B3">
        <v>1</v>
      </c>
      <c r="C3">
        <v>1</v>
      </c>
      <c r="D3">
        <v>1</v>
      </c>
      <c r="E3">
        <v>1</v>
      </c>
      <c r="F3">
        <v>1</v>
      </c>
      <c r="G3">
        <v>2</v>
      </c>
      <c r="H3">
        <v>2</v>
      </c>
      <c r="I3">
        <v>2</v>
      </c>
      <c r="J3">
        <v>2</v>
      </c>
      <c r="K3">
        <v>2</v>
      </c>
      <c r="L3" t="str">
        <v>U</v>
      </c>
      <c r="M3">
        <v>5</v>
      </c>
      <c r="N3" t="str">
        <v>U</v>
      </c>
      <c r="O3">
        <v>5</v>
      </c>
      <c r="P3">
        <v>5</v>
      </c>
      <c r="Q3">
        <v>8</v>
      </c>
      <c r="R3" t="str">
        <v>U</v>
      </c>
      <c r="S3" t="str">
        <v>U</v>
      </c>
      <c r="T3" t="str">
        <v>U</v>
      </c>
      <c r="U3" t="str">
        <v>U</v>
      </c>
      <c r="V3">
        <v>10</v>
      </c>
      <c r="W3" t="str">
        <v>U</v>
      </c>
      <c r="X3" t="str">
        <v>U</v>
      </c>
    </row>
    <row r="4" spans="1:24" x14ac:dyDescent="0.3">
      <c r="A4" t="str">
        <v>2010992004 </v>
      </c>
      <c r="B4">
        <v>1</v>
      </c>
      <c r="C4">
        <v>1</v>
      </c>
      <c r="D4">
        <v>1</v>
      </c>
      <c r="E4">
        <v>1</v>
      </c>
      <c r="F4">
        <v>1</v>
      </c>
      <c r="G4">
        <v>2</v>
      </c>
      <c r="H4" t="str">
        <v>U</v>
      </c>
      <c r="I4">
        <v>2</v>
      </c>
      <c r="J4">
        <v>2</v>
      </c>
      <c r="K4">
        <v>2</v>
      </c>
      <c r="L4">
        <v>2</v>
      </c>
      <c r="M4" t="str">
        <v>U</v>
      </c>
      <c r="N4">
        <v>4</v>
      </c>
      <c r="O4">
        <v>5</v>
      </c>
      <c r="P4">
        <v>2</v>
      </c>
      <c r="Q4" t="str">
        <v>U</v>
      </c>
      <c r="R4">
        <v>1</v>
      </c>
      <c r="S4" t="str">
        <v>U</v>
      </c>
      <c r="T4" t="str">
        <v>U</v>
      </c>
      <c r="U4" t="str">
        <v>U</v>
      </c>
      <c r="V4">
        <v>5</v>
      </c>
      <c r="W4" t="str">
        <v>U</v>
      </c>
      <c r="X4" t="str">
        <v>U</v>
      </c>
    </row>
    <row r="5" spans="1:24" x14ac:dyDescent="0.3">
      <c r="A5" t="str">
        <v>2010992005 </v>
      </c>
      <c r="B5">
        <v>1</v>
      </c>
      <c r="C5">
        <v>1</v>
      </c>
      <c r="D5">
        <v>1</v>
      </c>
      <c r="E5">
        <v>1</v>
      </c>
      <c r="F5">
        <v>1</v>
      </c>
      <c r="G5">
        <v>2</v>
      </c>
      <c r="H5">
        <v>2</v>
      </c>
      <c r="I5" t="str">
        <v>U</v>
      </c>
      <c r="J5">
        <v>2</v>
      </c>
      <c r="K5">
        <v>2</v>
      </c>
      <c r="L5">
        <v>2</v>
      </c>
      <c r="M5">
        <v>4</v>
      </c>
      <c r="N5" t="str">
        <v>U</v>
      </c>
      <c r="O5" t="str">
        <v>U</v>
      </c>
      <c r="P5" t="str">
        <v>U</v>
      </c>
      <c r="Q5">
        <v>1</v>
      </c>
      <c r="R5" t="str">
        <v>U</v>
      </c>
      <c r="S5" t="str">
        <v>U</v>
      </c>
      <c r="T5" t="str">
        <v>U</v>
      </c>
      <c r="U5" t="str">
        <v>U</v>
      </c>
      <c r="V5">
        <v>7</v>
      </c>
      <c r="W5" t="str">
        <v>U</v>
      </c>
      <c r="X5" t="str">
        <v>U</v>
      </c>
    </row>
    <row r="6" spans="1:24" x14ac:dyDescent="0.3">
      <c r="A6" t="str">
        <v>2010992006 </v>
      </c>
      <c r="B6">
        <v>1</v>
      </c>
      <c r="C6">
        <v>1</v>
      </c>
      <c r="D6">
        <v>1</v>
      </c>
      <c r="E6">
        <v>1</v>
      </c>
      <c r="F6">
        <v>1</v>
      </c>
      <c r="G6">
        <v>2</v>
      </c>
      <c r="H6">
        <v>2</v>
      </c>
      <c r="I6">
        <v>2</v>
      </c>
      <c r="J6">
        <v>2</v>
      </c>
      <c r="K6">
        <v>2</v>
      </c>
      <c r="L6" t="str">
        <v>U</v>
      </c>
      <c r="M6">
        <v>4</v>
      </c>
      <c r="N6">
        <v>1</v>
      </c>
      <c r="O6">
        <v>5</v>
      </c>
      <c r="P6" t="str">
        <v>U</v>
      </c>
      <c r="Q6" t="str">
        <v>U</v>
      </c>
      <c r="R6">
        <v>1</v>
      </c>
      <c r="S6" t="str">
        <v>U</v>
      </c>
      <c r="T6" t="str">
        <v>U</v>
      </c>
      <c r="U6" t="str">
        <v>U</v>
      </c>
      <c r="V6">
        <v>5</v>
      </c>
      <c r="W6" t="str">
        <v>U</v>
      </c>
      <c r="X6" t="str">
        <v>U</v>
      </c>
    </row>
    <row r="7" spans="1:24" x14ac:dyDescent="0.3">
      <c r="A7" t="str">
        <v>2010992008 </v>
      </c>
      <c r="B7">
        <v>1</v>
      </c>
      <c r="C7">
        <v>1</v>
      </c>
      <c r="D7">
        <v>1</v>
      </c>
      <c r="E7">
        <v>1</v>
      </c>
      <c r="F7">
        <v>1</v>
      </c>
      <c r="G7" t="str">
        <v>U</v>
      </c>
      <c r="H7">
        <v>2</v>
      </c>
      <c r="I7">
        <v>2</v>
      </c>
      <c r="J7">
        <v>2</v>
      </c>
      <c r="K7">
        <v>2</v>
      </c>
      <c r="L7">
        <v>2</v>
      </c>
      <c r="M7">
        <v>1</v>
      </c>
      <c r="N7">
        <v>4</v>
      </c>
      <c r="O7" t="str">
        <v>U</v>
      </c>
      <c r="P7">
        <v>5</v>
      </c>
      <c r="Q7">
        <v>1</v>
      </c>
      <c r="R7" t="str">
        <v>U</v>
      </c>
      <c r="S7" t="str">
        <v>U</v>
      </c>
      <c r="T7" t="str">
        <v>U</v>
      </c>
      <c r="U7" t="str">
        <v>U</v>
      </c>
      <c r="V7" t="str">
        <v>U</v>
      </c>
      <c r="W7" t="str">
        <v>U</v>
      </c>
      <c r="X7" t="str">
        <v>U</v>
      </c>
    </row>
    <row r="8" spans="1:24" x14ac:dyDescent="0.3">
      <c r="A8" t="str">
        <v>2010992009 </v>
      </c>
      <c r="B8">
        <v>1</v>
      </c>
      <c r="C8">
        <v>1</v>
      </c>
      <c r="D8">
        <v>1</v>
      </c>
      <c r="E8">
        <v>1</v>
      </c>
      <c r="F8">
        <v>1</v>
      </c>
      <c r="G8">
        <v>2</v>
      </c>
      <c r="H8">
        <v>2</v>
      </c>
      <c r="I8">
        <v>2</v>
      </c>
      <c r="J8">
        <v>2</v>
      </c>
      <c r="K8" t="str">
        <v>U</v>
      </c>
      <c r="L8">
        <v>2</v>
      </c>
      <c r="M8">
        <v>5</v>
      </c>
      <c r="N8" t="str">
        <v>U</v>
      </c>
      <c r="O8">
        <v>5</v>
      </c>
      <c r="P8">
        <v>5</v>
      </c>
      <c r="Q8">
        <v>2</v>
      </c>
      <c r="R8" t="str">
        <v>U</v>
      </c>
      <c r="S8" t="str">
        <v>U</v>
      </c>
      <c r="T8" t="str">
        <v>U</v>
      </c>
      <c r="U8" t="str">
        <v>U</v>
      </c>
      <c r="V8">
        <v>10</v>
      </c>
      <c r="W8" t="str">
        <v>U</v>
      </c>
      <c r="X8" t="str">
        <v>U</v>
      </c>
    </row>
    <row r="9" spans="1:24" x14ac:dyDescent="0.3">
      <c r="A9" t="str">
        <v>2010992010 </v>
      </c>
      <c r="B9">
        <v>1</v>
      </c>
      <c r="C9">
        <v>1</v>
      </c>
      <c r="D9">
        <v>1</v>
      </c>
      <c r="E9">
        <v>1</v>
      </c>
      <c r="F9">
        <v>1</v>
      </c>
      <c r="G9">
        <v>2</v>
      </c>
      <c r="H9">
        <v>2</v>
      </c>
      <c r="I9">
        <v>2</v>
      </c>
      <c r="J9" t="str">
        <v>U</v>
      </c>
      <c r="K9">
        <v>2</v>
      </c>
      <c r="L9">
        <v>2</v>
      </c>
      <c r="M9" t="str">
        <v>U</v>
      </c>
      <c r="N9">
        <v>4</v>
      </c>
      <c r="O9">
        <v>5</v>
      </c>
      <c r="P9">
        <v>4</v>
      </c>
      <c r="Q9">
        <v>1</v>
      </c>
      <c r="R9" t="str">
        <v>U</v>
      </c>
      <c r="S9" t="str">
        <v>U</v>
      </c>
      <c r="T9" t="str">
        <v>U</v>
      </c>
      <c r="U9" t="str">
        <v>U</v>
      </c>
      <c r="V9">
        <v>7</v>
      </c>
      <c r="W9" t="str">
        <v>U</v>
      </c>
      <c r="X9" t="str">
        <v>U</v>
      </c>
    </row>
    <row r="10" spans="1:24" x14ac:dyDescent="0.3">
      <c r="A10" t="str">
        <v>2010992011 </v>
      </c>
      <c r="B10">
        <v>1</v>
      </c>
      <c r="C10">
        <v>1</v>
      </c>
      <c r="D10">
        <v>1</v>
      </c>
      <c r="E10">
        <v>1</v>
      </c>
      <c r="F10">
        <v>1</v>
      </c>
      <c r="G10" t="str">
        <v>U</v>
      </c>
      <c r="H10">
        <v>2</v>
      </c>
      <c r="I10">
        <v>2</v>
      </c>
      <c r="J10">
        <v>2</v>
      </c>
      <c r="K10">
        <v>2</v>
      </c>
      <c r="L10">
        <v>2</v>
      </c>
      <c r="M10">
        <v>4</v>
      </c>
      <c r="N10" t="str">
        <v>U</v>
      </c>
      <c r="O10" t="str">
        <v>U</v>
      </c>
      <c r="P10">
        <v>4</v>
      </c>
      <c r="Q10" t="str">
        <v>U</v>
      </c>
      <c r="R10">
        <v>1</v>
      </c>
      <c r="S10" t="str">
        <v>U</v>
      </c>
      <c r="T10" t="str">
        <v>U</v>
      </c>
      <c r="U10" t="str">
        <v>U</v>
      </c>
      <c r="V10">
        <v>5</v>
      </c>
      <c r="W10" t="str">
        <v>U</v>
      </c>
      <c r="X10" t="str">
        <v>U</v>
      </c>
    </row>
    <row r="11" spans="1:24" x14ac:dyDescent="0.3">
      <c r="A11" t="str">
        <v>2010992012 </v>
      </c>
      <c r="B11">
        <v>1</v>
      </c>
      <c r="C11">
        <v>1</v>
      </c>
      <c r="D11">
        <v>1</v>
      </c>
      <c r="E11">
        <v>1</v>
      </c>
      <c r="F11">
        <v>1</v>
      </c>
      <c r="G11" t="str">
        <v>U</v>
      </c>
      <c r="H11">
        <v>2</v>
      </c>
      <c r="I11">
        <v>2</v>
      </c>
      <c r="J11">
        <v>2</v>
      </c>
      <c r="K11">
        <v>2</v>
      </c>
      <c r="L11">
        <v>2</v>
      </c>
      <c r="M11">
        <v>5</v>
      </c>
      <c r="N11">
        <v>5</v>
      </c>
      <c r="O11" t="str">
        <v>U</v>
      </c>
      <c r="P11">
        <v>5</v>
      </c>
      <c r="Q11">
        <v>2</v>
      </c>
      <c r="R11" t="str">
        <v>U</v>
      </c>
      <c r="S11" t="str">
        <v>U</v>
      </c>
      <c r="T11" t="str">
        <v>U</v>
      </c>
      <c r="U11" t="str">
        <v>U</v>
      </c>
      <c r="V11">
        <v>10</v>
      </c>
      <c r="W11" t="str">
        <v>U</v>
      </c>
      <c r="X11" t="str">
        <v>U</v>
      </c>
    </row>
    <row r="12" spans="1:24" x14ac:dyDescent="0.3">
      <c r="A12" t="str">
        <v>2010992014 </v>
      </c>
      <c r="B12">
        <v>1</v>
      </c>
      <c r="C12">
        <v>1</v>
      </c>
      <c r="D12">
        <v>1</v>
      </c>
      <c r="E12">
        <v>1</v>
      </c>
      <c r="F12">
        <v>1</v>
      </c>
      <c r="G12">
        <v>2</v>
      </c>
      <c r="H12">
        <v>2</v>
      </c>
      <c r="I12">
        <v>2</v>
      </c>
      <c r="J12">
        <v>2</v>
      </c>
      <c r="K12" t="str">
        <v>U</v>
      </c>
      <c r="L12">
        <v>2</v>
      </c>
      <c r="M12">
        <v>5</v>
      </c>
      <c r="N12">
        <v>5</v>
      </c>
      <c r="O12" t="str">
        <v>U</v>
      </c>
      <c r="P12">
        <v>5</v>
      </c>
      <c r="Q12">
        <v>6</v>
      </c>
      <c r="R12" t="str">
        <v>U</v>
      </c>
      <c r="S12" t="str">
        <v>U</v>
      </c>
      <c r="T12" t="str">
        <v>U</v>
      </c>
      <c r="U12" t="str">
        <v>U</v>
      </c>
      <c r="V12" t="str">
        <v>U</v>
      </c>
      <c r="W12" t="str">
        <v>U</v>
      </c>
      <c r="X12" t="str">
        <v>U</v>
      </c>
    </row>
    <row r="13" spans="1:24" x14ac:dyDescent="0.3">
      <c r="A13" t="str">
        <v>2010992015 </v>
      </c>
      <c r="B13">
        <v>1</v>
      </c>
      <c r="C13">
        <v>1</v>
      </c>
      <c r="D13">
        <v>1</v>
      </c>
      <c r="E13">
        <v>1</v>
      </c>
      <c r="F13">
        <v>1</v>
      </c>
      <c r="G13">
        <v>2</v>
      </c>
      <c r="H13">
        <v>2</v>
      </c>
      <c r="I13" t="str">
        <v>U</v>
      </c>
      <c r="J13">
        <v>2</v>
      </c>
      <c r="K13">
        <v>2</v>
      </c>
      <c r="L13">
        <v>2</v>
      </c>
      <c r="M13" t="str">
        <v>U</v>
      </c>
      <c r="N13">
        <v>4</v>
      </c>
      <c r="O13" t="str">
        <v>U</v>
      </c>
      <c r="P13">
        <v>1</v>
      </c>
      <c r="Q13">
        <v>1</v>
      </c>
      <c r="R13" t="str">
        <v>U</v>
      </c>
      <c r="S13" t="str">
        <v>U</v>
      </c>
      <c r="T13" t="str">
        <v>U</v>
      </c>
      <c r="U13" t="str">
        <v>U</v>
      </c>
      <c r="V13" t="str">
        <v>U</v>
      </c>
      <c r="W13" t="str">
        <v>U</v>
      </c>
      <c r="X13" t="str">
        <v>U</v>
      </c>
    </row>
    <row r="14" spans="1:24" x14ac:dyDescent="0.3">
      <c r="A14" t="str">
        <v>2010992016 </v>
      </c>
      <c r="B14">
        <v>1</v>
      </c>
      <c r="C14">
        <v>1</v>
      </c>
      <c r="D14">
        <v>1</v>
      </c>
      <c r="E14">
        <v>1</v>
      </c>
      <c r="F14">
        <v>1</v>
      </c>
      <c r="G14">
        <v>2</v>
      </c>
      <c r="H14">
        <v>2</v>
      </c>
      <c r="I14">
        <v>2</v>
      </c>
      <c r="J14">
        <v>2</v>
      </c>
      <c r="K14">
        <v>2</v>
      </c>
      <c r="L14" t="str">
        <v>U</v>
      </c>
      <c r="M14">
        <v>4</v>
      </c>
      <c r="N14">
        <v>5</v>
      </c>
      <c r="O14" t="str">
        <v>U</v>
      </c>
      <c r="P14">
        <v>3</v>
      </c>
      <c r="Q14" t="str">
        <v>U</v>
      </c>
      <c r="R14">
        <v>1</v>
      </c>
      <c r="S14" t="str">
        <v>U</v>
      </c>
      <c r="T14" t="str">
        <v>U</v>
      </c>
      <c r="U14" t="str">
        <v>U</v>
      </c>
      <c r="V14">
        <v>10</v>
      </c>
      <c r="W14" t="str">
        <v>U</v>
      </c>
      <c r="X14" t="str">
        <v>U</v>
      </c>
    </row>
    <row r="15" spans="1:24" x14ac:dyDescent="0.3">
      <c r="A15" t="str">
        <v>2010992017 </v>
      </c>
      <c r="B15">
        <v>1</v>
      </c>
      <c r="C15">
        <v>1</v>
      </c>
      <c r="D15">
        <v>1</v>
      </c>
      <c r="E15">
        <v>1</v>
      </c>
      <c r="F15">
        <v>1</v>
      </c>
      <c r="G15">
        <v>2</v>
      </c>
      <c r="H15">
        <v>2</v>
      </c>
      <c r="I15">
        <v>2</v>
      </c>
      <c r="J15">
        <v>2</v>
      </c>
      <c r="K15" t="str">
        <v>U</v>
      </c>
      <c r="L15">
        <v>2</v>
      </c>
      <c r="M15" t="str">
        <v>U</v>
      </c>
      <c r="N15">
        <v>1</v>
      </c>
      <c r="O15" t="str">
        <v>U</v>
      </c>
      <c r="P15">
        <v>5</v>
      </c>
      <c r="Q15" t="str">
        <v>U</v>
      </c>
      <c r="R15">
        <v>1</v>
      </c>
      <c r="S15" t="str">
        <v>U</v>
      </c>
      <c r="T15" t="str">
        <v>U</v>
      </c>
      <c r="U15" t="str">
        <v>U</v>
      </c>
      <c r="V15">
        <v>5</v>
      </c>
      <c r="W15" t="str">
        <v>U</v>
      </c>
      <c r="X15" t="str">
        <v>U</v>
      </c>
    </row>
    <row r="16" spans="1:24" x14ac:dyDescent="0.3">
      <c r="A16" t="str">
        <v>2010992018 </v>
      </c>
      <c r="B16">
        <v>1</v>
      </c>
      <c r="C16">
        <v>1</v>
      </c>
      <c r="D16">
        <v>1</v>
      </c>
      <c r="E16">
        <v>1</v>
      </c>
      <c r="F16">
        <v>1</v>
      </c>
      <c r="G16" t="str">
        <v>U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5</v>
      </c>
      <c r="O16">
        <v>5</v>
      </c>
      <c r="P16" t="str">
        <v>U</v>
      </c>
      <c r="Q16">
        <v>1</v>
      </c>
      <c r="R16" t="str">
        <v>U</v>
      </c>
      <c r="S16" t="str">
        <v>U</v>
      </c>
      <c r="T16" t="str">
        <v>U</v>
      </c>
      <c r="U16" t="str">
        <v>U</v>
      </c>
      <c r="V16">
        <v>5</v>
      </c>
      <c r="W16" t="str">
        <v>U</v>
      </c>
      <c r="X16" t="str">
        <v>U</v>
      </c>
    </row>
    <row r="17" spans="1:24" x14ac:dyDescent="0.3">
      <c r="A17" t="str">
        <v>2010992163 </v>
      </c>
      <c r="B17">
        <v>1</v>
      </c>
      <c r="C17">
        <v>1</v>
      </c>
      <c r="D17">
        <v>1</v>
      </c>
      <c r="E17">
        <v>1</v>
      </c>
      <c r="F17">
        <v>1</v>
      </c>
      <c r="G17">
        <v>2</v>
      </c>
      <c r="H17" t="str">
        <v>U</v>
      </c>
      <c r="I17">
        <v>2</v>
      </c>
      <c r="J17">
        <v>2</v>
      </c>
      <c r="K17">
        <v>2</v>
      </c>
      <c r="L17">
        <v>2</v>
      </c>
      <c r="M17">
        <v>5</v>
      </c>
      <c r="N17">
        <v>5</v>
      </c>
      <c r="O17" t="str">
        <v>U</v>
      </c>
      <c r="P17">
        <v>5</v>
      </c>
      <c r="Q17">
        <v>1</v>
      </c>
      <c r="R17" t="str">
        <v>U</v>
      </c>
      <c r="S17" t="str">
        <v>U</v>
      </c>
      <c r="T17" t="str">
        <v>U</v>
      </c>
      <c r="U17" t="str">
        <v>U</v>
      </c>
      <c r="V17">
        <v>10</v>
      </c>
      <c r="W17" t="str">
        <v>U</v>
      </c>
      <c r="X17" t="str">
        <v>U</v>
      </c>
    </row>
    <row r="18" spans="1:24" x14ac:dyDescent="0.3">
      <c r="A18" t="str">
        <v>2010992202 </v>
      </c>
      <c r="B18">
        <v>1</v>
      </c>
      <c r="C18">
        <v>1</v>
      </c>
      <c r="D18">
        <v>1</v>
      </c>
      <c r="E18">
        <v>1</v>
      </c>
      <c r="F18">
        <v>1</v>
      </c>
      <c r="G18">
        <v>2</v>
      </c>
      <c r="H18">
        <v>2</v>
      </c>
      <c r="I18">
        <v>2</v>
      </c>
      <c r="J18">
        <v>2</v>
      </c>
      <c r="K18" t="str">
        <v>U</v>
      </c>
      <c r="L18">
        <v>2</v>
      </c>
      <c r="M18" t="str">
        <v>U</v>
      </c>
      <c r="N18">
        <v>2</v>
      </c>
      <c r="O18" t="str">
        <v>U</v>
      </c>
      <c r="P18" t="str">
        <v>U</v>
      </c>
      <c r="Q18">
        <v>1</v>
      </c>
      <c r="R18" t="str">
        <v>U</v>
      </c>
      <c r="S18" t="str">
        <v>U</v>
      </c>
      <c r="T18" t="str">
        <v>U</v>
      </c>
      <c r="U18" t="str">
        <v>U</v>
      </c>
      <c r="V18">
        <v>5</v>
      </c>
      <c r="W18" t="str">
        <v>U</v>
      </c>
      <c r="X18" t="str">
        <v>U</v>
      </c>
    </row>
    <row r="19" spans="1:24" x14ac:dyDescent="0.3">
      <c r="A19" t="str">
        <v>2010992203 </v>
      </c>
      <c r="B19">
        <v>1</v>
      </c>
      <c r="C19">
        <v>1</v>
      </c>
      <c r="D19">
        <v>1</v>
      </c>
      <c r="E19">
        <v>1</v>
      </c>
      <c r="F19">
        <v>1</v>
      </c>
      <c r="G19">
        <v>2</v>
      </c>
      <c r="H19">
        <v>2</v>
      </c>
      <c r="I19">
        <v>2</v>
      </c>
      <c r="J19">
        <v>2</v>
      </c>
      <c r="K19" t="str">
        <v>U</v>
      </c>
      <c r="L19">
        <v>2</v>
      </c>
      <c r="M19">
        <v>4</v>
      </c>
      <c r="N19">
        <v>2</v>
      </c>
      <c r="O19">
        <v>5</v>
      </c>
      <c r="P19" t="str">
        <v>U</v>
      </c>
      <c r="Q19" t="str">
        <v>U</v>
      </c>
      <c r="R19">
        <v>1</v>
      </c>
      <c r="S19" t="str">
        <v>U</v>
      </c>
      <c r="T19" t="str">
        <v>U</v>
      </c>
      <c r="U19" t="str">
        <v>U</v>
      </c>
      <c r="V19">
        <v>7</v>
      </c>
      <c r="W19" t="str">
        <v>U</v>
      </c>
      <c r="X19" t="str">
        <v>U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734AE-B930-4F96-8AF1-A6C13793CC31}">
  <sheetPr codeName="Sheet4">
    <tabColor rgb="FFFFFF00"/>
  </sheetPr>
  <dimension ref="A1:X19"/>
  <sheetViews>
    <sheetView topLeftCell="B1" zoomScale="85" zoomScaleNormal="85" workbookViewId="0">
      <selection activeCell="C1" sqref="C1"/>
    </sheetView>
  </sheetViews>
  <sheetFormatPr defaultRowHeight="14.4" x14ac:dyDescent="0.3"/>
  <cols>
    <col min="1" max="1" width="21.77734375" bestFit="1" customWidth="1"/>
    <col min="2" max="3" width="14.88671875" bestFit="1" customWidth="1"/>
    <col min="4" max="4" width="14.77734375" bestFit="1" customWidth="1"/>
    <col min="5" max="6" width="14.88671875" bestFit="1" customWidth="1"/>
    <col min="7" max="14" width="15.21875" bestFit="1" customWidth="1"/>
    <col min="15" max="21" width="16.33203125" bestFit="1" customWidth="1"/>
    <col min="22" max="22" width="23" bestFit="1" customWidth="1"/>
    <col min="23" max="24" width="15.88671875" bestFit="1" customWidth="1"/>
  </cols>
  <sheetData>
    <row r="1" spans="1:24" x14ac:dyDescent="0.3">
      <c r="A1" t="str" cm="1">
        <f t="array" ref="A1:A19">'ST1 Result'!B1:INDEX('ST1 Result'!B:B,COUNTA('ST1 Result'!B:B))</f>
        <v>Admission No. (Roll No.)</v>
      </c>
      <c r="B1" t="str" cm="1">
        <f t="array" ref="B1:X1">TRANSPOSE('ST1 CO Question Map'!A2:A24)</f>
        <v>20EC118-ST1-1a</v>
      </c>
      <c r="C1" t="str">
        <v>20EC118-ST1-1b</v>
      </c>
      <c r="D1" t="str">
        <v>20EC118-ST1-1c</v>
      </c>
      <c r="E1" t="str">
        <v>20EC118-ST1-1d</v>
      </c>
      <c r="F1" t="str">
        <v>20EC118-ST1-1e</v>
      </c>
      <c r="G1" t="str">
        <v>20EC118-ST1-Q2</v>
      </c>
      <c r="H1" t="str">
        <v>20EC118-ST1-Q3</v>
      </c>
      <c r="I1" t="str">
        <v>20EC118-ST1-Q4</v>
      </c>
      <c r="J1" t="str">
        <v>20EC118-ST1-Q5</v>
      </c>
      <c r="K1" t="str">
        <v>20EC118-ST1-Q6</v>
      </c>
      <c r="L1" t="str">
        <v>20EC118-ST1-Q7</v>
      </c>
      <c r="M1" t="str">
        <v>20EC118-ST1-Q8</v>
      </c>
      <c r="N1" t="str">
        <v>20EC118-ST1-Q9</v>
      </c>
      <c r="O1" t="str">
        <v>20EC118-ST1-Q10</v>
      </c>
      <c r="P1" t="str">
        <v>20EC118-ST1-Q11</v>
      </c>
      <c r="Q1" t="str">
        <v>20EC118-ST1-Q12</v>
      </c>
      <c r="R1" t="str">
        <v>20EC118-ST1-Q13</v>
      </c>
      <c r="S1" t="str">
        <v>20EC118-ST1-Q14</v>
      </c>
      <c r="T1" t="str">
        <v>20EC118-ST1-Q15</v>
      </c>
      <c r="U1" t="str">
        <v>20EC118-ST1-Q16</v>
      </c>
      <c r="V1" t="str">
        <v>20EC118-ST1-Assignment</v>
      </c>
      <c r="W1" t="str">
        <v>20EC118-ST1-FA1</v>
      </c>
      <c r="X1" t="str">
        <v>20EC118-ST1-FA2</v>
      </c>
    </row>
    <row r="2" spans="1:24" x14ac:dyDescent="0.3">
      <c r="A2" t="str">
        <v>2010990089 </v>
      </c>
      <c r="B2" t="str" cm="1">
        <f t="array" ref="B2:B19">IF(_xlfn.XLOOKUP($A2:INDEX($A:$A,COUNTA($A:$A)),'ST1 Student Marks'!$A$1:INDEX('ST1 Student Marks'!$A:$A,COUNTA('ST1 Student Marks'!$A:$A)),'ST1 Student Marks'!B$1:INDEX('ST1 Student Marks'!B:B,COUNTA('ST1 Student Marks'!B:B)))="U","Unattempted",'ST1 Student Marks'!B1)</f>
        <v>20EC118-ST1-1a</v>
      </c>
      <c r="C2" t="str" cm="1">
        <f t="array" ref="C2:C19">IF(_xlfn.XLOOKUP($A2:INDEX($A:$A,COUNTA($A:$A)),'ST1 Student Marks'!$A$1:INDEX('ST1 Student Marks'!$A:$A,COUNTA('ST1 Student Marks'!$A:$A)),'ST1 Student Marks'!C$1:INDEX('ST1 Student Marks'!C:C,COUNTA('ST1 Student Marks'!C:C)))="U","Unattempted",'ST1 Student Marks'!C1)</f>
        <v>20EC118-ST1-1b</v>
      </c>
      <c r="D2" t="str" cm="1">
        <f t="array" ref="D2:D19">IF(_xlfn.XLOOKUP($A2:INDEX($A:$A,COUNTA($A:$A)),'ST1 Student Marks'!$A$1:INDEX('ST1 Student Marks'!$A:$A,COUNTA('ST1 Student Marks'!$A:$A)),'ST1 Student Marks'!D$1:INDEX('ST1 Student Marks'!D:D,COUNTA('ST1 Student Marks'!D:D)))="U","Unattempted",'ST1 Student Marks'!D1)</f>
        <v>20EC118-ST1-1c</v>
      </c>
      <c r="E2" t="str" cm="1">
        <f t="array" ref="E2:E19">IF(_xlfn.XLOOKUP($A2:INDEX($A:$A,COUNTA($A:$A)),'ST1 Student Marks'!$A$1:INDEX('ST1 Student Marks'!$A:$A,COUNTA('ST1 Student Marks'!$A:$A)),'ST1 Student Marks'!E$1:INDEX('ST1 Student Marks'!E:E,COUNTA('ST1 Student Marks'!E:E)))="U","Unattempted",'ST1 Student Marks'!E1)</f>
        <v>20EC118-ST1-1d</v>
      </c>
      <c r="F2" t="str" cm="1">
        <f t="array" ref="F2:F19">IF(_xlfn.XLOOKUP($A2:INDEX($A:$A,COUNTA($A:$A)),'ST1 Student Marks'!$A$1:INDEX('ST1 Student Marks'!$A:$A,COUNTA('ST1 Student Marks'!$A:$A)),'ST1 Student Marks'!F$1:INDEX('ST1 Student Marks'!F:F,COUNTA('ST1 Student Marks'!F:F)))="U","Unattempted",'ST1 Student Marks'!F1)</f>
        <v>20EC118-ST1-1e</v>
      </c>
      <c r="G2" t="str" cm="1">
        <f t="array" ref="G2:G19">IF(_xlfn.XLOOKUP($A2:INDEX($A:$A,COUNTA($A:$A)),'ST1 Student Marks'!$A$1:INDEX('ST1 Student Marks'!$A:$A,COUNTA('ST1 Student Marks'!$A:$A)),'ST1 Student Marks'!G$1:INDEX('ST1 Student Marks'!G:G,COUNTA('ST1 Student Marks'!G:G)))="U","Unattempted",'ST1 Student Marks'!G1)</f>
        <v>20EC118-ST1-Q2</v>
      </c>
      <c r="H2" t="str" cm="1">
        <f t="array" ref="H2:H19">IF(_xlfn.XLOOKUP($A2:INDEX($A:$A,COUNTA($A:$A)),'ST1 Student Marks'!$A$1:INDEX('ST1 Student Marks'!$A:$A,COUNTA('ST1 Student Marks'!$A:$A)),'ST1 Student Marks'!H$1:INDEX('ST1 Student Marks'!H:H,COUNTA('ST1 Student Marks'!H:H)))="U","Unattempted",'ST1 Student Marks'!H1)</f>
        <v>20EC118-ST1-Q3</v>
      </c>
      <c r="I2" t="str" cm="1">
        <f t="array" ref="I2:I19">IF(_xlfn.XLOOKUP($A2:INDEX($A:$A,COUNTA($A:$A)),'ST1 Student Marks'!$A$1:INDEX('ST1 Student Marks'!$A:$A,COUNTA('ST1 Student Marks'!$A:$A)),'ST1 Student Marks'!I$1:INDEX('ST1 Student Marks'!I:I,COUNTA('ST1 Student Marks'!I:I)))="U","Unattempted",'ST1 Student Marks'!I1)</f>
        <v>20EC118-ST1-Q4</v>
      </c>
      <c r="J2" t="str" cm="1">
        <f t="array" ref="J2:J19">IF(_xlfn.XLOOKUP($A2:INDEX($A:$A,COUNTA($A:$A)),'ST1 Student Marks'!$A$1:INDEX('ST1 Student Marks'!$A:$A,COUNTA('ST1 Student Marks'!$A:$A)),'ST1 Student Marks'!J$1:INDEX('ST1 Student Marks'!J:J,COUNTA('ST1 Student Marks'!J:J)))="U","Unattempted",'ST1 Student Marks'!J1)</f>
        <v>20EC118-ST1-Q5</v>
      </c>
      <c r="K2" t="str" cm="1">
        <f t="array" ref="K2:K19">IF(_xlfn.XLOOKUP($A2:INDEX($A:$A,COUNTA($A:$A)),'ST1 Student Marks'!$A$1:INDEX('ST1 Student Marks'!$A:$A,COUNTA('ST1 Student Marks'!$A:$A)),'ST1 Student Marks'!K$1:INDEX('ST1 Student Marks'!K:K,COUNTA('ST1 Student Marks'!K:K)))="U","Unattempted",'ST1 Student Marks'!K1)</f>
        <v>20EC118-ST1-Q6</v>
      </c>
      <c r="L2" t="str" cm="1">
        <f t="array" ref="L2:L19">IF(_xlfn.XLOOKUP($A2:INDEX($A:$A,COUNTA($A:$A)),'ST1 Student Marks'!$A$1:INDEX('ST1 Student Marks'!$A:$A,COUNTA('ST1 Student Marks'!$A:$A)),'ST1 Student Marks'!L$1:INDEX('ST1 Student Marks'!L:L,COUNTA('ST1 Student Marks'!L:L)))="U","Unattempted",'ST1 Student Marks'!L1)</f>
        <v>Unattempted</v>
      </c>
      <c r="M2" t="str" cm="1">
        <f t="array" ref="M2:M19">IF(_xlfn.XLOOKUP($A2:INDEX($A:$A,COUNTA($A:$A)),'ST1 Student Marks'!$A$1:INDEX('ST1 Student Marks'!$A:$A,COUNTA('ST1 Student Marks'!$A:$A)),'ST1 Student Marks'!M$1:INDEX('ST1 Student Marks'!M:M,COUNTA('ST1 Student Marks'!M:M)))="U","Unattempted",'ST1 Student Marks'!M1)</f>
        <v>20EC118-ST1-Q8</v>
      </c>
      <c r="N2" t="str" cm="1">
        <f t="array" ref="N2:N19">IF(_xlfn.XLOOKUP($A2:INDEX($A:$A,COUNTA($A:$A)),'ST1 Student Marks'!$A$1:INDEX('ST1 Student Marks'!$A:$A,COUNTA('ST1 Student Marks'!$A:$A)),'ST1 Student Marks'!N$1:INDEX('ST1 Student Marks'!N:N,COUNTA('ST1 Student Marks'!N:N)))="U","Unattempted",'ST1 Student Marks'!N1)</f>
        <v>Unattempted</v>
      </c>
      <c r="O2" t="str" cm="1">
        <f t="array" ref="O2:O19">IF(_xlfn.XLOOKUP($A2:INDEX($A:$A,COUNTA($A:$A)),'ST1 Student Marks'!$A$1:INDEX('ST1 Student Marks'!$A:$A,COUNTA('ST1 Student Marks'!$A:$A)),'ST1 Student Marks'!O$1:INDEX('ST1 Student Marks'!O:O,COUNTA('ST1 Student Marks'!O:O)))="U","Unattempted",'ST1 Student Marks'!O1)</f>
        <v>20EC118-ST1-Q10</v>
      </c>
      <c r="P2" t="str" cm="1">
        <f t="array" ref="P2:P19">IF(_xlfn.XLOOKUP($A2:INDEX($A:$A,COUNTA($A:$A)),'ST1 Student Marks'!$A$1:INDEX('ST1 Student Marks'!$A:$A,COUNTA('ST1 Student Marks'!$A:$A)),'ST1 Student Marks'!P$1:INDEX('ST1 Student Marks'!P:P,COUNTA('ST1 Student Marks'!P:P)))="U","Unattempted",'ST1 Student Marks'!P1)</f>
        <v>20EC118-ST1-Q11</v>
      </c>
      <c r="Q2" t="str" cm="1">
        <f t="array" ref="Q2:Q19">IF(_xlfn.XLOOKUP($A2:INDEX($A:$A,COUNTA($A:$A)),'ST1 Student Marks'!$A$1:INDEX('ST1 Student Marks'!$A:$A,COUNTA('ST1 Student Marks'!$A:$A)),'ST1 Student Marks'!Q$1:INDEX('ST1 Student Marks'!Q:Q,COUNTA('ST1 Student Marks'!Q:Q)))="U","Unattempted",'ST1 Student Marks'!Q1)</f>
        <v>20EC118-ST1-Q12</v>
      </c>
      <c r="R2" t="str" cm="1">
        <f t="array" ref="R2:R19">IF(_xlfn.XLOOKUP($A2:INDEX($A:$A,COUNTA($A:$A)),'ST1 Student Marks'!$A$1:INDEX('ST1 Student Marks'!$A:$A,COUNTA('ST1 Student Marks'!$A:$A)),'ST1 Student Marks'!R$1:INDEX('ST1 Student Marks'!R:R,COUNTA('ST1 Student Marks'!R:R)))="U","Unattempted",'ST1 Student Marks'!R1)</f>
        <v>Unattempted</v>
      </c>
      <c r="S2" t="str" cm="1">
        <f t="array" ref="S2:S19">IF(_xlfn.XLOOKUP($A2:INDEX($A:$A,COUNTA($A:$A)),'ST1 Student Marks'!$A$1:INDEX('ST1 Student Marks'!$A:$A,COUNTA('ST1 Student Marks'!$A:$A)),'ST1 Student Marks'!S$1:INDEX('ST1 Student Marks'!S:S,COUNTA('ST1 Student Marks'!S:S)))="U","Unattempted",'ST1 Student Marks'!S1)</f>
        <v>Unattempted</v>
      </c>
      <c r="T2" t="str" cm="1">
        <f t="array" ref="T2:T19">IF(_xlfn.XLOOKUP($A2:INDEX($A:$A,COUNTA($A:$A)),'ST1 Student Marks'!$A$1:INDEX('ST1 Student Marks'!$A:$A,COUNTA('ST1 Student Marks'!$A:$A)),'ST1 Student Marks'!T$1:INDEX('ST1 Student Marks'!T:T,COUNTA('ST1 Student Marks'!T:T)))="U","Unattempted",'ST1 Student Marks'!T1)</f>
        <v>Unattempted</v>
      </c>
      <c r="U2" t="str" cm="1">
        <f t="array" ref="U2:U19">IF(_xlfn.XLOOKUP($A2:INDEX($A:$A,COUNTA($A:$A)),'ST1 Student Marks'!$A$1:INDEX('ST1 Student Marks'!$A:$A,COUNTA('ST1 Student Marks'!$A:$A)),'ST1 Student Marks'!U$1:INDEX('ST1 Student Marks'!U:U,COUNTA('ST1 Student Marks'!U:U)))="U","Unattempted",'ST1 Student Marks'!U1)</f>
        <v>Unattempted</v>
      </c>
      <c r="V2" t="str" cm="1">
        <f t="array" ref="V2:V19">IF(_xlfn.XLOOKUP($A2:INDEX($A:$A,COUNTA($A:$A)),'ST1 Student Marks'!$A$1:INDEX('ST1 Student Marks'!$A:$A,COUNTA('ST1 Student Marks'!$A:$A)),'ST1 Student Marks'!V$1:INDEX('ST1 Student Marks'!V:V,COUNTA('ST1 Student Marks'!V:V)))="U","Unattempted",'ST1 Student Marks'!V1)</f>
        <v>20EC118-ST1-Assignment</v>
      </c>
      <c r="W2" t="str" cm="1">
        <f t="array" ref="W2:W19">IF(_xlfn.XLOOKUP($A2:INDEX($A:$A,COUNTA($A:$A)),'ST1 Student Marks'!$A$1:INDEX('ST1 Student Marks'!$A:$A,COUNTA('ST1 Student Marks'!$A:$A)),'ST1 Student Marks'!W$1:INDEX('ST1 Student Marks'!W:W,COUNTA('ST1 Student Marks'!W:W)))="U","Unattempted",'ST1 Student Marks'!W1)</f>
        <v>Unattempted</v>
      </c>
      <c r="X2" t="str" cm="1">
        <f t="array" ref="X2:X19">IF(_xlfn.XLOOKUP($A2:INDEX($A:$A,COUNTA($A:$A)),'ST1 Student Marks'!$A$1:INDEX('ST1 Student Marks'!$A:$A,COUNTA('ST1 Student Marks'!$A:$A)),'ST1 Student Marks'!X$1:INDEX('ST1 Student Marks'!X:X,COUNTA('ST1 Student Marks'!X:X)))="U","Unattempted",'ST1 Student Marks'!X1)</f>
        <v>Unattempted</v>
      </c>
    </row>
    <row r="3" spans="1:24" ht="18" customHeight="1" x14ac:dyDescent="0.3">
      <c r="A3" t="str">
        <v>2010992002 </v>
      </c>
      <c r="B3" t="str">
        <v>20EC118-ST1-1a</v>
      </c>
      <c r="C3" t="str">
        <v>20EC118-ST1-1b</v>
      </c>
      <c r="D3" t="str">
        <v>20EC118-ST1-1c</v>
      </c>
      <c r="E3" t="str">
        <v>20EC118-ST1-1d</v>
      </c>
      <c r="F3" t="str">
        <v>20EC118-ST1-1e</v>
      </c>
      <c r="G3" t="str">
        <v>20EC118-ST1-Q2</v>
      </c>
      <c r="H3" t="str">
        <v>20EC118-ST1-Q3</v>
      </c>
      <c r="I3" t="str">
        <v>20EC118-ST1-Q4</v>
      </c>
      <c r="J3" t="str">
        <v>20EC118-ST1-Q5</v>
      </c>
      <c r="K3" t="str">
        <v>20EC118-ST1-Q6</v>
      </c>
      <c r="L3" t="str">
        <v>Unattempted</v>
      </c>
      <c r="M3" t="str">
        <v>20EC118-ST1-Q8</v>
      </c>
      <c r="N3" t="str">
        <v>Unattempted</v>
      </c>
      <c r="O3" t="str">
        <v>20EC118-ST1-Q10</v>
      </c>
      <c r="P3" t="str">
        <v>20EC118-ST1-Q11</v>
      </c>
      <c r="Q3" t="str">
        <v>20EC118-ST1-Q12</v>
      </c>
      <c r="R3" t="str">
        <v>Unattempted</v>
      </c>
      <c r="S3" s="1" t="str">
        <v>Unattempted</v>
      </c>
      <c r="T3" t="str">
        <v>Unattempted</v>
      </c>
      <c r="U3" t="str">
        <v>Unattempted</v>
      </c>
      <c r="V3" t="str">
        <v>20EC118-ST1-Assignment</v>
      </c>
      <c r="W3" t="str">
        <v>Unattempted</v>
      </c>
      <c r="X3" t="str">
        <v>Unattempted</v>
      </c>
    </row>
    <row r="4" spans="1:24" x14ac:dyDescent="0.3">
      <c r="A4" t="str">
        <v>2010992004 </v>
      </c>
      <c r="B4" t="str">
        <v>20EC118-ST1-1a</v>
      </c>
      <c r="C4" t="str">
        <v>20EC118-ST1-1b</v>
      </c>
      <c r="D4" t="str">
        <v>20EC118-ST1-1c</v>
      </c>
      <c r="E4" t="str">
        <v>20EC118-ST1-1d</v>
      </c>
      <c r="F4" t="str">
        <v>20EC118-ST1-1e</v>
      </c>
      <c r="G4" t="str">
        <v>20EC118-ST1-Q2</v>
      </c>
      <c r="H4" t="str">
        <v>Unattempted</v>
      </c>
      <c r="I4" t="str">
        <v>20EC118-ST1-Q4</v>
      </c>
      <c r="J4" t="str">
        <v>20EC118-ST1-Q5</v>
      </c>
      <c r="K4" t="str">
        <v>20EC118-ST1-Q6</v>
      </c>
      <c r="L4" t="str">
        <v>20EC118-ST1-Q7</v>
      </c>
      <c r="M4" t="str">
        <v>Unattempted</v>
      </c>
      <c r="N4" t="str">
        <v>20EC118-ST1-Q9</v>
      </c>
      <c r="O4" t="str">
        <v>20EC118-ST1-Q10</v>
      </c>
      <c r="P4" t="str">
        <v>20EC118-ST1-Q11</v>
      </c>
      <c r="Q4" t="str">
        <v>Unattempted</v>
      </c>
      <c r="R4" t="str">
        <v>20EC118-ST1-Q13</v>
      </c>
      <c r="S4" t="str">
        <v>Unattempted</v>
      </c>
      <c r="T4" t="str">
        <v>Unattempted</v>
      </c>
      <c r="U4" t="str">
        <v>Unattempted</v>
      </c>
      <c r="V4" t="str">
        <v>20EC118-ST1-Assignment</v>
      </c>
      <c r="W4" t="str">
        <v>Unattempted</v>
      </c>
      <c r="X4" t="str">
        <v>Unattempted</v>
      </c>
    </row>
    <row r="5" spans="1:24" x14ac:dyDescent="0.3">
      <c r="A5" t="str">
        <v>2010992005 </v>
      </c>
      <c r="B5" t="str">
        <v>20EC118-ST1-1a</v>
      </c>
      <c r="C5" t="str">
        <v>20EC118-ST1-1b</v>
      </c>
      <c r="D5" t="str">
        <v>20EC118-ST1-1c</v>
      </c>
      <c r="E5" t="str">
        <v>20EC118-ST1-1d</v>
      </c>
      <c r="F5" t="str">
        <v>20EC118-ST1-1e</v>
      </c>
      <c r="G5" t="str">
        <v>20EC118-ST1-Q2</v>
      </c>
      <c r="H5" t="str">
        <v>20EC118-ST1-Q3</v>
      </c>
      <c r="I5" t="str">
        <v>Unattempted</v>
      </c>
      <c r="J5" t="str">
        <v>20EC118-ST1-Q5</v>
      </c>
      <c r="K5" t="str">
        <v>20EC118-ST1-Q6</v>
      </c>
      <c r="L5" t="str">
        <v>20EC118-ST1-Q7</v>
      </c>
      <c r="M5" t="str">
        <v>20EC118-ST1-Q8</v>
      </c>
      <c r="N5" t="str">
        <v>Unattempted</v>
      </c>
      <c r="O5" t="str">
        <v>Unattempted</v>
      </c>
      <c r="P5" t="str">
        <v>Unattempted</v>
      </c>
      <c r="Q5" t="str">
        <v>20EC118-ST1-Q12</v>
      </c>
      <c r="R5" t="str">
        <v>Unattempted</v>
      </c>
      <c r="S5" t="str">
        <v>Unattempted</v>
      </c>
      <c r="T5" t="str">
        <v>Unattempted</v>
      </c>
      <c r="U5" t="str">
        <v>Unattempted</v>
      </c>
      <c r="V5" t="str">
        <v>20EC118-ST1-Assignment</v>
      </c>
      <c r="W5" t="str">
        <v>Unattempted</v>
      </c>
      <c r="X5" t="str">
        <v>Unattempted</v>
      </c>
    </row>
    <row r="6" spans="1:24" x14ac:dyDescent="0.3">
      <c r="A6" t="str">
        <v>2010992006 </v>
      </c>
      <c r="B6" t="str">
        <v>20EC118-ST1-1a</v>
      </c>
      <c r="C6" t="str">
        <v>20EC118-ST1-1b</v>
      </c>
      <c r="D6" t="str">
        <v>20EC118-ST1-1c</v>
      </c>
      <c r="E6" t="str">
        <v>20EC118-ST1-1d</v>
      </c>
      <c r="F6" t="str">
        <v>20EC118-ST1-1e</v>
      </c>
      <c r="G6" t="str">
        <v>20EC118-ST1-Q2</v>
      </c>
      <c r="H6" t="str">
        <v>20EC118-ST1-Q3</v>
      </c>
      <c r="I6" t="str">
        <v>20EC118-ST1-Q4</v>
      </c>
      <c r="J6" t="str">
        <v>20EC118-ST1-Q5</v>
      </c>
      <c r="K6" t="str">
        <v>20EC118-ST1-Q6</v>
      </c>
      <c r="L6" t="str">
        <v>Unattempted</v>
      </c>
      <c r="M6" t="str">
        <v>20EC118-ST1-Q8</v>
      </c>
      <c r="N6" t="str">
        <v>20EC118-ST1-Q9</v>
      </c>
      <c r="O6" t="str">
        <v>20EC118-ST1-Q10</v>
      </c>
      <c r="P6" t="str">
        <v>Unattempted</v>
      </c>
      <c r="Q6" t="str">
        <v>Unattempted</v>
      </c>
      <c r="R6" t="str">
        <v>20EC118-ST1-Q13</v>
      </c>
      <c r="S6" t="str">
        <v>Unattempted</v>
      </c>
      <c r="T6" t="str">
        <v>Unattempted</v>
      </c>
      <c r="U6" t="str">
        <v>Unattempted</v>
      </c>
      <c r="V6" t="str">
        <v>20EC118-ST1-Assignment</v>
      </c>
      <c r="W6" t="str">
        <v>Unattempted</v>
      </c>
      <c r="X6" t="str">
        <v>Unattempted</v>
      </c>
    </row>
    <row r="7" spans="1:24" x14ac:dyDescent="0.3">
      <c r="A7" t="str">
        <v>2010992008 </v>
      </c>
      <c r="B7" t="str">
        <v>20EC118-ST1-1a</v>
      </c>
      <c r="C7" t="str">
        <v>20EC118-ST1-1b</v>
      </c>
      <c r="D7" t="str">
        <v>20EC118-ST1-1c</v>
      </c>
      <c r="E7" t="str">
        <v>20EC118-ST1-1d</v>
      </c>
      <c r="F7" t="str">
        <v>20EC118-ST1-1e</v>
      </c>
      <c r="G7" t="str">
        <v>Unattempted</v>
      </c>
      <c r="H7" t="str">
        <v>20EC118-ST1-Q3</v>
      </c>
      <c r="I7" t="str">
        <v>20EC118-ST1-Q4</v>
      </c>
      <c r="J7" t="str">
        <v>20EC118-ST1-Q5</v>
      </c>
      <c r="K7" t="str">
        <v>20EC118-ST1-Q6</v>
      </c>
      <c r="L7" t="str">
        <v>20EC118-ST1-Q7</v>
      </c>
      <c r="M7" t="str">
        <v>20EC118-ST1-Q8</v>
      </c>
      <c r="N7" t="str">
        <v>20EC118-ST1-Q9</v>
      </c>
      <c r="O7" t="str">
        <v>Unattempted</v>
      </c>
      <c r="P7" t="str">
        <v>20EC118-ST1-Q11</v>
      </c>
      <c r="Q7" t="str">
        <v>20EC118-ST1-Q12</v>
      </c>
      <c r="R7" t="str">
        <v>Unattempted</v>
      </c>
      <c r="S7" t="str">
        <v>Unattempted</v>
      </c>
      <c r="T7" t="str">
        <v>Unattempted</v>
      </c>
      <c r="U7" t="str">
        <v>Unattempted</v>
      </c>
      <c r="V7" t="str">
        <v>Unattempted</v>
      </c>
      <c r="W7" t="str">
        <v>Unattempted</v>
      </c>
      <c r="X7" t="str">
        <v>Unattempted</v>
      </c>
    </row>
    <row r="8" spans="1:24" x14ac:dyDescent="0.3">
      <c r="A8" t="str">
        <v>2010992009 </v>
      </c>
      <c r="B8" t="str">
        <v>20EC118-ST1-1a</v>
      </c>
      <c r="C8" t="str">
        <v>20EC118-ST1-1b</v>
      </c>
      <c r="D8" t="str">
        <v>20EC118-ST1-1c</v>
      </c>
      <c r="E8" t="str">
        <v>20EC118-ST1-1d</v>
      </c>
      <c r="F8" t="str">
        <v>20EC118-ST1-1e</v>
      </c>
      <c r="G8" t="str">
        <v>20EC118-ST1-Q2</v>
      </c>
      <c r="H8" t="str">
        <v>20EC118-ST1-Q3</v>
      </c>
      <c r="I8" t="str">
        <v>20EC118-ST1-Q4</v>
      </c>
      <c r="J8" t="str">
        <v>20EC118-ST1-Q5</v>
      </c>
      <c r="K8" t="str">
        <v>Unattempted</v>
      </c>
      <c r="L8" t="str">
        <v>20EC118-ST1-Q7</v>
      </c>
      <c r="M8" t="str">
        <v>20EC118-ST1-Q8</v>
      </c>
      <c r="N8" t="str">
        <v>Unattempted</v>
      </c>
      <c r="O8" t="str">
        <v>20EC118-ST1-Q10</v>
      </c>
      <c r="P8" t="str">
        <v>20EC118-ST1-Q11</v>
      </c>
      <c r="Q8" t="str">
        <v>20EC118-ST1-Q12</v>
      </c>
      <c r="R8" t="str">
        <v>Unattempted</v>
      </c>
      <c r="S8" t="str">
        <v>Unattempted</v>
      </c>
      <c r="T8" t="str">
        <v>Unattempted</v>
      </c>
      <c r="U8" t="str">
        <v>Unattempted</v>
      </c>
      <c r="V8" t="str">
        <v>20EC118-ST1-Assignment</v>
      </c>
      <c r="W8" t="str">
        <v>Unattempted</v>
      </c>
      <c r="X8" t="str">
        <v>Unattempted</v>
      </c>
    </row>
    <row r="9" spans="1:24" x14ac:dyDescent="0.3">
      <c r="A9" t="str">
        <v>2010992010 </v>
      </c>
      <c r="B9" t="str">
        <v>20EC118-ST1-1a</v>
      </c>
      <c r="C9" t="str">
        <v>20EC118-ST1-1b</v>
      </c>
      <c r="D9" t="str">
        <v>20EC118-ST1-1c</v>
      </c>
      <c r="E9" t="str">
        <v>20EC118-ST1-1d</v>
      </c>
      <c r="F9" t="str">
        <v>20EC118-ST1-1e</v>
      </c>
      <c r="G9" t="str">
        <v>20EC118-ST1-Q2</v>
      </c>
      <c r="H9" t="str">
        <v>20EC118-ST1-Q3</v>
      </c>
      <c r="I9" t="str">
        <v>20EC118-ST1-Q4</v>
      </c>
      <c r="J9" t="str">
        <v>Unattempted</v>
      </c>
      <c r="K9" t="str">
        <v>20EC118-ST1-Q6</v>
      </c>
      <c r="L9" t="str">
        <v>20EC118-ST1-Q7</v>
      </c>
      <c r="M9" t="str">
        <v>Unattempted</v>
      </c>
      <c r="N9" t="str">
        <v>20EC118-ST1-Q9</v>
      </c>
      <c r="O9" t="str">
        <v>20EC118-ST1-Q10</v>
      </c>
      <c r="P9" t="str">
        <v>20EC118-ST1-Q11</v>
      </c>
      <c r="Q9" t="str">
        <v>20EC118-ST1-Q12</v>
      </c>
      <c r="R9" t="str">
        <v>Unattempted</v>
      </c>
      <c r="S9" t="str">
        <v>Unattempted</v>
      </c>
      <c r="T9" t="str">
        <v>Unattempted</v>
      </c>
      <c r="U9" t="str">
        <v>Unattempted</v>
      </c>
      <c r="V9" t="str">
        <v>20EC118-ST1-Assignment</v>
      </c>
      <c r="W9" t="str">
        <v>Unattempted</v>
      </c>
      <c r="X9" t="str">
        <v>Unattempted</v>
      </c>
    </row>
    <row r="10" spans="1:24" x14ac:dyDescent="0.3">
      <c r="A10" t="str">
        <v>2010992011 </v>
      </c>
      <c r="B10" t="str">
        <v>20EC118-ST1-1a</v>
      </c>
      <c r="C10" t="str">
        <v>20EC118-ST1-1b</v>
      </c>
      <c r="D10" t="str">
        <v>20EC118-ST1-1c</v>
      </c>
      <c r="E10" t="str">
        <v>20EC118-ST1-1d</v>
      </c>
      <c r="F10" t="str">
        <v>20EC118-ST1-1e</v>
      </c>
      <c r="G10" t="str">
        <v>Unattempted</v>
      </c>
      <c r="H10" t="str">
        <v>20EC118-ST1-Q3</v>
      </c>
      <c r="I10" t="str">
        <v>20EC118-ST1-Q4</v>
      </c>
      <c r="J10" t="str">
        <v>20EC118-ST1-Q5</v>
      </c>
      <c r="K10" t="str">
        <v>20EC118-ST1-Q6</v>
      </c>
      <c r="L10" t="str">
        <v>20EC118-ST1-Q7</v>
      </c>
      <c r="M10" t="str">
        <v>20EC118-ST1-Q8</v>
      </c>
      <c r="N10" t="str">
        <v>Unattempted</v>
      </c>
      <c r="O10" t="str">
        <v>Unattempted</v>
      </c>
      <c r="P10" t="str">
        <v>20EC118-ST1-Q11</v>
      </c>
      <c r="Q10" t="str">
        <v>Unattempted</v>
      </c>
      <c r="R10" t="str">
        <v>20EC118-ST1-Q13</v>
      </c>
      <c r="S10" t="str">
        <v>Unattempted</v>
      </c>
      <c r="T10" t="str">
        <v>Unattempted</v>
      </c>
      <c r="U10" t="str">
        <v>Unattempted</v>
      </c>
      <c r="V10" t="str">
        <v>20EC118-ST1-Assignment</v>
      </c>
      <c r="W10" t="str">
        <v>Unattempted</v>
      </c>
      <c r="X10" t="str">
        <v>Unattempted</v>
      </c>
    </row>
    <row r="11" spans="1:24" x14ac:dyDescent="0.3">
      <c r="A11" t="str">
        <v>2010992012 </v>
      </c>
      <c r="B11" t="str">
        <v>20EC118-ST1-1a</v>
      </c>
      <c r="C11" t="str">
        <v>20EC118-ST1-1b</v>
      </c>
      <c r="D11" t="str">
        <v>20EC118-ST1-1c</v>
      </c>
      <c r="E11" t="str">
        <v>20EC118-ST1-1d</v>
      </c>
      <c r="F11" t="str">
        <v>20EC118-ST1-1e</v>
      </c>
      <c r="G11" t="str">
        <v>Unattempted</v>
      </c>
      <c r="H11" t="str">
        <v>20EC118-ST1-Q3</v>
      </c>
      <c r="I11" t="str">
        <v>20EC118-ST1-Q4</v>
      </c>
      <c r="J11" t="str">
        <v>20EC118-ST1-Q5</v>
      </c>
      <c r="K11" t="str">
        <v>20EC118-ST1-Q6</v>
      </c>
      <c r="L11" t="str">
        <v>20EC118-ST1-Q7</v>
      </c>
      <c r="M11" t="str">
        <v>20EC118-ST1-Q8</v>
      </c>
      <c r="N11" t="str">
        <v>20EC118-ST1-Q9</v>
      </c>
      <c r="O11" t="str">
        <v>Unattempted</v>
      </c>
      <c r="P11" t="str">
        <v>20EC118-ST1-Q11</v>
      </c>
      <c r="Q11" t="str">
        <v>20EC118-ST1-Q12</v>
      </c>
      <c r="R11" t="str">
        <v>Unattempted</v>
      </c>
      <c r="S11" t="str">
        <v>Unattempted</v>
      </c>
      <c r="T11" t="str">
        <v>Unattempted</v>
      </c>
      <c r="U11" t="str">
        <v>Unattempted</v>
      </c>
      <c r="V11" t="str">
        <v>20EC118-ST1-Assignment</v>
      </c>
      <c r="W11" t="str">
        <v>Unattempted</v>
      </c>
      <c r="X11" t="str">
        <v>Unattempted</v>
      </c>
    </row>
    <row r="12" spans="1:24" x14ac:dyDescent="0.3">
      <c r="A12" t="str">
        <v>2010992014 </v>
      </c>
      <c r="B12" t="str">
        <v>20EC118-ST1-1a</v>
      </c>
      <c r="C12" t="str">
        <v>20EC118-ST1-1b</v>
      </c>
      <c r="D12" t="str">
        <v>20EC118-ST1-1c</v>
      </c>
      <c r="E12" t="str">
        <v>20EC118-ST1-1d</v>
      </c>
      <c r="F12" t="str">
        <v>20EC118-ST1-1e</v>
      </c>
      <c r="G12" t="str">
        <v>20EC118-ST1-Q2</v>
      </c>
      <c r="H12" t="str">
        <v>20EC118-ST1-Q3</v>
      </c>
      <c r="I12" t="str">
        <v>20EC118-ST1-Q4</v>
      </c>
      <c r="J12" t="str">
        <v>20EC118-ST1-Q5</v>
      </c>
      <c r="K12" t="str">
        <v>Unattempted</v>
      </c>
      <c r="L12" t="str">
        <v>20EC118-ST1-Q7</v>
      </c>
      <c r="M12" t="str">
        <v>20EC118-ST1-Q8</v>
      </c>
      <c r="N12" t="str">
        <v>20EC118-ST1-Q9</v>
      </c>
      <c r="O12" t="str">
        <v>Unattempted</v>
      </c>
      <c r="P12" t="str">
        <v>20EC118-ST1-Q11</v>
      </c>
      <c r="Q12" t="str">
        <v>20EC118-ST1-Q12</v>
      </c>
      <c r="R12" t="str">
        <v>Unattempted</v>
      </c>
      <c r="S12" t="str">
        <v>Unattempted</v>
      </c>
      <c r="T12" t="str">
        <v>Unattempted</v>
      </c>
      <c r="U12" t="str">
        <v>Unattempted</v>
      </c>
      <c r="V12" t="str">
        <v>Unattempted</v>
      </c>
      <c r="W12" t="str">
        <v>Unattempted</v>
      </c>
      <c r="X12" t="str">
        <v>Unattempted</v>
      </c>
    </row>
    <row r="13" spans="1:24" x14ac:dyDescent="0.3">
      <c r="A13" t="str">
        <v>2010992015 </v>
      </c>
      <c r="B13" t="str">
        <v>20EC118-ST1-1a</v>
      </c>
      <c r="C13" t="str">
        <v>20EC118-ST1-1b</v>
      </c>
      <c r="D13" t="str">
        <v>20EC118-ST1-1c</v>
      </c>
      <c r="E13" t="str">
        <v>20EC118-ST1-1d</v>
      </c>
      <c r="F13" t="str">
        <v>20EC118-ST1-1e</v>
      </c>
      <c r="G13" t="str">
        <v>20EC118-ST1-Q2</v>
      </c>
      <c r="H13" t="str">
        <v>20EC118-ST1-Q3</v>
      </c>
      <c r="I13" t="str">
        <v>Unattempted</v>
      </c>
      <c r="J13" t="str">
        <v>20EC118-ST1-Q5</v>
      </c>
      <c r="K13" t="str">
        <v>20EC118-ST1-Q6</v>
      </c>
      <c r="L13" t="str">
        <v>20EC118-ST1-Q7</v>
      </c>
      <c r="M13" t="str">
        <v>Unattempted</v>
      </c>
      <c r="N13" t="str">
        <v>20EC118-ST1-Q9</v>
      </c>
      <c r="O13" t="str">
        <v>Unattempted</v>
      </c>
      <c r="P13" t="str">
        <v>20EC118-ST1-Q11</v>
      </c>
      <c r="Q13" t="str">
        <v>20EC118-ST1-Q12</v>
      </c>
      <c r="R13" t="str">
        <v>Unattempted</v>
      </c>
      <c r="S13" t="str">
        <v>Unattempted</v>
      </c>
      <c r="T13" t="str">
        <v>Unattempted</v>
      </c>
      <c r="U13" t="str">
        <v>Unattempted</v>
      </c>
      <c r="V13" t="str">
        <v>Unattempted</v>
      </c>
      <c r="W13" t="str">
        <v>Unattempted</v>
      </c>
      <c r="X13" t="str">
        <v>Unattempted</v>
      </c>
    </row>
    <row r="14" spans="1:24" x14ac:dyDescent="0.3">
      <c r="A14" t="str">
        <v>2010992016 </v>
      </c>
      <c r="B14" t="str">
        <v>20EC118-ST1-1a</v>
      </c>
      <c r="C14" t="str">
        <v>20EC118-ST1-1b</v>
      </c>
      <c r="D14" t="str">
        <v>20EC118-ST1-1c</v>
      </c>
      <c r="E14" t="str">
        <v>20EC118-ST1-1d</v>
      </c>
      <c r="F14" t="str">
        <v>20EC118-ST1-1e</v>
      </c>
      <c r="G14" t="str">
        <v>20EC118-ST1-Q2</v>
      </c>
      <c r="H14" t="str">
        <v>20EC118-ST1-Q3</v>
      </c>
      <c r="I14" t="str">
        <v>20EC118-ST1-Q4</v>
      </c>
      <c r="J14" t="str">
        <v>20EC118-ST1-Q5</v>
      </c>
      <c r="K14" t="str">
        <v>20EC118-ST1-Q6</v>
      </c>
      <c r="L14" t="str">
        <v>Unattempted</v>
      </c>
      <c r="M14" t="str">
        <v>20EC118-ST1-Q8</v>
      </c>
      <c r="N14" t="str">
        <v>20EC118-ST1-Q9</v>
      </c>
      <c r="O14" t="str">
        <v>Unattempted</v>
      </c>
      <c r="P14" t="str">
        <v>20EC118-ST1-Q11</v>
      </c>
      <c r="Q14" t="str">
        <v>Unattempted</v>
      </c>
      <c r="R14" t="str">
        <v>20EC118-ST1-Q13</v>
      </c>
      <c r="S14" t="str">
        <v>Unattempted</v>
      </c>
      <c r="T14" t="str">
        <v>Unattempted</v>
      </c>
      <c r="U14" t="str">
        <v>Unattempted</v>
      </c>
      <c r="V14" t="str">
        <v>20EC118-ST1-Assignment</v>
      </c>
      <c r="W14" t="str">
        <v>Unattempted</v>
      </c>
      <c r="X14" t="str">
        <v>Unattempted</v>
      </c>
    </row>
    <row r="15" spans="1:24" x14ac:dyDescent="0.3">
      <c r="A15" t="str">
        <v>2010992017 </v>
      </c>
      <c r="B15" t="str">
        <v>20EC118-ST1-1a</v>
      </c>
      <c r="C15" t="str">
        <v>20EC118-ST1-1b</v>
      </c>
      <c r="D15" t="str">
        <v>20EC118-ST1-1c</v>
      </c>
      <c r="E15" t="str">
        <v>20EC118-ST1-1d</v>
      </c>
      <c r="F15" t="str">
        <v>20EC118-ST1-1e</v>
      </c>
      <c r="G15" t="str">
        <v>20EC118-ST1-Q2</v>
      </c>
      <c r="H15" t="str">
        <v>20EC118-ST1-Q3</v>
      </c>
      <c r="I15" t="str">
        <v>20EC118-ST1-Q4</v>
      </c>
      <c r="J15" t="str">
        <v>20EC118-ST1-Q5</v>
      </c>
      <c r="K15" t="str">
        <v>Unattempted</v>
      </c>
      <c r="L15" t="str">
        <v>20EC118-ST1-Q7</v>
      </c>
      <c r="M15" t="str">
        <v>Unattempted</v>
      </c>
      <c r="N15" t="str">
        <v>20EC118-ST1-Q9</v>
      </c>
      <c r="O15" t="str">
        <v>Unattempted</v>
      </c>
      <c r="P15" t="str">
        <v>20EC118-ST1-Q11</v>
      </c>
      <c r="Q15" t="str">
        <v>Unattempted</v>
      </c>
      <c r="R15" t="str">
        <v>20EC118-ST1-Q13</v>
      </c>
      <c r="S15" t="str">
        <v>Unattempted</v>
      </c>
      <c r="T15" t="str">
        <v>Unattempted</v>
      </c>
      <c r="U15" t="str">
        <v>Unattempted</v>
      </c>
      <c r="V15" t="str">
        <v>20EC118-ST1-Assignment</v>
      </c>
      <c r="W15" t="str">
        <v>Unattempted</v>
      </c>
      <c r="X15" t="str">
        <v>Unattempted</v>
      </c>
    </row>
    <row r="16" spans="1:24" x14ac:dyDescent="0.3">
      <c r="A16" t="str">
        <v>2010992018 </v>
      </c>
      <c r="B16" t="str">
        <v>20EC118-ST1-1a</v>
      </c>
      <c r="C16" t="str">
        <v>20EC118-ST1-1b</v>
      </c>
      <c r="D16" t="str">
        <v>20EC118-ST1-1c</v>
      </c>
      <c r="E16" t="str">
        <v>20EC118-ST1-1d</v>
      </c>
      <c r="F16" t="str">
        <v>20EC118-ST1-1e</v>
      </c>
      <c r="G16" t="str">
        <v>Unattempted</v>
      </c>
      <c r="H16" t="str">
        <v>20EC118-ST1-Q3</v>
      </c>
      <c r="I16" t="str">
        <v>20EC118-ST1-Q4</v>
      </c>
      <c r="J16" t="str">
        <v>20EC118-ST1-Q5</v>
      </c>
      <c r="K16" t="str">
        <v>20EC118-ST1-Q6</v>
      </c>
      <c r="L16" t="str">
        <v>20EC118-ST1-Q7</v>
      </c>
      <c r="M16" t="str">
        <v>20EC118-ST1-Q8</v>
      </c>
      <c r="N16" t="str">
        <v>20EC118-ST1-Q9</v>
      </c>
      <c r="O16" t="str">
        <v>20EC118-ST1-Q10</v>
      </c>
      <c r="P16" t="str">
        <v>Unattempted</v>
      </c>
      <c r="Q16" t="str">
        <v>20EC118-ST1-Q12</v>
      </c>
      <c r="R16" t="str">
        <v>Unattempted</v>
      </c>
      <c r="S16" t="str">
        <v>Unattempted</v>
      </c>
      <c r="T16" t="str">
        <v>Unattempted</v>
      </c>
      <c r="U16" t="str">
        <v>Unattempted</v>
      </c>
      <c r="V16" t="str">
        <v>20EC118-ST1-Assignment</v>
      </c>
      <c r="W16" t="str">
        <v>Unattempted</v>
      </c>
      <c r="X16" t="str">
        <v>Unattempted</v>
      </c>
    </row>
    <row r="17" spans="1:24" x14ac:dyDescent="0.3">
      <c r="A17" t="str">
        <v>2010992163 </v>
      </c>
      <c r="B17" t="str">
        <v>20EC118-ST1-1a</v>
      </c>
      <c r="C17" t="str">
        <v>20EC118-ST1-1b</v>
      </c>
      <c r="D17" t="str">
        <v>20EC118-ST1-1c</v>
      </c>
      <c r="E17" t="str">
        <v>20EC118-ST1-1d</v>
      </c>
      <c r="F17" t="str">
        <v>20EC118-ST1-1e</v>
      </c>
      <c r="G17" t="str">
        <v>20EC118-ST1-Q2</v>
      </c>
      <c r="H17" t="str">
        <v>Unattempted</v>
      </c>
      <c r="I17" t="str">
        <v>20EC118-ST1-Q4</v>
      </c>
      <c r="J17" t="str">
        <v>20EC118-ST1-Q5</v>
      </c>
      <c r="K17" t="str">
        <v>20EC118-ST1-Q6</v>
      </c>
      <c r="L17" t="str">
        <v>20EC118-ST1-Q7</v>
      </c>
      <c r="M17" t="str">
        <v>20EC118-ST1-Q8</v>
      </c>
      <c r="N17" t="str">
        <v>20EC118-ST1-Q9</v>
      </c>
      <c r="O17" t="str">
        <v>Unattempted</v>
      </c>
      <c r="P17" t="str">
        <v>20EC118-ST1-Q11</v>
      </c>
      <c r="Q17" t="str">
        <v>20EC118-ST1-Q12</v>
      </c>
      <c r="R17" t="str">
        <v>Unattempted</v>
      </c>
      <c r="S17" t="str">
        <v>Unattempted</v>
      </c>
      <c r="T17" t="str">
        <v>Unattempted</v>
      </c>
      <c r="U17" t="str">
        <v>Unattempted</v>
      </c>
      <c r="V17" t="str">
        <v>20EC118-ST1-Assignment</v>
      </c>
      <c r="W17" t="str">
        <v>Unattempted</v>
      </c>
      <c r="X17" t="str">
        <v>Unattempted</v>
      </c>
    </row>
    <row r="18" spans="1:24" x14ac:dyDescent="0.3">
      <c r="A18" t="str">
        <v>2010992202 </v>
      </c>
      <c r="B18" t="str">
        <v>20EC118-ST1-1a</v>
      </c>
      <c r="C18" t="str">
        <v>20EC118-ST1-1b</v>
      </c>
      <c r="D18" t="str">
        <v>20EC118-ST1-1c</v>
      </c>
      <c r="E18" t="str">
        <v>20EC118-ST1-1d</v>
      </c>
      <c r="F18" t="str">
        <v>20EC118-ST1-1e</v>
      </c>
      <c r="G18" t="str">
        <v>20EC118-ST1-Q2</v>
      </c>
      <c r="H18" t="str">
        <v>20EC118-ST1-Q3</v>
      </c>
      <c r="I18" t="str">
        <v>20EC118-ST1-Q4</v>
      </c>
      <c r="J18" t="str">
        <v>20EC118-ST1-Q5</v>
      </c>
      <c r="K18" t="str">
        <v>Unattempted</v>
      </c>
      <c r="L18" t="str">
        <v>20EC118-ST1-Q7</v>
      </c>
      <c r="M18" t="str">
        <v>Unattempted</v>
      </c>
      <c r="N18" t="str">
        <v>20EC118-ST1-Q9</v>
      </c>
      <c r="O18" t="str">
        <v>Unattempted</v>
      </c>
      <c r="P18" t="str">
        <v>Unattempted</v>
      </c>
      <c r="Q18" t="str">
        <v>20EC118-ST1-Q12</v>
      </c>
      <c r="R18" t="str">
        <v>Unattempted</v>
      </c>
      <c r="S18" t="str">
        <v>Unattempted</v>
      </c>
      <c r="T18" t="str">
        <v>Unattempted</v>
      </c>
      <c r="U18" t="str">
        <v>Unattempted</v>
      </c>
      <c r="V18" t="str">
        <v>20EC118-ST1-Assignment</v>
      </c>
      <c r="W18" t="str">
        <v>Unattempted</v>
      </c>
      <c r="X18" t="str">
        <v>Unattempted</v>
      </c>
    </row>
    <row r="19" spans="1:24" x14ac:dyDescent="0.3">
      <c r="A19" t="str">
        <v>2010992203 </v>
      </c>
      <c r="B19" t="str">
        <v>20EC118-ST1-1a</v>
      </c>
      <c r="C19" t="str">
        <v>20EC118-ST1-1b</v>
      </c>
      <c r="D19" t="str">
        <v>20EC118-ST1-1c</v>
      </c>
      <c r="E19" t="str">
        <v>20EC118-ST1-1d</v>
      </c>
      <c r="F19" t="str">
        <v>20EC118-ST1-1e</v>
      </c>
      <c r="G19" t="str">
        <v>20EC118-ST1-Q2</v>
      </c>
      <c r="H19" t="str">
        <v>20EC118-ST1-Q3</v>
      </c>
      <c r="I19" t="str">
        <v>20EC118-ST1-Q4</v>
      </c>
      <c r="J19" t="str">
        <v>20EC118-ST1-Q5</v>
      </c>
      <c r="K19" t="str">
        <v>Unattempted</v>
      </c>
      <c r="L19" t="str">
        <v>20EC118-ST1-Q7</v>
      </c>
      <c r="M19" t="str">
        <v>20EC118-ST1-Q8</v>
      </c>
      <c r="N19" t="str">
        <v>20EC118-ST1-Q9</v>
      </c>
      <c r="O19" t="str">
        <v>20EC118-ST1-Q10</v>
      </c>
      <c r="P19" t="str">
        <v>Unattempted</v>
      </c>
      <c r="Q19" t="str">
        <v>Unattempted</v>
      </c>
      <c r="R19" t="str">
        <v>20EC118-ST1-Q13</v>
      </c>
      <c r="S19" t="str">
        <v>Unattempted</v>
      </c>
      <c r="T19" t="str">
        <v>Unattempted</v>
      </c>
      <c r="U19" t="str">
        <v>Unattempted</v>
      </c>
      <c r="V19" t="str">
        <v>20EC118-ST1-Assignment</v>
      </c>
      <c r="W19" t="str">
        <v>Unattempted</v>
      </c>
      <c r="X19" t="str">
        <v>Unattempted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A995-1C39-41C2-9C80-337285CCA346}">
  <sheetPr codeName="Sheet5">
    <tabColor rgb="FFFFFF00"/>
  </sheetPr>
  <dimension ref="A1:G19"/>
  <sheetViews>
    <sheetView zoomScaleNormal="100" workbookViewId="0"/>
  </sheetViews>
  <sheetFormatPr defaultRowHeight="14.4" x14ac:dyDescent="0.3"/>
  <cols>
    <col min="1" max="1" width="21" bestFit="1" customWidth="1"/>
    <col min="2" max="7" width="10.5546875" bestFit="1" customWidth="1"/>
    <col min="19" max="19" width="255.77734375" bestFit="1" customWidth="1"/>
  </cols>
  <sheetData>
    <row r="1" spans="1:7" x14ac:dyDescent="0.3">
      <c r="A1" t="str" cm="1">
        <f t="array" ref="A1:A19">'ST1 Result'!B1:INDEX('ST1 Result'!B:B,COUNTA('ST1 Result'!B:B))</f>
        <v>Admission No. (Roll No.)</v>
      </c>
      <c r="B1" t="str" cm="1">
        <f t="array" ref="B1:G1">'ST1 CO Question Map'!C1:H1</f>
        <v>EC118_CO1</v>
      </c>
      <c r="C1" t="str">
        <v>EC118_CO2</v>
      </c>
      <c r="D1" t="str">
        <v>EC118_CO3</v>
      </c>
      <c r="E1" t="str">
        <v>EC118_CO4</v>
      </c>
      <c r="F1" t="str">
        <v>EC118_CO5</v>
      </c>
      <c r="G1" t="str">
        <v>EC118_CO6</v>
      </c>
    </row>
    <row r="2" spans="1:7" x14ac:dyDescent="0.3">
      <c r="A2" t="str">
        <v>2010990089 </v>
      </c>
      <c r="B2" cm="1">
        <f t="array" ref="B2:B19">_xlfn.BYROW($A2:INDEX($A:$A,COUNTA($A:$A)),_xlfn.LAMBDA(_xlpm.studentID,SUM(IFERROR(_xlfn.XLOOKUP(IF(_xlfn.XLOOKUP(B$1,'ST1 CO Question Map'!$C$1:$H$1,'ST1 CO Question Map'!$C$2:$H$24)= TRUE,TRANSPOSE(_xlfn.XLOOKUP(_xlpm.studentID,'ST1 Question Map'!$A$2:INDEX('ST1 Question Map'!$A:$A, COUNTA('ST1 Question Map'!$A:$A)),
                                'ST1 Question Map'!$B$2:INDEX('ST1 Question Map'!$X:$X, COUNTA('ST1 Question Map'!$X:$X))))),'ST1 CO Question Map'!$A$2:$A$24,'ST1 CO Question Map'!$B$2:$B$24),0))))</f>
        <v>40</v>
      </c>
      <c r="C2" cm="1">
        <f t="array" ref="C2:C19">_xlfn.BYROW($A2:INDEX($A:$A,COUNTA($A:$A)),_xlfn.LAMBDA(_xlpm.studentID,SUM(IFERROR(_xlfn.XLOOKUP(IF(_xlfn.XLOOKUP(C$1,'ST1 CO Question Map'!$C$1:$H$1,'ST1 CO Question Map'!$C$2:$H$24)= TRUE,TRANSPOSE(_xlfn.XLOOKUP(_xlpm.studentID,'ST1 Question Map'!$A$2:INDEX('ST1 Question Map'!$A:$A, COUNTA('ST1 Question Map'!$A:$A)),
                                'ST1 Question Map'!$B$2:INDEX('ST1 Question Map'!$X:$X, COUNTA('ST1 Question Map'!$X:$X))))),'ST1 CO Question Map'!$A$2:$A$24,'ST1 CO Question Map'!$B$2:$B$24),0))))</f>
        <v>25</v>
      </c>
      <c r="D2" cm="1">
        <f t="array" ref="D2:D19">_xlfn.BYROW($A2:INDEX($A:$A,COUNTA($A:$A)),_xlfn.LAMBDA(_xlpm.studentID,SUM(IFERROR(_xlfn.XLOOKUP(IF(_xlfn.XLOOKUP(D$1,'ST1 CO Question Map'!$C$1:$H$1,'ST1 CO Question Map'!$C$2:$H$24)= TRUE,TRANSPOSE(_xlfn.XLOOKUP(_xlpm.studentID,'ST1 Question Map'!$A$2:INDEX('ST1 Question Map'!$A:$A, COUNTA('ST1 Question Map'!$A:$A)),
                                'ST1 Question Map'!$B$2:INDEX('ST1 Question Map'!$X:$X, COUNTA('ST1 Question Map'!$X:$X))))),'ST1 CO Question Map'!$A$2:$A$24,'ST1 CO Question Map'!$B$2:$B$24),0))))</f>
        <v>10</v>
      </c>
      <c r="E2" cm="1">
        <f t="array" ref="E2:E19">_xlfn.BYROW($A2:INDEX($A:$A,COUNTA($A:$A)),_xlfn.LAMBDA(_xlpm.studentID,SUM(IFERROR(_xlfn.XLOOKUP(IF(_xlfn.XLOOKUP(E$1,'ST1 CO Question Map'!$C$1:$H$1,'ST1 CO Question Map'!$C$2:$H$24)= TRUE,TRANSPOSE(_xlfn.XLOOKUP(_xlpm.studentID,'ST1 Question Map'!$A$2:INDEX('ST1 Question Map'!$A:$A, COUNTA('ST1 Question Map'!$A:$A)),
                                'ST1 Question Map'!$B$2:INDEX('ST1 Question Map'!$X:$X, COUNTA('ST1 Question Map'!$X:$X))))),'ST1 CO Question Map'!$A$2:$A$24,'ST1 CO Question Map'!$B$2:$B$24),0))))</f>
        <v>0</v>
      </c>
      <c r="F2" cm="1">
        <f t="array" ref="F2:F19">_xlfn.BYROW($A2:INDEX($A:$A,COUNTA($A:$A)),_xlfn.LAMBDA(_xlpm.studentID,SUM(IFERROR(_xlfn.XLOOKUP(IF(_xlfn.XLOOKUP(F$1,'ST1 CO Question Map'!$C$1:$H$1,'ST1 CO Question Map'!$C$2:$H$24)= TRUE,TRANSPOSE(_xlfn.XLOOKUP(_xlpm.studentID,'ST1 Question Map'!$A$2:INDEX('ST1 Question Map'!$A:$A, COUNTA('ST1 Question Map'!$A:$A)),
                                'ST1 Question Map'!$B$2:INDEX('ST1 Question Map'!$X:$X, COUNTA('ST1 Question Map'!$X:$X))))),'ST1 CO Question Map'!$A$2:$A$24,'ST1 CO Question Map'!$B$2:$B$24),0))))</f>
        <v>0</v>
      </c>
      <c r="G2" cm="1">
        <f t="array" ref="G2:G19">_xlfn.BYROW($A2:INDEX($A:$A,COUNTA($A:$A)),_xlfn.LAMBDA(_xlpm.studentID,SUM(IFERROR(_xlfn.XLOOKUP(IF(_xlfn.XLOOKUP(G$1,'ST1 CO Question Map'!$C$1:$H$1,'ST1 CO Question Map'!$C$2:$H$24)= TRUE,TRANSPOSE(_xlfn.XLOOKUP(_xlpm.studentID,'ST1 Question Map'!$A$2:INDEX('ST1 Question Map'!$A:$A, COUNTA('ST1 Question Map'!$A:$A)),
                                'ST1 Question Map'!$B$2:INDEX('ST1 Question Map'!$X:$X, COUNTA('ST1 Question Map'!$X:$X))))),'ST1 CO Question Map'!$A$2:$A$24,'ST1 CO Question Map'!$B$2:$B$24),0))))</f>
        <v>0</v>
      </c>
    </row>
    <row r="3" spans="1:7" x14ac:dyDescent="0.3">
      <c r="A3" t="str">
        <v>2010992002 </v>
      </c>
      <c r="B3">
        <v>40</v>
      </c>
      <c r="C3">
        <v>25</v>
      </c>
      <c r="D3">
        <v>10</v>
      </c>
      <c r="E3">
        <v>0</v>
      </c>
      <c r="F3">
        <v>0</v>
      </c>
      <c r="G3">
        <v>0</v>
      </c>
    </row>
    <row r="4" spans="1:7" x14ac:dyDescent="0.3">
      <c r="A4" t="str">
        <v>2010992004 </v>
      </c>
      <c r="B4">
        <v>30</v>
      </c>
      <c r="C4">
        <v>25</v>
      </c>
      <c r="D4">
        <v>0</v>
      </c>
      <c r="E4">
        <v>0</v>
      </c>
      <c r="F4">
        <v>0</v>
      </c>
      <c r="G4">
        <v>0</v>
      </c>
    </row>
    <row r="5" spans="1:7" x14ac:dyDescent="0.3">
      <c r="A5" t="str">
        <v>2010992005 </v>
      </c>
      <c r="B5">
        <v>40</v>
      </c>
      <c r="C5">
        <v>15</v>
      </c>
      <c r="D5">
        <v>10</v>
      </c>
      <c r="E5">
        <v>0</v>
      </c>
      <c r="F5">
        <v>0</v>
      </c>
      <c r="G5">
        <v>0</v>
      </c>
    </row>
    <row r="6" spans="1:7" x14ac:dyDescent="0.3">
      <c r="A6" t="str">
        <v>2010992006 </v>
      </c>
      <c r="B6">
        <v>35</v>
      </c>
      <c r="C6">
        <v>20</v>
      </c>
      <c r="D6">
        <v>0</v>
      </c>
      <c r="E6">
        <v>0</v>
      </c>
      <c r="F6">
        <v>0</v>
      </c>
      <c r="G6">
        <v>0</v>
      </c>
    </row>
    <row r="7" spans="1:7" x14ac:dyDescent="0.3">
      <c r="A7" t="str">
        <v>2010992008 </v>
      </c>
      <c r="B7">
        <v>35</v>
      </c>
      <c r="C7">
        <v>10</v>
      </c>
      <c r="D7">
        <v>10</v>
      </c>
      <c r="E7">
        <v>0</v>
      </c>
      <c r="F7">
        <v>0</v>
      </c>
      <c r="G7">
        <v>0</v>
      </c>
    </row>
    <row r="8" spans="1:7" x14ac:dyDescent="0.3">
      <c r="A8" t="str">
        <v>2010992009 </v>
      </c>
      <c r="B8">
        <v>40</v>
      </c>
      <c r="C8">
        <v>25</v>
      </c>
      <c r="D8">
        <v>10</v>
      </c>
      <c r="E8">
        <v>0</v>
      </c>
      <c r="F8">
        <v>0</v>
      </c>
      <c r="G8">
        <v>0</v>
      </c>
    </row>
    <row r="9" spans="1:7" x14ac:dyDescent="0.3">
      <c r="A9" t="str">
        <v>2010992010 </v>
      </c>
      <c r="B9">
        <v>40</v>
      </c>
      <c r="C9">
        <v>25</v>
      </c>
      <c r="D9">
        <v>10</v>
      </c>
      <c r="E9">
        <v>0</v>
      </c>
      <c r="F9">
        <v>0</v>
      </c>
      <c r="G9">
        <v>0</v>
      </c>
    </row>
    <row r="10" spans="1:7" x14ac:dyDescent="0.3">
      <c r="A10" t="str">
        <v>2010992011 </v>
      </c>
      <c r="B10">
        <v>30</v>
      </c>
      <c r="C10">
        <v>20</v>
      </c>
      <c r="D10">
        <v>0</v>
      </c>
      <c r="E10">
        <v>0</v>
      </c>
      <c r="F10">
        <v>0</v>
      </c>
      <c r="G10">
        <v>0</v>
      </c>
    </row>
    <row r="11" spans="1:7" x14ac:dyDescent="0.3">
      <c r="A11" t="str">
        <v>2010992012 </v>
      </c>
      <c r="B11">
        <v>45</v>
      </c>
      <c r="C11">
        <v>20</v>
      </c>
      <c r="D11">
        <v>10</v>
      </c>
      <c r="E11">
        <v>0</v>
      </c>
      <c r="F11">
        <v>0</v>
      </c>
      <c r="G11">
        <v>0</v>
      </c>
    </row>
    <row r="12" spans="1:7" x14ac:dyDescent="0.3">
      <c r="A12" t="str">
        <v>2010992014 </v>
      </c>
      <c r="B12">
        <v>35</v>
      </c>
      <c r="C12">
        <v>10</v>
      </c>
      <c r="D12">
        <v>10</v>
      </c>
      <c r="E12">
        <v>0</v>
      </c>
      <c r="F12">
        <v>0</v>
      </c>
      <c r="G12">
        <v>0</v>
      </c>
    </row>
    <row r="13" spans="1:7" x14ac:dyDescent="0.3">
      <c r="A13" t="str">
        <v>2010992015 </v>
      </c>
      <c r="B13">
        <v>30</v>
      </c>
      <c r="C13">
        <v>10</v>
      </c>
      <c r="D13">
        <v>10</v>
      </c>
      <c r="E13">
        <v>0</v>
      </c>
      <c r="F13">
        <v>0</v>
      </c>
      <c r="G13">
        <v>0</v>
      </c>
    </row>
    <row r="14" spans="1:7" x14ac:dyDescent="0.3">
      <c r="A14" t="str">
        <v>2010992016 </v>
      </c>
      <c r="B14">
        <v>35</v>
      </c>
      <c r="C14">
        <v>20</v>
      </c>
      <c r="D14">
        <v>0</v>
      </c>
      <c r="E14">
        <v>0</v>
      </c>
      <c r="F14">
        <v>0</v>
      </c>
      <c r="G14">
        <v>0</v>
      </c>
    </row>
    <row r="15" spans="1:7" x14ac:dyDescent="0.3">
      <c r="A15" t="str">
        <v>2010992017 </v>
      </c>
      <c r="B15">
        <v>30</v>
      </c>
      <c r="C15">
        <v>20</v>
      </c>
      <c r="D15">
        <v>0</v>
      </c>
      <c r="E15">
        <v>0</v>
      </c>
      <c r="F15">
        <v>0</v>
      </c>
      <c r="G15">
        <v>0</v>
      </c>
    </row>
    <row r="16" spans="1:7" x14ac:dyDescent="0.3">
      <c r="A16" t="str">
        <v>2010992018 </v>
      </c>
      <c r="B16">
        <v>45</v>
      </c>
      <c r="C16">
        <v>20</v>
      </c>
      <c r="D16">
        <v>10</v>
      </c>
      <c r="E16">
        <v>0</v>
      </c>
      <c r="F16">
        <v>0</v>
      </c>
      <c r="G16">
        <v>0</v>
      </c>
    </row>
    <row r="17" spans="1:7" x14ac:dyDescent="0.3">
      <c r="A17" t="str">
        <v>2010992163 </v>
      </c>
      <c r="B17">
        <v>45</v>
      </c>
      <c r="C17">
        <v>20</v>
      </c>
      <c r="D17">
        <v>10</v>
      </c>
      <c r="E17">
        <v>0</v>
      </c>
      <c r="F17">
        <v>0</v>
      </c>
      <c r="G17">
        <v>0</v>
      </c>
    </row>
    <row r="18" spans="1:7" x14ac:dyDescent="0.3">
      <c r="A18" t="str">
        <v>2010992202 </v>
      </c>
      <c r="B18">
        <v>40</v>
      </c>
      <c r="C18">
        <v>15</v>
      </c>
      <c r="D18">
        <v>10</v>
      </c>
      <c r="E18">
        <v>0</v>
      </c>
      <c r="F18">
        <v>0</v>
      </c>
      <c r="G18">
        <v>0</v>
      </c>
    </row>
    <row r="19" spans="1:7" x14ac:dyDescent="0.3">
      <c r="A19" t="str">
        <v>2010992203 </v>
      </c>
      <c r="B19">
        <v>35</v>
      </c>
      <c r="C19">
        <v>20</v>
      </c>
      <c r="D19">
        <v>0</v>
      </c>
      <c r="E19">
        <v>0</v>
      </c>
      <c r="F19">
        <v>0</v>
      </c>
      <c r="G19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2E1EA-83F6-4159-ADC6-88C2EB4ABB85}">
  <sheetPr codeName="Sheet6">
    <tabColor rgb="FFFFFF00"/>
  </sheetPr>
  <dimension ref="A1:N19"/>
  <sheetViews>
    <sheetView zoomScaleNormal="100" workbookViewId="0"/>
  </sheetViews>
  <sheetFormatPr defaultRowHeight="14.4" x14ac:dyDescent="0.3"/>
  <cols>
    <col min="1" max="1" width="21" bestFit="1" customWidth="1"/>
    <col min="2" max="7" width="10.5546875" bestFit="1" customWidth="1"/>
  </cols>
  <sheetData>
    <row r="1" spans="1:14" x14ac:dyDescent="0.3">
      <c r="A1" t="str" cm="1">
        <f t="array" ref="A1:A19">'ST1 Result'!B1:INDEX('ST1 Result'!B:B,COUNTA('ST1 Result'!B:B))</f>
        <v>Admission No. (Roll No.)</v>
      </c>
      <c r="B1" t="str" cm="1">
        <f t="array" ref="B1:G1">'ST1 CO Question Map'!C1:H1</f>
        <v>EC118_CO1</v>
      </c>
      <c r="C1" t="str">
        <v>EC118_CO2</v>
      </c>
      <c r="D1" t="str">
        <v>EC118_CO3</v>
      </c>
      <c r="E1" t="str">
        <v>EC118_CO4</v>
      </c>
      <c r="F1" t="str">
        <v>EC118_CO5</v>
      </c>
      <c r="G1" t="str">
        <v>EC118_CO6</v>
      </c>
    </row>
    <row r="2" spans="1:14" x14ac:dyDescent="0.3">
      <c r="A2" t="str">
        <v>2010990089 </v>
      </c>
      <c r="B2" cm="1">
        <f t="array" ref="B2:B19">_xlfn.BYROW($A2:INDEX($A:$A,COUNTA($A:$A)),_xlfn.LAMBDA(_xlpm.studentID,
SUM(IFERROR(_xlfn.XLOOKUP(IF(_xlfn.XLOOKUP(B$1,'ST1 CO Question Map'!$C$1:$H$1,'ST1 CO Question Map'!$C$2:$H$24)=TRUE,TRANSPOSE(
_xlfn.XLOOKUP(_xlpm.studentID,'ST1 Question Map'!$A$2:INDEX('ST1 Question Map'!$A:$A,COUNTA('ST1 Question Map'!$A:$A)),
'ST1 Question Map'!$B$2:INDEX('ST1 Question Map'!$X:$X,COUNTA('ST1 Question Map'!$X:$X))))
),'ST1 Student Marks'!$B$1:$X$1,
_xlfn.XLOOKUP(_xlpm.studentID,'ST1 Student Marks'!$A$1:INDEX('ST1 Student Marks'!$A:$A,COUNTA('ST1 Student Marks'!$A:$A)),
'ST1 Student Marks'!$B$1:INDEX('ST1 Student Marks'!$X:$X,COUNTA('ST1 Student Marks'!$X:$X)))),
0))))</f>
        <v>24</v>
      </c>
      <c r="C2" cm="1">
        <f t="array" ref="C2:C19">_xlfn.BYROW($A2:INDEX($A:$A,COUNTA($A:$A)),_xlfn.LAMBDA(_xlpm.studentID,
SUM(IFERROR(_xlfn.XLOOKUP(IF(_xlfn.XLOOKUP(C$1,'ST1 CO Question Map'!$C$1:$H$1,'ST1 CO Question Map'!$C$2:$H$24)=TRUE,TRANSPOSE(
_xlfn.XLOOKUP(_xlpm.studentID,'ST1 Question Map'!$A$2:INDEX('ST1 Question Map'!$A:$A,COUNTA('ST1 Question Map'!$A:$A)),
'ST1 Question Map'!$B$2:INDEX('ST1 Question Map'!$X:$X,COUNTA('ST1 Question Map'!$X:$X))))
),'ST1 Student Marks'!$B$1:$X$1,
_xlfn.XLOOKUP(_xlpm.studentID,'ST1 Student Marks'!$A$1:INDEX('ST1 Student Marks'!$A:$A,COUNTA('ST1 Student Marks'!$A:$A)),
'ST1 Student Marks'!$B$1:INDEX('ST1 Student Marks'!$X:$X,COUNTA('ST1 Student Marks'!$X:$X)))),
0))))</f>
        <v>22</v>
      </c>
      <c r="D2" cm="1">
        <f t="array" ref="D2:D19">_xlfn.BYROW($A2:INDEX($A:$A,COUNTA($A:$A)),_xlfn.LAMBDA(_xlpm.studentID,
SUM(IFERROR(_xlfn.XLOOKUP(IF(_xlfn.XLOOKUP(D$1,'ST1 CO Question Map'!$C$1:$H$1,'ST1 CO Question Map'!$C$2:$H$24)=TRUE,TRANSPOSE(
_xlfn.XLOOKUP(_xlpm.studentID,'ST1 Question Map'!$A$2:INDEX('ST1 Question Map'!$A:$A,COUNTA('ST1 Question Map'!$A:$A)),
'ST1 Question Map'!$B$2:INDEX('ST1 Question Map'!$X:$X,COUNTA('ST1 Question Map'!$X:$X))))
),'ST1 Student Marks'!$B$1:$X$1,
_xlfn.XLOOKUP(_xlpm.studentID,'ST1 Student Marks'!$A$1:INDEX('ST1 Student Marks'!$A:$A,COUNTA('ST1 Student Marks'!$A:$A)),
'ST1 Student Marks'!$B$1:INDEX('ST1 Student Marks'!$X:$X,COUNTA('ST1 Student Marks'!$X:$X)))),
0))))</f>
        <v>1</v>
      </c>
      <c r="E2" cm="1">
        <f t="array" ref="E2:E19">_xlfn.BYROW($A2:INDEX($A:$A,COUNTA($A:$A)),_xlfn.LAMBDA(_xlpm.studentID,
SUM(IFERROR(_xlfn.XLOOKUP(IF(_xlfn.XLOOKUP(E$1,'ST1 CO Question Map'!$C$1:$H$1,'ST1 CO Question Map'!$C$2:$H$24)=TRUE,TRANSPOSE(
_xlfn.XLOOKUP(_xlpm.studentID,'ST1 Question Map'!$A$2:INDEX('ST1 Question Map'!$A:$A,COUNTA('ST1 Question Map'!$A:$A)),
'ST1 Question Map'!$B$2:INDEX('ST1 Question Map'!$X:$X,COUNTA('ST1 Question Map'!$X:$X))))
),'ST1 Student Marks'!$B$1:$X$1,
_xlfn.XLOOKUP(_xlpm.studentID,'ST1 Student Marks'!$A$1:INDEX('ST1 Student Marks'!$A:$A,COUNTA('ST1 Student Marks'!$A:$A)),
'ST1 Student Marks'!$B$1:INDEX('ST1 Student Marks'!$X:$X,COUNTA('ST1 Student Marks'!$X:$X)))),
0))))</f>
        <v>0</v>
      </c>
      <c r="F2" cm="1">
        <f t="array" ref="F2:F19">_xlfn.BYROW($A2:INDEX($A:$A,COUNTA($A:$A)),_xlfn.LAMBDA(_xlpm.studentID,
SUM(IFERROR(_xlfn.XLOOKUP(IF(_xlfn.XLOOKUP(F$1,'ST1 CO Question Map'!$C$1:$H$1,'ST1 CO Question Map'!$C$2:$H$24)=TRUE,TRANSPOSE(
_xlfn.XLOOKUP(_xlpm.studentID,'ST1 Question Map'!$A$2:INDEX('ST1 Question Map'!$A:$A,COUNTA('ST1 Question Map'!$A:$A)),
'ST1 Question Map'!$B$2:INDEX('ST1 Question Map'!$X:$X,COUNTA('ST1 Question Map'!$X:$X))))
),'ST1 Student Marks'!$B$1:$X$1,
_xlfn.XLOOKUP(_xlpm.studentID,'ST1 Student Marks'!$A$1:INDEX('ST1 Student Marks'!$A:$A,COUNTA('ST1 Student Marks'!$A:$A)),
'ST1 Student Marks'!$B$1:INDEX('ST1 Student Marks'!$X:$X,COUNTA('ST1 Student Marks'!$X:$X)))),
0))))</f>
        <v>0</v>
      </c>
      <c r="G2" cm="1">
        <f t="array" ref="G2:G19">_xlfn.BYROW($A2:INDEX($A:$A,COUNTA($A:$A)),_xlfn.LAMBDA(_xlpm.studentID,
SUM(IFERROR(_xlfn.XLOOKUP(IF(_xlfn.XLOOKUP(G$1,'ST1 CO Question Map'!$C$1:$H$1,'ST1 CO Question Map'!$C$2:$H$24)=TRUE,TRANSPOSE(
_xlfn.XLOOKUP(_xlpm.studentID,'ST1 Question Map'!$A$2:INDEX('ST1 Question Map'!$A:$A,COUNTA('ST1 Question Map'!$A:$A)),
'ST1 Question Map'!$B$2:INDEX('ST1 Question Map'!$X:$X,COUNTA('ST1 Question Map'!$X:$X))))
),'ST1 Student Marks'!$B$1:$X$1,
_xlfn.XLOOKUP(_xlpm.studentID,'ST1 Student Marks'!$A$1:INDEX('ST1 Student Marks'!$A:$A,COUNTA('ST1 Student Marks'!$A:$A)),
'ST1 Student Marks'!$B$1:INDEX('ST1 Student Marks'!$X:$X,COUNTA('ST1 Student Marks'!$X:$X)))),
0))))</f>
        <v>0</v>
      </c>
    </row>
    <row r="3" spans="1:14" x14ac:dyDescent="0.3">
      <c r="A3" t="str">
        <v>2010992002 </v>
      </c>
      <c r="B3">
        <v>38</v>
      </c>
      <c r="C3">
        <v>25</v>
      </c>
      <c r="D3">
        <v>8</v>
      </c>
      <c r="E3">
        <v>0</v>
      </c>
      <c r="F3">
        <v>0</v>
      </c>
      <c r="G3">
        <v>0</v>
      </c>
    </row>
    <row r="4" spans="1:14" ht="14.4" customHeight="1" x14ac:dyDescent="0.3">
      <c r="A4" t="str">
        <v>2010992004 </v>
      </c>
      <c r="B4">
        <v>24</v>
      </c>
      <c r="C4">
        <v>17</v>
      </c>
      <c r="D4">
        <v>0</v>
      </c>
      <c r="E4">
        <v>0</v>
      </c>
      <c r="F4">
        <v>0</v>
      </c>
      <c r="G4">
        <v>0</v>
      </c>
      <c r="N4" s="1"/>
    </row>
    <row r="5" spans="1:14" x14ac:dyDescent="0.3">
      <c r="A5" t="str">
        <v>2010992005 </v>
      </c>
      <c r="B5">
        <v>27</v>
      </c>
      <c r="C5">
        <v>12</v>
      </c>
      <c r="D5">
        <v>1</v>
      </c>
      <c r="E5">
        <v>0</v>
      </c>
      <c r="F5">
        <v>0</v>
      </c>
      <c r="G5">
        <v>0</v>
      </c>
    </row>
    <row r="6" spans="1:14" x14ac:dyDescent="0.3">
      <c r="A6" t="str">
        <v>2010992006 </v>
      </c>
      <c r="B6">
        <v>25</v>
      </c>
      <c r="C6">
        <v>15</v>
      </c>
      <c r="D6">
        <v>0</v>
      </c>
      <c r="E6">
        <v>0</v>
      </c>
      <c r="F6">
        <v>0</v>
      </c>
      <c r="G6">
        <v>0</v>
      </c>
    </row>
    <row r="7" spans="1:14" x14ac:dyDescent="0.3">
      <c r="A7" t="str">
        <v>2010992008 </v>
      </c>
      <c r="B7">
        <v>21</v>
      </c>
      <c r="C7">
        <v>10</v>
      </c>
      <c r="D7">
        <v>1</v>
      </c>
      <c r="E7">
        <v>0</v>
      </c>
      <c r="F7">
        <v>0</v>
      </c>
      <c r="G7">
        <v>0</v>
      </c>
    </row>
    <row r="8" spans="1:14" x14ac:dyDescent="0.3">
      <c r="A8" t="str">
        <v>2010992009 </v>
      </c>
      <c r="B8">
        <v>32</v>
      </c>
      <c r="C8">
        <v>25</v>
      </c>
      <c r="D8">
        <v>2</v>
      </c>
      <c r="E8">
        <v>0</v>
      </c>
      <c r="F8">
        <v>0</v>
      </c>
      <c r="G8">
        <v>0</v>
      </c>
    </row>
    <row r="9" spans="1:14" x14ac:dyDescent="0.3">
      <c r="A9" t="str">
        <v>2010992010 </v>
      </c>
      <c r="B9">
        <v>27</v>
      </c>
      <c r="C9">
        <v>21</v>
      </c>
      <c r="D9">
        <v>1</v>
      </c>
      <c r="E9">
        <v>0</v>
      </c>
      <c r="F9">
        <v>0</v>
      </c>
      <c r="G9">
        <v>0</v>
      </c>
    </row>
    <row r="10" spans="1:14" x14ac:dyDescent="0.3">
      <c r="A10" t="str">
        <v>2010992011 </v>
      </c>
      <c r="B10">
        <v>24</v>
      </c>
      <c r="C10">
        <v>14</v>
      </c>
      <c r="D10">
        <v>0</v>
      </c>
      <c r="E10">
        <v>0</v>
      </c>
      <c r="F10">
        <v>0</v>
      </c>
      <c r="G10">
        <v>0</v>
      </c>
    </row>
    <row r="11" spans="1:14" x14ac:dyDescent="0.3">
      <c r="A11" t="str">
        <v>2010992012 </v>
      </c>
      <c r="B11">
        <v>37</v>
      </c>
      <c r="C11">
        <v>20</v>
      </c>
      <c r="D11">
        <v>2</v>
      </c>
      <c r="E11">
        <v>0</v>
      </c>
      <c r="F11">
        <v>0</v>
      </c>
      <c r="G11">
        <v>0</v>
      </c>
    </row>
    <row r="12" spans="1:14" x14ac:dyDescent="0.3">
      <c r="A12" t="str">
        <v>2010992014 </v>
      </c>
      <c r="B12">
        <v>31</v>
      </c>
      <c r="C12">
        <v>10</v>
      </c>
      <c r="D12">
        <v>6</v>
      </c>
      <c r="E12">
        <v>0</v>
      </c>
      <c r="F12">
        <v>0</v>
      </c>
      <c r="G12">
        <v>0</v>
      </c>
    </row>
    <row r="13" spans="1:14" x14ac:dyDescent="0.3">
      <c r="A13" t="str">
        <v>2010992015 </v>
      </c>
      <c r="B13">
        <v>20</v>
      </c>
      <c r="C13">
        <v>6</v>
      </c>
      <c r="D13">
        <v>1</v>
      </c>
      <c r="E13">
        <v>0</v>
      </c>
      <c r="F13">
        <v>0</v>
      </c>
      <c r="G13">
        <v>0</v>
      </c>
    </row>
    <row r="14" spans="1:14" x14ac:dyDescent="0.3">
      <c r="A14" t="str">
        <v>2010992016 </v>
      </c>
      <c r="B14">
        <v>34</v>
      </c>
      <c r="C14">
        <v>18</v>
      </c>
      <c r="D14">
        <v>0</v>
      </c>
      <c r="E14">
        <v>0</v>
      </c>
      <c r="F14">
        <v>0</v>
      </c>
      <c r="G14">
        <v>0</v>
      </c>
    </row>
    <row r="15" spans="1:14" x14ac:dyDescent="0.3">
      <c r="A15" t="str">
        <v>2010992017 </v>
      </c>
      <c r="B15">
        <v>21</v>
      </c>
      <c r="C15">
        <v>15</v>
      </c>
      <c r="D15">
        <v>0</v>
      </c>
      <c r="E15">
        <v>0</v>
      </c>
      <c r="F15">
        <v>0</v>
      </c>
      <c r="G15">
        <v>0</v>
      </c>
    </row>
    <row r="16" spans="1:14" x14ac:dyDescent="0.3">
      <c r="A16" t="str">
        <v>2010992018 </v>
      </c>
      <c r="B16">
        <v>28</v>
      </c>
      <c r="C16">
        <v>15</v>
      </c>
      <c r="D16">
        <v>1</v>
      </c>
      <c r="E16">
        <v>0</v>
      </c>
      <c r="F16">
        <v>0</v>
      </c>
      <c r="G16">
        <v>0</v>
      </c>
    </row>
    <row r="17" spans="1:7" x14ac:dyDescent="0.3">
      <c r="A17" t="str">
        <v>2010992163 </v>
      </c>
      <c r="B17">
        <v>36</v>
      </c>
      <c r="C17">
        <v>20</v>
      </c>
      <c r="D17">
        <v>1</v>
      </c>
      <c r="E17">
        <v>0</v>
      </c>
      <c r="F17">
        <v>0</v>
      </c>
      <c r="G17">
        <v>0</v>
      </c>
    </row>
    <row r="18" spans="1:7" x14ac:dyDescent="0.3">
      <c r="A18" t="str">
        <v>2010992202 </v>
      </c>
      <c r="B18">
        <v>23</v>
      </c>
      <c r="C18">
        <v>10</v>
      </c>
      <c r="D18">
        <v>1</v>
      </c>
      <c r="E18">
        <v>0</v>
      </c>
      <c r="F18">
        <v>0</v>
      </c>
      <c r="G18">
        <v>0</v>
      </c>
    </row>
    <row r="19" spans="1:7" x14ac:dyDescent="0.3">
      <c r="A19" t="str">
        <v>2010992203 </v>
      </c>
      <c r="B19">
        <v>28</v>
      </c>
      <c r="C19">
        <v>17</v>
      </c>
      <c r="D19">
        <v>0</v>
      </c>
      <c r="E19">
        <v>0</v>
      </c>
      <c r="F19">
        <v>0</v>
      </c>
      <c r="G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655E-8B4A-4798-A6F6-4844302B08EE}">
  <sheetPr codeName="Sheet7">
    <tabColor rgb="FFFFFF00"/>
  </sheetPr>
  <dimension ref="A1:G19"/>
  <sheetViews>
    <sheetView workbookViewId="0">
      <selection activeCell="B1" sqref="B1"/>
    </sheetView>
  </sheetViews>
  <sheetFormatPr defaultRowHeight="14.4" x14ac:dyDescent="0.3"/>
  <cols>
    <col min="1" max="1" width="21" bestFit="1" customWidth="1"/>
    <col min="2" max="3" width="12" bestFit="1" customWidth="1"/>
    <col min="4" max="7" width="10.5546875" bestFit="1" customWidth="1"/>
  </cols>
  <sheetData>
    <row r="1" spans="1:7" x14ac:dyDescent="0.3">
      <c r="A1" t="str" cm="1">
        <f t="array" ref="A1:A19">'ST1 Result'!B1:INDEX('ST1 Result'!B:B,COUNTA('ST1 Result'!B:B))</f>
        <v>Admission No. (Roll No.)</v>
      </c>
      <c r="B1" t="str" cm="1">
        <f t="array" ref="B1:G1">'ST1 CO Question Map'!C1:H1</f>
        <v>EC118_CO1</v>
      </c>
      <c r="C1" t="str">
        <v>EC118_CO2</v>
      </c>
      <c r="D1" t="str">
        <v>EC118_CO3</v>
      </c>
      <c r="E1" t="str">
        <v>EC118_CO4</v>
      </c>
      <c r="F1" t="str">
        <v>EC118_CO5</v>
      </c>
      <c r="G1" t="str">
        <v>EC118_CO6</v>
      </c>
    </row>
    <row r="2" spans="1:7" x14ac:dyDescent="0.3">
      <c r="A2" t="str">
        <v>2010990089 </v>
      </c>
      <c r="B2" cm="1">
        <f t="array" ref="B2:B19">_xlfn.BYROW($A2:INDEX($A:$A,COUNTA($A:$A)),_xlfn.LAMBDA(_xlpm.studentID,IFERROR(_xlfn.XLOOKUP(_xlpm.studentID,'ST1 Student Attained CO Score'!$A:$A,'ST1 Student Attained CO Score'!B:B) /
      _xlfn.XLOOKUP(_xlpm.studentID,'ST1 Student MO CO Score'!$A:$A,
         'ST1 Student MO CO Score'!B:B)*100,"NA")))</f>
        <v>60</v>
      </c>
      <c r="C2" cm="1">
        <f t="array" ref="C2:C19">_xlfn.BYROW($A2:INDEX($A:$A,COUNTA($A:$A)),_xlfn.LAMBDA(_xlpm.studentID,IFERROR(_xlfn.XLOOKUP(_xlpm.studentID,'ST1 Student Attained CO Score'!$A:$A,'ST1 Student Attained CO Score'!C:C) /
      _xlfn.XLOOKUP(_xlpm.studentID,'ST1 Student MO CO Score'!$A:$A,
         'ST1 Student MO CO Score'!C:C)*100,"NA")))</f>
        <v>88</v>
      </c>
      <c r="D2" cm="1">
        <f t="array" ref="D2:D19">_xlfn.BYROW($A2:INDEX($A:$A,COUNTA($A:$A)),_xlfn.LAMBDA(_xlpm.studentID,IFERROR(_xlfn.XLOOKUP(_xlpm.studentID,'ST1 Student Attained CO Score'!$A:$A,'ST1 Student Attained CO Score'!D:D) /
      _xlfn.XLOOKUP(_xlpm.studentID,'ST1 Student MO CO Score'!$A:$A,
         'ST1 Student MO CO Score'!D:D)*100,"NA")))</f>
        <v>10</v>
      </c>
      <c r="E2" t="str" cm="1">
        <f t="array" ref="E2:E19">_xlfn.BYROW($A2:INDEX($A:$A,COUNTA($A:$A)),_xlfn.LAMBDA(_xlpm.studentID,IFERROR(_xlfn.XLOOKUP(_xlpm.studentID,'ST1 Student Attained CO Score'!$A:$A,'ST1 Student Attained CO Score'!E:E) /
      _xlfn.XLOOKUP(_xlpm.studentID,'ST1 Student MO CO Score'!$A:$A,
         'ST1 Student MO CO Score'!E:E)*100,"NA")))</f>
        <v>NA</v>
      </c>
      <c r="F2" t="str" cm="1">
        <f t="array" ref="F2:F19">_xlfn.BYROW($A2:INDEX($A:$A,COUNTA($A:$A)),_xlfn.LAMBDA(_xlpm.studentID,IFERROR(_xlfn.XLOOKUP(_xlpm.studentID,'ST1 Student Attained CO Score'!$A:$A,'ST1 Student Attained CO Score'!F:F) /
      _xlfn.XLOOKUP(_xlpm.studentID,'ST1 Student MO CO Score'!$A:$A,
         'ST1 Student MO CO Score'!F:F)*100,"NA")))</f>
        <v>NA</v>
      </c>
      <c r="G2" t="str" cm="1">
        <f t="array" ref="G2:G19">_xlfn.BYROW($A2:INDEX($A:$A,COUNTA($A:$A)),_xlfn.LAMBDA(_xlpm.studentID,IFERROR(_xlfn.XLOOKUP(_xlpm.studentID,'ST1 Student Attained CO Score'!$A:$A,'ST1 Student Attained CO Score'!G:G) /
      _xlfn.XLOOKUP(_xlpm.studentID,'ST1 Student MO CO Score'!$A:$A,
         'ST1 Student MO CO Score'!G:G)*100,"NA")))</f>
        <v>NA</v>
      </c>
    </row>
    <row r="3" spans="1:7" x14ac:dyDescent="0.3">
      <c r="A3" t="str">
        <v>2010992002 </v>
      </c>
      <c r="B3">
        <v>95</v>
      </c>
      <c r="C3">
        <v>100</v>
      </c>
      <c r="D3">
        <v>80</v>
      </c>
      <c r="E3" t="str">
        <v>NA</v>
      </c>
      <c r="F3" t="str">
        <v>NA</v>
      </c>
      <c r="G3" t="str">
        <v>NA</v>
      </c>
    </row>
    <row r="4" spans="1:7" x14ac:dyDescent="0.3">
      <c r="A4" t="str">
        <v>2010992004 </v>
      </c>
      <c r="B4">
        <v>80</v>
      </c>
      <c r="C4">
        <v>68</v>
      </c>
      <c r="D4" t="str">
        <v>NA</v>
      </c>
      <c r="E4" t="str">
        <v>NA</v>
      </c>
      <c r="F4" t="str">
        <v>NA</v>
      </c>
      <c r="G4" t="str">
        <v>NA</v>
      </c>
    </row>
    <row r="5" spans="1:7" x14ac:dyDescent="0.3">
      <c r="A5" t="str">
        <v>2010992005 </v>
      </c>
      <c r="B5">
        <v>67.5</v>
      </c>
      <c r="C5">
        <v>80</v>
      </c>
      <c r="D5">
        <v>10</v>
      </c>
      <c r="E5" t="str">
        <v>NA</v>
      </c>
      <c r="F5" t="str">
        <v>NA</v>
      </c>
      <c r="G5" t="str">
        <v>NA</v>
      </c>
    </row>
    <row r="6" spans="1:7" x14ac:dyDescent="0.3">
      <c r="A6" t="str">
        <v>2010992006 </v>
      </c>
      <c r="B6">
        <v>71.428571428571431</v>
      </c>
      <c r="C6">
        <v>75</v>
      </c>
      <c r="D6" t="str">
        <v>NA</v>
      </c>
      <c r="E6" t="str">
        <v>NA</v>
      </c>
      <c r="F6" t="str">
        <v>NA</v>
      </c>
      <c r="G6" t="str">
        <v>NA</v>
      </c>
    </row>
    <row r="7" spans="1:7" x14ac:dyDescent="0.3">
      <c r="A7" t="str">
        <v>2010992008 </v>
      </c>
      <c r="B7">
        <v>60</v>
      </c>
      <c r="C7">
        <v>100</v>
      </c>
      <c r="D7">
        <v>10</v>
      </c>
      <c r="E7" t="str">
        <v>NA</v>
      </c>
      <c r="F7" t="str">
        <v>NA</v>
      </c>
      <c r="G7" t="str">
        <v>NA</v>
      </c>
    </row>
    <row r="8" spans="1:7" x14ac:dyDescent="0.3">
      <c r="A8" t="str">
        <v>2010992009 </v>
      </c>
      <c r="B8">
        <v>80</v>
      </c>
      <c r="C8">
        <v>100</v>
      </c>
      <c r="D8">
        <v>20</v>
      </c>
      <c r="E8" t="str">
        <v>NA</v>
      </c>
      <c r="F8" t="str">
        <v>NA</v>
      </c>
      <c r="G8" t="str">
        <v>NA</v>
      </c>
    </row>
    <row r="9" spans="1:7" x14ac:dyDescent="0.3">
      <c r="A9" t="str">
        <v>2010992010 </v>
      </c>
      <c r="B9">
        <v>67.5</v>
      </c>
      <c r="C9">
        <v>84</v>
      </c>
      <c r="D9">
        <v>10</v>
      </c>
      <c r="E9" t="str">
        <v>NA</v>
      </c>
      <c r="F9" t="str">
        <v>NA</v>
      </c>
      <c r="G9" t="str">
        <v>NA</v>
      </c>
    </row>
    <row r="10" spans="1:7" x14ac:dyDescent="0.3">
      <c r="A10" t="str">
        <v>2010992011 </v>
      </c>
      <c r="B10">
        <v>80</v>
      </c>
      <c r="C10">
        <v>70</v>
      </c>
      <c r="D10" t="str">
        <v>NA</v>
      </c>
      <c r="E10" t="str">
        <v>NA</v>
      </c>
      <c r="F10" t="str">
        <v>NA</v>
      </c>
      <c r="G10" t="str">
        <v>NA</v>
      </c>
    </row>
    <row r="11" spans="1:7" x14ac:dyDescent="0.3">
      <c r="A11" t="str">
        <v>2010992012 </v>
      </c>
      <c r="B11">
        <v>82.222222222222214</v>
      </c>
      <c r="C11">
        <v>100</v>
      </c>
      <c r="D11">
        <v>20</v>
      </c>
      <c r="E11" t="str">
        <v>NA</v>
      </c>
      <c r="F11" t="str">
        <v>NA</v>
      </c>
      <c r="G11" t="str">
        <v>NA</v>
      </c>
    </row>
    <row r="12" spans="1:7" x14ac:dyDescent="0.3">
      <c r="A12" t="str">
        <v>2010992014 </v>
      </c>
      <c r="B12">
        <v>88.571428571428569</v>
      </c>
      <c r="C12">
        <v>100</v>
      </c>
      <c r="D12">
        <v>60</v>
      </c>
      <c r="E12" t="str">
        <v>NA</v>
      </c>
      <c r="F12" t="str">
        <v>NA</v>
      </c>
      <c r="G12" t="str">
        <v>NA</v>
      </c>
    </row>
    <row r="13" spans="1:7" x14ac:dyDescent="0.3">
      <c r="A13" t="str">
        <v>2010992015 </v>
      </c>
      <c r="B13">
        <v>66.666666666666657</v>
      </c>
      <c r="C13">
        <v>60</v>
      </c>
      <c r="D13">
        <v>10</v>
      </c>
      <c r="E13" t="str">
        <v>NA</v>
      </c>
      <c r="F13" t="str">
        <v>NA</v>
      </c>
      <c r="G13" t="str">
        <v>NA</v>
      </c>
    </row>
    <row r="14" spans="1:7" x14ac:dyDescent="0.3">
      <c r="A14" t="str">
        <v>2010992016 </v>
      </c>
      <c r="B14">
        <v>97.142857142857139</v>
      </c>
      <c r="C14">
        <v>90</v>
      </c>
      <c r="D14" t="str">
        <v>NA</v>
      </c>
      <c r="E14" t="str">
        <v>NA</v>
      </c>
      <c r="F14" t="str">
        <v>NA</v>
      </c>
      <c r="G14" t="str">
        <v>NA</v>
      </c>
    </row>
    <row r="15" spans="1:7" x14ac:dyDescent="0.3">
      <c r="A15" t="str">
        <v>2010992017 </v>
      </c>
      <c r="B15">
        <v>70</v>
      </c>
      <c r="C15">
        <v>75</v>
      </c>
      <c r="D15" t="str">
        <v>NA</v>
      </c>
      <c r="E15" t="str">
        <v>NA</v>
      </c>
      <c r="F15" t="str">
        <v>NA</v>
      </c>
      <c r="G15" t="str">
        <v>NA</v>
      </c>
    </row>
    <row r="16" spans="1:7" x14ac:dyDescent="0.3">
      <c r="A16" t="str">
        <v>2010992018 </v>
      </c>
      <c r="B16">
        <v>62.222222222222221</v>
      </c>
      <c r="C16">
        <v>75</v>
      </c>
      <c r="D16">
        <v>10</v>
      </c>
      <c r="E16" t="str">
        <v>NA</v>
      </c>
      <c r="F16" t="str">
        <v>NA</v>
      </c>
      <c r="G16" t="str">
        <v>NA</v>
      </c>
    </row>
    <row r="17" spans="1:7" x14ac:dyDescent="0.3">
      <c r="A17" t="str">
        <v>2010992163 </v>
      </c>
      <c r="B17">
        <v>80</v>
      </c>
      <c r="C17">
        <v>100</v>
      </c>
      <c r="D17">
        <v>10</v>
      </c>
      <c r="E17" t="str">
        <v>NA</v>
      </c>
      <c r="F17" t="str">
        <v>NA</v>
      </c>
      <c r="G17" t="str">
        <v>NA</v>
      </c>
    </row>
    <row r="18" spans="1:7" x14ac:dyDescent="0.3">
      <c r="A18" t="str">
        <v>2010992202 </v>
      </c>
      <c r="B18">
        <v>57.499999999999993</v>
      </c>
      <c r="C18">
        <v>66.666666666666657</v>
      </c>
      <c r="D18">
        <v>10</v>
      </c>
      <c r="E18" t="str">
        <v>NA</v>
      </c>
      <c r="F18" t="str">
        <v>NA</v>
      </c>
      <c r="G18" t="str">
        <v>NA</v>
      </c>
    </row>
    <row r="19" spans="1:7" x14ac:dyDescent="0.3">
      <c r="A19" t="str">
        <v>2010992203 </v>
      </c>
      <c r="B19">
        <v>80</v>
      </c>
      <c r="C19">
        <v>85</v>
      </c>
      <c r="D19" t="str">
        <v>NA</v>
      </c>
      <c r="E19" t="str">
        <v>NA</v>
      </c>
      <c r="F19" t="str">
        <v>NA</v>
      </c>
      <c r="G19" t="str">
        <v>NA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45ADD-D797-421C-A80B-7B170013AFE0}">
  <sheetPr codeName="Sheet8">
    <tabColor rgb="FFFFFF00"/>
  </sheetPr>
  <dimension ref="A1:G19"/>
  <sheetViews>
    <sheetView workbookViewId="0">
      <selection sqref="A1:XFD1048576"/>
    </sheetView>
  </sheetViews>
  <sheetFormatPr defaultRowHeight="14.4" x14ac:dyDescent="0.3"/>
  <cols>
    <col min="1" max="1" width="21" bestFit="1" customWidth="1"/>
    <col min="2" max="7" width="10.5546875" bestFit="1" customWidth="1"/>
  </cols>
  <sheetData>
    <row r="1" spans="1:7" x14ac:dyDescent="0.3">
      <c r="A1" t="str" cm="1">
        <f t="array" ref="A1:A19">'ST1 Result'!B1:INDEX('ST1 Result'!B:B,COUNTA('ST1 Result'!B:B))</f>
        <v>Admission No. (Roll No.)</v>
      </c>
      <c r="B1" t="str" cm="1">
        <f t="array" ref="B1:G1">'ST1 CO Question Map'!C1:H1</f>
        <v>EC118_CO1</v>
      </c>
      <c r="C1" t="str">
        <v>EC118_CO2</v>
      </c>
      <c r="D1" t="str">
        <v>EC118_CO3</v>
      </c>
      <c r="E1" t="str">
        <v>EC118_CO4</v>
      </c>
      <c r="F1" t="str">
        <v>EC118_CO5</v>
      </c>
      <c r="G1" t="str">
        <v>EC118_CO6</v>
      </c>
    </row>
    <row r="2" spans="1:7" x14ac:dyDescent="0.3">
      <c r="A2" t="str">
        <v>2010990089 </v>
      </c>
      <c r="B2" cm="1">
        <f t="array" ref="B2:B19">_xlfn.BYROW('ST1 Student Attainment percent'!B2:INDEX('ST1 Student Attainment percent'!B:B,COUNTA('ST1 Student Attainment percent'!B:B)),_xlfn.LAMBDA(_xlpm.score,_xlfn.IFS(_xlpm.score="NA","NA",_xlpm.score&gt;'OBE Details'!$B$2-1,3,_xlpm.score&gt;'OBE Details'!$B$3-1,2,_xlpm.score&gt;'OBE Details'!$B$4-1,1,_xlpm.score&lt;'OBE Details'!$B$4,0)))</f>
        <v>3</v>
      </c>
      <c r="C2" cm="1">
        <f t="array" ref="C2:C19">_xlfn.BYROW('ST1 Student Attainment percent'!C2:INDEX('ST1 Student Attainment percent'!C:C,COUNTA('ST1 Student Attainment percent'!C:C)),_xlfn.LAMBDA(_xlpm.score,_xlfn.IFS(_xlpm.score="NA","NA",_xlpm.score&gt;'OBE Details'!$B$2-1,3,_xlpm.score&gt;'OBE Details'!$B$3-1,2,_xlpm.score&gt;'OBE Details'!$B$4-1,1,_xlpm.score&lt;'OBE Details'!$B$4,0)))</f>
        <v>3</v>
      </c>
      <c r="D2" cm="1">
        <f t="array" ref="D2:D19">_xlfn.BYROW('ST1 Student Attainment percent'!D2:INDEX('ST1 Student Attainment percent'!D:D,COUNTA('ST1 Student Attainment percent'!D:D)),_xlfn.LAMBDA(_xlpm.score,_xlfn.IFS(_xlpm.score="NA","NA",_xlpm.score&gt;'OBE Details'!$B$2-1,3,_xlpm.score&gt;'OBE Details'!$B$3-1,2,_xlpm.score&gt;'OBE Details'!$B$4-1,1,_xlpm.score&lt;'OBE Details'!$B$4,0)))</f>
        <v>0</v>
      </c>
      <c r="E2" t="str" cm="1">
        <f t="array" ref="E2:E19">_xlfn.BYROW('ST1 Student Attainment percent'!E2:INDEX('ST1 Student Attainment percent'!E:E,COUNTA('ST1 Student Attainment percent'!E:E)),_xlfn.LAMBDA(_xlpm.score,_xlfn.IFS(_xlpm.score="NA","NA",_xlpm.score&gt;'OBE Details'!$B$2-1,3,_xlpm.score&gt;'OBE Details'!$B$3-1,2,_xlpm.score&gt;'OBE Details'!$B$4-1,1,_xlpm.score&lt;'OBE Details'!$B$4,0)))</f>
        <v>NA</v>
      </c>
      <c r="F2" t="str" cm="1">
        <f t="array" ref="F2:F19">_xlfn.BYROW('ST1 Student Attainment percent'!F2:INDEX('ST1 Student Attainment percent'!F:F,COUNTA('ST1 Student Attainment percent'!F:F)),_xlfn.LAMBDA(_xlpm.score,_xlfn.IFS(_xlpm.score="NA","NA",_xlpm.score&gt;'OBE Details'!$B$2-1,3,_xlpm.score&gt;'OBE Details'!$B$3-1,2,_xlpm.score&gt;'OBE Details'!$B$4-1,1,_xlpm.score&lt;'OBE Details'!$B$4,0)))</f>
        <v>NA</v>
      </c>
      <c r="G2" t="str" cm="1">
        <f t="array" ref="G2:G19">_xlfn.BYROW('ST1 Student Attainment percent'!G2:INDEX('ST1 Student Attainment percent'!G:G,COUNTA('ST1 Student Attainment percent'!G:G)),_xlfn.LAMBDA(_xlpm.score,_xlfn.IFS(_xlpm.score="NA","NA",_xlpm.score&gt;'OBE Details'!$B$2-1,3,_xlpm.score&gt;'OBE Details'!$B$3-1,2,_xlpm.score&gt;'OBE Details'!$B$4-1,1,_xlpm.score&lt;'OBE Details'!$B$4,0)))</f>
        <v>NA</v>
      </c>
    </row>
    <row r="3" spans="1:7" x14ac:dyDescent="0.3">
      <c r="A3" t="str">
        <v>2010992002 </v>
      </c>
      <c r="B3">
        <v>3</v>
      </c>
      <c r="C3">
        <v>3</v>
      </c>
      <c r="D3">
        <v>3</v>
      </c>
      <c r="E3" t="str">
        <v>NA</v>
      </c>
      <c r="F3" t="str">
        <v>NA</v>
      </c>
      <c r="G3" t="str">
        <v>NA</v>
      </c>
    </row>
    <row r="4" spans="1:7" x14ac:dyDescent="0.3">
      <c r="A4" t="str">
        <v>2010992004 </v>
      </c>
      <c r="B4">
        <v>3</v>
      </c>
      <c r="C4">
        <v>3</v>
      </c>
      <c r="D4" t="str">
        <v>NA</v>
      </c>
      <c r="E4" t="str">
        <v>NA</v>
      </c>
      <c r="F4" t="str">
        <v>NA</v>
      </c>
      <c r="G4" t="str">
        <v>NA</v>
      </c>
    </row>
    <row r="5" spans="1:7" x14ac:dyDescent="0.3">
      <c r="A5" t="str">
        <v>2010992005 </v>
      </c>
      <c r="B5">
        <v>3</v>
      </c>
      <c r="C5">
        <v>3</v>
      </c>
      <c r="D5">
        <v>0</v>
      </c>
      <c r="E5" t="str">
        <v>NA</v>
      </c>
      <c r="F5" t="str">
        <v>NA</v>
      </c>
      <c r="G5" t="str">
        <v>NA</v>
      </c>
    </row>
    <row r="6" spans="1:7" x14ac:dyDescent="0.3">
      <c r="A6" t="str">
        <v>2010992006 </v>
      </c>
      <c r="B6">
        <v>3</v>
      </c>
      <c r="C6">
        <v>3</v>
      </c>
      <c r="D6" t="str">
        <v>NA</v>
      </c>
      <c r="E6" t="str">
        <v>NA</v>
      </c>
      <c r="F6" t="str">
        <v>NA</v>
      </c>
      <c r="G6" t="str">
        <v>NA</v>
      </c>
    </row>
    <row r="7" spans="1:7" x14ac:dyDescent="0.3">
      <c r="A7" t="str">
        <v>2010992008 </v>
      </c>
      <c r="B7">
        <v>3</v>
      </c>
      <c r="C7">
        <v>3</v>
      </c>
      <c r="D7">
        <v>0</v>
      </c>
      <c r="E7" t="str">
        <v>NA</v>
      </c>
      <c r="F7" t="str">
        <v>NA</v>
      </c>
      <c r="G7" t="str">
        <v>NA</v>
      </c>
    </row>
    <row r="8" spans="1:7" x14ac:dyDescent="0.3">
      <c r="A8" t="str">
        <v>2010992009 </v>
      </c>
      <c r="B8">
        <v>3</v>
      </c>
      <c r="C8">
        <v>3</v>
      </c>
      <c r="D8">
        <v>0</v>
      </c>
      <c r="E8" t="str">
        <v>NA</v>
      </c>
      <c r="F8" t="str">
        <v>NA</v>
      </c>
      <c r="G8" t="str">
        <v>NA</v>
      </c>
    </row>
    <row r="9" spans="1:7" x14ac:dyDescent="0.3">
      <c r="A9" t="str">
        <v>2010992010 </v>
      </c>
      <c r="B9">
        <v>3</v>
      </c>
      <c r="C9">
        <v>3</v>
      </c>
      <c r="D9">
        <v>0</v>
      </c>
      <c r="E9" t="str">
        <v>NA</v>
      </c>
      <c r="F9" t="str">
        <v>NA</v>
      </c>
      <c r="G9" t="str">
        <v>NA</v>
      </c>
    </row>
    <row r="10" spans="1:7" x14ac:dyDescent="0.3">
      <c r="A10" t="str">
        <v>2010992011 </v>
      </c>
      <c r="B10">
        <v>3</v>
      </c>
      <c r="C10">
        <v>3</v>
      </c>
      <c r="D10" t="str">
        <v>NA</v>
      </c>
      <c r="E10" t="str">
        <v>NA</v>
      </c>
      <c r="F10" t="str">
        <v>NA</v>
      </c>
      <c r="G10" t="str">
        <v>NA</v>
      </c>
    </row>
    <row r="11" spans="1:7" x14ac:dyDescent="0.3">
      <c r="A11" t="str">
        <v>2010992012 </v>
      </c>
      <c r="B11">
        <v>3</v>
      </c>
      <c r="C11">
        <v>3</v>
      </c>
      <c r="D11">
        <v>0</v>
      </c>
      <c r="E11" t="str">
        <v>NA</v>
      </c>
      <c r="F11" t="str">
        <v>NA</v>
      </c>
      <c r="G11" t="str">
        <v>NA</v>
      </c>
    </row>
    <row r="12" spans="1:7" x14ac:dyDescent="0.3">
      <c r="A12" t="str">
        <v>2010992014 </v>
      </c>
      <c r="B12">
        <v>3</v>
      </c>
      <c r="C12">
        <v>3</v>
      </c>
      <c r="D12">
        <v>3</v>
      </c>
      <c r="E12" t="str">
        <v>NA</v>
      </c>
      <c r="F12" t="str">
        <v>NA</v>
      </c>
      <c r="G12" t="str">
        <v>NA</v>
      </c>
    </row>
    <row r="13" spans="1:7" x14ac:dyDescent="0.3">
      <c r="A13" t="str">
        <v>2010992015 </v>
      </c>
      <c r="B13">
        <v>3</v>
      </c>
      <c r="C13">
        <v>3</v>
      </c>
      <c r="D13">
        <v>0</v>
      </c>
      <c r="E13" t="str">
        <v>NA</v>
      </c>
      <c r="F13" t="str">
        <v>NA</v>
      </c>
      <c r="G13" t="str">
        <v>NA</v>
      </c>
    </row>
    <row r="14" spans="1:7" x14ac:dyDescent="0.3">
      <c r="A14" t="str">
        <v>2010992016 </v>
      </c>
      <c r="B14">
        <v>3</v>
      </c>
      <c r="C14">
        <v>3</v>
      </c>
      <c r="D14" t="str">
        <v>NA</v>
      </c>
      <c r="E14" t="str">
        <v>NA</v>
      </c>
      <c r="F14" t="str">
        <v>NA</v>
      </c>
      <c r="G14" t="str">
        <v>NA</v>
      </c>
    </row>
    <row r="15" spans="1:7" x14ac:dyDescent="0.3">
      <c r="A15" t="str">
        <v>2010992017 </v>
      </c>
      <c r="B15">
        <v>3</v>
      </c>
      <c r="C15">
        <v>3</v>
      </c>
      <c r="D15" t="str">
        <v>NA</v>
      </c>
      <c r="E15" t="str">
        <v>NA</v>
      </c>
      <c r="F15" t="str">
        <v>NA</v>
      </c>
      <c r="G15" t="str">
        <v>NA</v>
      </c>
    </row>
    <row r="16" spans="1:7" x14ac:dyDescent="0.3">
      <c r="A16" t="str">
        <v>2010992018 </v>
      </c>
      <c r="B16">
        <v>3</v>
      </c>
      <c r="C16">
        <v>3</v>
      </c>
      <c r="D16">
        <v>0</v>
      </c>
      <c r="E16" t="str">
        <v>NA</v>
      </c>
      <c r="F16" t="str">
        <v>NA</v>
      </c>
      <c r="G16" t="str">
        <v>NA</v>
      </c>
    </row>
    <row r="17" spans="1:7" x14ac:dyDescent="0.3">
      <c r="A17" t="str">
        <v>2010992163 </v>
      </c>
      <c r="B17">
        <v>3</v>
      </c>
      <c r="C17">
        <v>3</v>
      </c>
      <c r="D17">
        <v>0</v>
      </c>
      <c r="E17" t="str">
        <v>NA</v>
      </c>
      <c r="F17" t="str">
        <v>NA</v>
      </c>
      <c r="G17" t="str">
        <v>NA</v>
      </c>
    </row>
    <row r="18" spans="1:7" x14ac:dyDescent="0.3">
      <c r="A18" t="str">
        <v>2010992202 </v>
      </c>
      <c r="B18">
        <v>0</v>
      </c>
      <c r="C18">
        <v>3</v>
      </c>
      <c r="D18">
        <v>0</v>
      </c>
      <c r="E18" t="str">
        <v>NA</v>
      </c>
      <c r="F18" t="str">
        <v>NA</v>
      </c>
      <c r="G18" t="str">
        <v>NA</v>
      </c>
    </row>
    <row r="19" spans="1:7" x14ac:dyDescent="0.3">
      <c r="A19" t="str">
        <v>2010992203 </v>
      </c>
      <c r="B19">
        <v>3</v>
      </c>
      <c r="C19">
        <v>3</v>
      </c>
      <c r="D19" t="str">
        <v>NA</v>
      </c>
      <c r="E19" t="str">
        <v>NA</v>
      </c>
      <c r="F19" t="str">
        <v>NA</v>
      </c>
      <c r="G19" t="str">
        <v>NA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28A3-F133-4373-BF0A-E55CE6633637}">
  <sheetPr codeName="Sheet9">
    <tabColor rgb="FFFFFF00"/>
  </sheetPr>
  <dimension ref="A1:G19"/>
  <sheetViews>
    <sheetView workbookViewId="0">
      <selection activeCell="B1" sqref="B1"/>
    </sheetView>
  </sheetViews>
  <sheetFormatPr defaultRowHeight="14.4" x14ac:dyDescent="0.3"/>
  <cols>
    <col min="1" max="1" width="21" bestFit="1" customWidth="1"/>
    <col min="2" max="7" width="10.5546875" bestFit="1" customWidth="1"/>
  </cols>
  <sheetData>
    <row r="1" spans="1:7" x14ac:dyDescent="0.3">
      <c r="A1" t="str" cm="1">
        <f t="array" ref="A1:A19">'ST1 Result'!B1:INDEX('ST1 Result'!B:B,COUNTA('ST1 Result'!B:B))</f>
        <v>Admission No. (Roll No.)</v>
      </c>
      <c r="B1" t="str" cm="1">
        <f t="array" ref="B1:G1">'ST1 CO Question Map'!C1:H1</f>
        <v>EC118_CO1</v>
      </c>
      <c r="C1" t="str">
        <v>EC118_CO2</v>
      </c>
      <c r="D1" t="str">
        <v>EC118_CO3</v>
      </c>
      <c r="E1" t="str">
        <v>EC118_CO4</v>
      </c>
      <c r="F1" t="str">
        <v>EC118_CO5</v>
      </c>
      <c r="G1" t="str">
        <v>EC118_CO6</v>
      </c>
    </row>
    <row r="2" spans="1:7" x14ac:dyDescent="0.3">
      <c r="A2" t="str">
        <v>2010990089 </v>
      </c>
      <c r="B2" t="str" cm="1">
        <f t="array" ref="B2:B19">_xlfn.BYROW('ST1 Student Attainment percent'!B2:INDEX('ST1 Student Attainment percent'!B:B,COUNTA('ST1 Student Attainment percent'!B:B)),_xlfn.LAMBDA(_xlpm.score,_xlfn.IFS(_xlpm.score="NA","NA",_xlpm.score&gt;='OBE Details'!$B$5,"Y",_xlpm.score&lt;'OBE Details'!$B$5,"N")))</f>
        <v>Y</v>
      </c>
      <c r="C2" t="str" cm="1">
        <f t="array" ref="C2:C19">_xlfn.BYROW('ST1 Student Attainment percent'!C2:INDEX('ST1 Student Attainment percent'!C:C,COUNTA('ST1 Student Attainment percent'!C:C)),_xlfn.LAMBDA(_xlpm.score,_xlfn.IFS(_xlpm.score="NA","NA",_xlpm.score&gt;='OBE Details'!$B$5,"Y",_xlpm.score&lt;'OBE Details'!$B$5,"N")))</f>
        <v>Y</v>
      </c>
      <c r="D2" t="str" cm="1">
        <f t="array" ref="D2:D19">_xlfn.BYROW('ST1 Student Attainment percent'!D2:INDEX('ST1 Student Attainment percent'!D:D,COUNTA('ST1 Student Attainment percent'!D:D)),_xlfn.LAMBDA(_xlpm.score,_xlfn.IFS(_xlpm.score="NA","NA",_xlpm.score&gt;='OBE Details'!$B$5,"Y",_xlpm.score&lt;'OBE Details'!$B$5,"N")))</f>
        <v>N</v>
      </c>
      <c r="E2" t="str" cm="1">
        <f t="array" ref="E2:E19">_xlfn.BYROW('ST1 Student Attainment percent'!E2:INDEX('ST1 Student Attainment percent'!E:E,COUNTA('ST1 Student Attainment percent'!E:E)),_xlfn.LAMBDA(_xlpm.score,_xlfn.IFS(_xlpm.score="NA","NA",_xlpm.score&gt;='OBE Details'!$B$5,"Y",_xlpm.score&lt;'OBE Details'!$B$5,"N")))</f>
        <v>NA</v>
      </c>
      <c r="F2" t="str" cm="1">
        <f t="array" ref="F2:F19">_xlfn.BYROW('ST1 Student Attainment percent'!F2:INDEX('ST1 Student Attainment percent'!F:F,COUNTA('ST1 Student Attainment percent'!F:F)),_xlfn.LAMBDA(_xlpm.score,_xlfn.IFS(_xlpm.score="NA","NA",_xlpm.score&gt;='OBE Details'!$B$5,"Y",_xlpm.score&lt;'OBE Details'!$B$5,"N")))</f>
        <v>NA</v>
      </c>
      <c r="G2" t="str" cm="1">
        <f t="array" ref="G2:G19">_xlfn.BYROW('ST1 Student Attainment percent'!G2:INDEX('ST1 Student Attainment percent'!G:G,COUNTA('ST1 Student Attainment percent'!G:G)),_xlfn.LAMBDA(_xlpm.score,_xlfn.IFS(_xlpm.score="NA","NA",_xlpm.score&gt;='OBE Details'!$B$5,"Y",_xlpm.score&lt;'OBE Details'!$B$5,"N")))</f>
        <v>NA</v>
      </c>
    </row>
    <row r="3" spans="1:7" x14ac:dyDescent="0.3">
      <c r="A3" t="str">
        <v>2010992002 </v>
      </c>
      <c r="B3" t="str">
        <v>Y</v>
      </c>
      <c r="C3" t="str">
        <v>Y</v>
      </c>
      <c r="D3" t="str">
        <v>Y</v>
      </c>
      <c r="E3" t="str">
        <v>NA</v>
      </c>
      <c r="F3" t="str">
        <v>NA</v>
      </c>
      <c r="G3" t="str">
        <v>NA</v>
      </c>
    </row>
    <row r="4" spans="1:7" x14ac:dyDescent="0.3">
      <c r="A4" t="str">
        <v>2010992004 </v>
      </c>
      <c r="B4" t="str">
        <v>Y</v>
      </c>
      <c r="C4" t="str">
        <v>Y</v>
      </c>
      <c r="D4" t="str">
        <v>NA</v>
      </c>
      <c r="E4" t="str">
        <v>NA</v>
      </c>
      <c r="F4" t="str">
        <v>NA</v>
      </c>
      <c r="G4" t="str">
        <v>NA</v>
      </c>
    </row>
    <row r="5" spans="1:7" x14ac:dyDescent="0.3">
      <c r="A5" t="str">
        <v>2010992005 </v>
      </c>
      <c r="B5" t="str">
        <v>Y</v>
      </c>
      <c r="C5" t="str">
        <v>Y</v>
      </c>
      <c r="D5" t="str">
        <v>N</v>
      </c>
      <c r="E5" t="str">
        <v>NA</v>
      </c>
      <c r="F5" t="str">
        <v>NA</v>
      </c>
      <c r="G5" t="str">
        <v>NA</v>
      </c>
    </row>
    <row r="6" spans="1:7" x14ac:dyDescent="0.3">
      <c r="A6" t="str">
        <v>2010992006 </v>
      </c>
      <c r="B6" t="str">
        <v>Y</v>
      </c>
      <c r="C6" t="str">
        <v>Y</v>
      </c>
      <c r="D6" t="str">
        <v>NA</v>
      </c>
      <c r="E6" t="str">
        <v>NA</v>
      </c>
      <c r="F6" t="str">
        <v>NA</v>
      </c>
      <c r="G6" t="str">
        <v>NA</v>
      </c>
    </row>
    <row r="7" spans="1:7" x14ac:dyDescent="0.3">
      <c r="A7" t="str">
        <v>2010992008 </v>
      </c>
      <c r="B7" t="str">
        <v>Y</v>
      </c>
      <c r="C7" t="str">
        <v>Y</v>
      </c>
      <c r="D7" t="str">
        <v>N</v>
      </c>
      <c r="E7" t="str">
        <v>NA</v>
      </c>
      <c r="F7" t="str">
        <v>NA</v>
      </c>
      <c r="G7" t="str">
        <v>NA</v>
      </c>
    </row>
    <row r="8" spans="1:7" x14ac:dyDescent="0.3">
      <c r="A8" t="str">
        <v>2010992009 </v>
      </c>
      <c r="B8" t="str">
        <v>Y</v>
      </c>
      <c r="C8" t="str">
        <v>Y</v>
      </c>
      <c r="D8" t="str">
        <v>N</v>
      </c>
      <c r="E8" t="str">
        <v>NA</v>
      </c>
      <c r="F8" t="str">
        <v>NA</v>
      </c>
      <c r="G8" t="str">
        <v>NA</v>
      </c>
    </row>
    <row r="9" spans="1:7" x14ac:dyDescent="0.3">
      <c r="A9" t="str">
        <v>2010992010 </v>
      </c>
      <c r="B9" t="str">
        <v>Y</v>
      </c>
      <c r="C9" t="str">
        <v>Y</v>
      </c>
      <c r="D9" t="str">
        <v>N</v>
      </c>
      <c r="E9" t="str">
        <v>NA</v>
      </c>
      <c r="F9" t="str">
        <v>NA</v>
      </c>
      <c r="G9" t="str">
        <v>NA</v>
      </c>
    </row>
    <row r="10" spans="1:7" x14ac:dyDescent="0.3">
      <c r="A10" t="str">
        <v>2010992011 </v>
      </c>
      <c r="B10" t="str">
        <v>Y</v>
      </c>
      <c r="C10" t="str">
        <v>Y</v>
      </c>
      <c r="D10" t="str">
        <v>NA</v>
      </c>
      <c r="E10" t="str">
        <v>NA</v>
      </c>
      <c r="F10" t="str">
        <v>NA</v>
      </c>
      <c r="G10" t="str">
        <v>NA</v>
      </c>
    </row>
    <row r="11" spans="1:7" x14ac:dyDescent="0.3">
      <c r="A11" t="str">
        <v>2010992012 </v>
      </c>
      <c r="B11" t="str">
        <v>Y</v>
      </c>
      <c r="C11" t="str">
        <v>Y</v>
      </c>
      <c r="D11" t="str">
        <v>N</v>
      </c>
      <c r="E11" t="str">
        <v>NA</v>
      </c>
      <c r="F11" t="str">
        <v>NA</v>
      </c>
      <c r="G11" t="str">
        <v>NA</v>
      </c>
    </row>
    <row r="12" spans="1:7" x14ac:dyDescent="0.3">
      <c r="A12" t="str">
        <v>2010992014 </v>
      </c>
      <c r="B12" t="str">
        <v>Y</v>
      </c>
      <c r="C12" t="str">
        <v>Y</v>
      </c>
      <c r="D12" t="str">
        <v>Y</v>
      </c>
      <c r="E12" t="str">
        <v>NA</v>
      </c>
      <c r="F12" t="str">
        <v>NA</v>
      </c>
      <c r="G12" t="str">
        <v>NA</v>
      </c>
    </row>
    <row r="13" spans="1:7" x14ac:dyDescent="0.3">
      <c r="A13" t="str">
        <v>2010992015 </v>
      </c>
      <c r="B13" t="str">
        <v>Y</v>
      </c>
      <c r="C13" t="str">
        <v>Y</v>
      </c>
      <c r="D13" t="str">
        <v>N</v>
      </c>
      <c r="E13" t="str">
        <v>NA</v>
      </c>
      <c r="F13" t="str">
        <v>NA</v>
      </c>
      <c r="G13" t="str">
        <v>NA</v>
      </c>
    </row>
    <row r="14" spans="1:7" x14ac:dyDescent="0.3">
      <c r="A14" t="str">
        <v>2010992016 </v>
      </c>
      <c r="B14" t="str">
        <v>Y</v>
      </c>
      <c r="C14" t="str">
        <v>Y</v>
      </c>
      <c r="D14" t="str">
        <v>NA</v>
      </c>
      <c r="E14" t="str">
        <v>NA</v>
      </c>
      <c r="F14" t="str">
        <v>NA</v>
      </c>
      <c r="G14" t="str">
        <v>NA</v>
      </c>
    </row>
    <row r="15" spans="1:7" x14ac:dyDescent="0.3">
      <c r="A15" t="str">
        <v>2010992017 </v>
      </c>
      <c r="B15" t="str">
        <v>Y</v>
      </c>
      <c r="C15" t="str">
        <v>Y</v>
      </c>
      <c r="D15" t="str">
        <v>NA</v>
      </c>
      <c r="E15" t="str">
        <v>NA</v>
      </c>
      <c r="F15" t="str">
        <v>NA</v>
      </c>
      <c r="G15" t="str">
        <v>NA</v>
      </c>
    </row>
    <row r="16" spans="1:7" x14ac:dyDescent="0.3">
      <c r="A16" t="str">
        <v>2010992018 </v>
      </c>
      <c r="B16" t="str">
        <v>Y</v>
      </c>
      <c r="C16" t="str">
        <v>Y</v>
      </c>
      <c r="D16" t="str">
        <v>N</v>
      </c>
      <c r="E16" t="str">
        <v>NA</v>
      </c>
      <c r="F16" t="str">
        <v>NA</v>
      </c>
      <c r="G16" t="str">
        <v>NA</v>
      </c>
    </row>
    <row r="17" spans="1:7" x14ac:dyDescent="0.3">
      <c r="A17" t="str">
        <v>2010992163 </v>
      </c>
      <c r="B17" t="str">
        <v>Y</v>
      </c>
      <c r="C17" t="str">
        <v>Y</v>
      </c>
      <c r="D17" t="str">
        <v>N</v>
      </c>
      <c r="E17" t="str">
        <v>NA</v>
      </c>
      <c r="F17" t="str">
        <v>NA</v>
      </c>
      <c r="G17" t="str">
        <v>NA</v>
      </c>
    </row>
    <row r="18" spans="1:7" x14ac:dyDescent="0.3">
      <c r="A18" t="str">
        <v>2010992202 </v>
      </c>
      <c r="B18" t="str">
        <v>N</v>
      </c>
      <c r="C18" t="str">
        <v>Y</v>
      </c>
      <c r="D18" t="str">
        <v>N</v>
      </c>
      <c r="E18" t="str">
        <v>NA</v>
      </c>
      <c r="F18" t="str">
        <v>NA</v>
      </c>
      <c r="G18" t="str">
        <v>NA</v>
      </c>
    </row>
    <row r="19" spans="1:7" x14ac:dyDescent="0.3">
      <c r="A19" t="str">
        <v>2010992203 </v>
      </c>
      <c r="B19" t="str">
        <v>Y</v>
      </c>
      <c r="C19" t="str">
        <v>Y</v>
      </c>
      <c r="D19" t="str">
        <v>NA</v>
      </c>
      <c r="E19" t="str">
        <v>NA</v>
      </c>
      <c r="F19" t="str">
        <v>NA</v>
      </c>
      <c r="G19" t="str">
        <v>NA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03DF9-31ED-4793-8ABC-7F9E5C72A7F5}">
  <sheetPr codeName="Sheet12">
    <tabColor rgb="FFFFFF00"/>
  </sheetPr>
  <dimension ref="A1:X19"/>
  <sheetViews>
    <sheetView workbookViewId="0">
      <selection activeCell="B1" sqref="B1"/>
    </sheetView>
  </sheetViews>
  <sheetFormatPr defaultRowHeight="14.4" x14ac:dyDescent="0.3"/>
  <cols>
    <col min="1" max="1" width="21" bestFit="1" customWidth="1"/>
    <col min="2" max="3" width="14.44140625" bestFit="1" customWidth="1"/>
    <col min="4" max="4" width="14.33203125" bestFit="1" customWidth="1"/>
    <col min="5" max="6" width="14.44140625" bestFit="1" customWidth="1"/>
    <col min="7" max="14" width="14.77734375" bestFit="1" customWidth="1"/>
    <col min="15" max="21" width="15.77734375" bestFit="1" customWidth="1"/>
    <col min="22" max="22" width="21.88671875" bestFit="1" customWidth="1"/>
    <col min="23" max="24" width="15.44140625" bestFit="1" customWidth="1"/>
  </cols>
  <sheetData>
    <row r="1" spans="1:24" x14ac:dyDescent="0.3">
      <c r="A1" t="str" cm="1">
        <f t="array" ref="A1:A19">INDEX('ST2 Result'!B:B, 1):INDEX('ST2 Result'!B:B, COUNTA('ST2 Result'!B:B))</f>
        <v>Admission No. (Roll No.)</v>
      </c>
      <c r="B1" t="str" cm="1">
        <f t="array" ref="B1:B19">INDEX('ST2 Result'!M:M, 1):INDEX('ST2 Result'!M:M, COUNTA('ST2 Result'!M:M) )</f>
        <v>20EC118-ST2-1a</v>
      </c>
      <c r="C1" t="str" cm="1">
        <f t="array" ref="C1:C19">INDEX('ST2 Result'!N:N, 1):INDEX('ST2 Result'!N:N, COUNTA('ST2 Result'!N:N) )</f>
        <v>20EC118-ST2-1b</v>
      </c>
      <c r="D1" t="str" cm="1">
        <f t="array" ref="D1:D19">INDEX('ST2 Result'!O:O, 1):INDEX('ST2 Result'!O:O, COUNTA('ST2 Result'!O:O) )</f>
        <v>20EC118-ST2-1c</v>
      </c>
      <c r="E1" t="str" cm="1">
        <f t="array" ref="E1:E19">INDEX('ST2 Result'!P:P, 1):INDEX('ST2 Result'!P:P, COUNTA('ST2 Result'!P:P) )</f>
        <v>20EC118-ST2-1d</v>
      </c>
      <c r="F1" t="str" cm="1">
        <f t="array" ref="F1:F19">INDEX('ST2 Result'!Q:Q, 1):INDEX('ST2 Result'!Q:Q, COUNTA('ST2 Result'!Q:Q) )</f>
        <v>20EC118-ST2-1e</v>
      </c>
      <c r="G1" t="str" cm="1">
        <f t="array" ref="G1:G19">INDEX('ST2 Result'!R:R, 1):INDEX('ST2 Result'!R:R, COUNTA('ST2 Result'!R:R) )</f>
        <v>20EC118-ST2-Q2</v>
      </c>
      <c r="H1" t="str" cm="1">
        <f t="array" ref="H1:H19">INDEX('ST2 Result'!S:S, 1):INDEX('ST2 Result'!S:S, COUNTA('ST2 Result'!S:S) )</f>
        <v>20EC118-ST2-Q3</v>
      </c>
      <c r="I1" t="str" cm="1">
        <f t="array" ref="I1:I19">INDEX('ST2 Result'!T:T, 1):INDEX('ST2 Result'!T:T, COUNTA('ST2 Result'!T:T) )</f>
        <v>20EC118-ST2-Q4</v>
      </c>
      <c r="J1" t="str" cm="1">
        <f t="array" ref="J1:J19">INDEX('ST2 Result'!U:U, 1):INDEX('ST2 Result'!U:U, COUNTA('ST2 Result'!U:U) )</f>
        <v>20EC118-ST2-Q5</v>
      </c>
      <c r="K1" t="str" cm="1">
        <f t="array" ref="K1:K19">INDEX('ST2 Result'!V:V, 1):INDEX('ST2 Result'!V:V, COUNTA('ST2 Result'!V:V) )</f>
        <v>20EC118-ST2-Q6</v>
      </c>
      <c r="L1" t="str" cm="1">
        <f t="array" ref="L1:L19">INDEX('ST2 Result'!W:W, 1):INDEX('ST2 Result'!W:W, COUNTA('ST2 Result'!W:W) )</f>
        <v>20EC118-ST2-Q7</v>
      </c>
      <c r="M1" t="str" cm="1">
        <f t="array" ref="M1:M19">INDEX('ST2 Result'!X:X, 1):INDEX('ST2 Result'!X:X, COUNTA('ST2 Result'!X:X) )</f>
        <v>20EC118-ST2-Q8</v>
      </c>
      <c r="N1" t="str" cm="1">
        <f t="array" ref="N1:N19">INDEX('ST2 Result'!Y:Y, 1):INDEX('ST2 Result'!Y:Y, COUNTA('ST2 Result'!Y:Y) )</f>
        <v>20EC118-ST2-Q9</v>
      </c>
      <c r="O1" t="str" cm="1">
        <f t="array" ref="O1:O19">INDEX('ST2 Result'!Z:Z, 1):INDEX('ST2 Result'!Z:Z, COUNTA('ST2 Result'!Z:Z) )</f>
        <v>20EC118-ST2-Q10</v>
      </c>
      <c r="P1" t="str" cm="1">
        <f t="array" ref="P1:P19">INDEX('ST2 Result'!AA:AA, 1):INDEX('ST2 Result'!AA:AA, COUNTA('ST2 Result'!AA:AA) )</f>
        <v>20EC118-ST2-Q11</v>
      </c>
      <c r="Q1" t="str" cm="1">
        <f t="array" ref="Q1:Q19">INDEX('ST2 Result'!AB:AB, 1):INDEX('ST2 Result'!AB:AB, COUNTA('ST2 Result'!AB:AB) )</f>
        <v>20EC118-ST2-Q12</v>
      </c>
      <c r="R1" t="str" cm="1">
        <f t="array" ref="R1:R19">INDEX('ST2 Result'!AC:AC, 1):INDEX('ST2 Result'!AC:AC, COUNTA('ST2 Result'!AC:AC) )</f>
        <v>20EC118-ST2-Q13</v>
      </c>
      <c r="S1" t="str" cm="1">
        <f t="array" ref="S1:S19">INDEX('ST2 Result'!AD:AD, 1):INDEX('ST2 Result'!AD:AD, COUNTA('ST2 Result'!AD:AD) )</f>
        <v>20EC118-ST2-Q14</v>
      </c>
      <c r="T1" t="str" cm="1">
        <f t="array" ref="T1:T19">INDEX('ST2 Result'!AE:AE, 1):INDEX('ST2 Result'!AE:AE, COUNTA('ST2 Result'!AE:AE) )</f>
        <v>20EC118-ST2-Q15</v>
      </c>
      <c r="U1" t="str" cm="1">
        <f t="array" ref="U1:U19">INDEX('ST2 Result'!AF:AF, 1):INDEX('ST2 Result'!AF:AF, COUNTA('ST2 Result'!AF:AF) )</f>
        <v>20EC118-ST2-Q16</v>
      </c>
      <c r="V1" t="str" cm="1">
        <f t="array" ref="V1:V19">INDEX('ST2 Result'!AG:AG, 1):INDEX('ST2 Result'!AG:AG, COUNTA('ST2 Result'!AG:AG) )</f>
        <v>20EC118-ST2-Assignment</v>
      </c>
      <c r="W1" t="str" cm="1">
        <f t="array" ref="W1:W19">INDEX('ST2 Result'!AH:AH, 1):INDEX('ST2 Result'!AH:AH, COUNTA('ST2 Result'!AH:AH) )</f>
        <v>20EC118-ST2-FA1</v>
      </c>
      <c r="X1" t="str" cm="1">
        <f t="array" ref="X1:X19">INDEX('ST2 Result'!AI:AI, 1):INDEX('ST2 Result'!AI:AI, COUNTA('ST2 Result'!AI:AI) )</f>
        <v>20EC118-ST2-FA2</v>
      </c>
    </row>
    <row r="2" spans="1:24" x14ac:dyDescent="0.3">
      <c r="A2" t="str">
        <v>2010990089 </v>
      </c>
      <c r="B2">
        <v>1</v>
      </c>
      <c r="C2">
        <v>1</v>
      </c>
      <c r="D2">
        <v>1</v>
      </c>
      <c r="E2">
        <v>1</v>
      </c>
      <c r="F2">
        <v>1</v>
      </c>
      <c r="G2" t="str">
        <v>U</v>
      </c>
      <c r="H2">
        <v>1</v>
      </c>
      <c r="I2">
        <v>2</v>
      </c>
      <c r="J2">
        <v>2</v>
      </c>
      <c r="K2" t="str">
        <v>U</v>
      </c>
      <c r="L2">
        <v>2</v>
      </c>
      <c r="M2" t="str">
        <v>U</v>
      </c>
      <c r="N2" t="str">
        <v>U</v>
      </c>
      <c r="O2" t="str">
        <v>U</v>
      </c>
      <c r="P2" t="str">
        <v>U</v>
      </c>
      <c r="Q2">
        <v>1</v>
      </c>
      <c r="R2" t="str">
        <v>U</v>
      </c>
      <c r="S2" t="str">
        <v>U</v>
      </c>
      <c r="T2" t="str">
        <v>U</v>
      </c>
      <c r="U2" t="str">
        <v>U</v>
      </c>
      <c r="V2">
        <v>8</v>
      </c>
      <c r="W2" t="str">
        <v>U</v>
      </c>
      <c r="X2" t="str">
        <v>U</v>
      </c>
    </row>
    <row r="3" spans="1:24" x14ac:dyDescent="0.3">
      <c r="A3" t="str">
        <v>2010992002 </v>
      </c>
      <c r="B3">
        <v>1</v>
      </c>
      <c r="C3">
        <v>1</v>
      </c>
      <c r="D3">
        <v>1</v>
      </c>
      <c r="E3">
        <v>1</v>
      </c>
      <c r="F3">
        <v>1</v>
      </c>
      <c r="G3">
        <v>2</v>
      </c>
      <c r="H3">
        <v>2</v>
      </c>
      <c r="I3">
        <v>2</v>
      </c>
      <c r="J3" t="str">
        <v>U</v>
      </c>
      <c r="K3">
        <v>2</v>
      </c>
      <c r="L3">
        <v>2</v>
      </c>
      <c r="M3">
        <v>5</v>
      </c>
      <c r="N3">
        <v>5</v>
      </c>
      <c r="O3">
        <v>5</v>
      </c>
      <c r="P3" t="str">
        <v>U</v>
      </c>
      <c r="Q3" t="str">
        <v>U</v>
      </c>
      <c r="R3">
        <v>7</v>
      </c>
      <c r="S3" t="str">
        <v>U</v>
      </c>
      <c r="T3" t="str">
        <v>U</v>
      </c>
      <c r="U3" t="str">
        <v>U</v>
      </c>
      <c r="V3">
        <v>10</v>
      </c>
      <c r="W3" t="str">
        <v>U</v>
      </c>
      <c r="X3" t="str">
        <v>U</v>
      </c>
    </row>
    <row r="4" spans="1:24" x14ac:dyDescent="0.3">
      <c r="A4" t="str">
        <v>2010992004 </v>
      </c>
      <c r="B4" t="str">
        <v>U</v>
      </c>
      <c r="C4" t="str">
        <v>U</v>
      </c>
      <c r="D4" t="str">
        <v>U</v>
      </c>
      <c r="E4" t="str">
        <v>U</v>
      </c>
      <c r="F4" t="str">
        <v>U</v>
      </c>
      <c r="G4" t="str">
        <v>U</v>
      </c>
      <c r="H4" t="str">
        <v>U</v>
      </c>
      <c r="I4" t="str">
        <v>U</v>
      </c>
      <c r="J4" t="str">
        <v>U</v>
      </c>
      <c r="K4" t="str">
        <v>U</v>
      </c>
      <c r="L4" t="str">
        <v>U</v>
      </c>
      <c r="M4" t="str">
        <v>U</v>
      </c>
      <c r="N4" t="str">
        <v>U</v>
      </c>
      <c r="O4" t="str">
        <v>U</v>
      </c>
      <c r="P4" t="str">
        <v>U</v>
      </c>
      <c r="Q4" t="str">
        <v>U</v>
      </c>
      <c r="R4" t="str">
        <v>U</v>
      </c>
      <c r="S4" t="str">
        <v>U</v>
      </c>
      <c r="T4" t="str">
        <v>U</v>
      </c>
      <c r="U4" t="str">
        <v>U</v>
      </c>
      <c r="V4">
        <v>6</v>
      </c>
      <c r="W4" t="str">
        <v>U</v>
      </c>
      <c r="X4" t="str">
        <v>U</v>
      </c>
    </row>
    <row r="5" spans="1:24" x14ac:dyDescent="0.3">
      <c r="A5" t="str">
        <v>2010992005 </v>
      </c>
      <c r="B5" t="str">
        <v>U</v>
      </c>
      <c r="C5" t="str">
        <v>U</v>
      </c>
      <c r="D5" t="str">
        <v>U</v>
      </c>
      <c r="E5" t="str">
        <v>U</v>
      </c>
      <c r="F5" t="str">
        <v>U</v>
      </c>
      <c r="G5" t="str">
        <v>U</v>
      </c>
      <c r="H5" t="str">
        <v>U</v>
      </c>
      <c r="I5" t="str">
        <v>U</v>
      </c>
      <c r="J5" t="str">
        <v>U</v>
      </c>
      <c r="K5" t="str">
        <v>U</v>
      </c>
      <c r="L5" t="str">
        <v>U</v>
      </c>
      <c r="M5" t="str">
        <v>U</v>
      </c>
      <c r="N5" t="str">
        <v>U</v>
      </c>
      <c r="O5" t="str">
        <v>U</v>
      </c>
      <c r="P5" t="str">
        <v>U</v>
      </c>
      <c r="Q5" t="str">
        <v>U</v>
      </c>
      <c r="R5" t="str">
        <v>U</v>
      </c>
      <c r="S5" t="str">
        <v>U</v>
      </c>
      <c r="T5" t="str">
        <v>U</v>
      </c>
      <c r="U5" t="str">
        <v>U</v>
      </c>
      <c r="V5">
        <v>8</v>
      </c>
      <c r="W5" t="str">
        <v>U</v>
      </c>
      <c r="X5" t="str">
        <v>U</v>
      </c>
    </row>
    <row r="6" spans="1:24" x14ac:dyDescent="0.3">
      <c r="A6" t="str">
        <v>2010992006 </v>
      </c>
      <c r="B6" t="str">
        <v>U</v>
      </c>
      <c r="C6" t="str">
        <v>U</v>
      </c>
      <c r="D6" t="str">
        <v>U</v>
      </c>
      <c r="E6" t="str">
        <v>U</v>
      </c>
      <c r="F6" t="str">
        <v>U</v>
      </c>
      <c r="G6" t="str">
        <v>U</v>
      </c>
      <c r="H6" t="str">
        <v>U</v>
      </c>
      <c r="I6" t="str">
        <v>U</v>
      </c>
      <c r="J6" t="str">
        <v>U</v>
      </c>
      <c r="K6" t="str">
        <v>U</v>
      </c>
      <c r="L6" t="str">
        <v>U</v>
      </c>
      <c r="M6" t="str">
        <v>U</v>
      </c>
      <c r="N6" t="str">
        <v>U</v>
      </c>
      <c r="O6" t="str">
        <v>U</v>
      </c>
      <c r="P6" t="str">
        <v>U</v>
      </c>
      <c r="Q6" t="str">
        <v>U</v>
      </c>
      <c r="R6" t="str">
        <v>U</v>
      </c>
      <c r="S6" t="str">
        <v>U</v>
      </c>
      <c r="T6" t="str">
        <v>U</v>
      </c>
      <c r="U6" t="str">
        <v>U</v>
      </c>
      <c r="V6" t="str">
        <v>U</v>
      </c>
      <c r="W6" t="str">
        <v>U</v>
      </c>
      <c r="X6" t="str">
        <v>U</v>
      </c>
    </row>
    <row r="7" spans="1:24" x14ac:dyDescent="0.3">
      <c r="A7" t="str">
        <v>2010992008 </v>
      </c>
      <c r="B7" t="str">
        <v>U</v>
      </c>
      <c r="C7" t="str">
        <v>U</v>
      </c>
      <c r="D7" t="str">
        <v>U</v>
      </c>
      <c r="E7" t="str">
        <v>U</v>
      </c>
      <c r="F7" t="str">
        <v>U</v>
      </c>
      <c r="G7" t="str">
        <v>U</v>
      </c>
      <c r="H7" t="str">
        <v>U</v>
      </c>
      <c r="I7" t="str">
        <v>U</v>
      </c>
      <c r="J7" t="str">
        <v>U</v>
      </c>
      <c r="K7" t="str">
        <v>U</v>
      </c>
      <c r="L7" t="str">
        <v>U</v>
      </c>
      <c r="M7" t="str">
        <v>U</v>
      </c>
      <c r="N7" t="str">
        <v>U</v>
      </c>
      <c r="O7" t="str">
        <v>U</v>
      </c>
      <c r="P7" t="str">
        <v>U</v>
      </c>
      <c r="Q7" t="str">
        <v>U</v>
      </c>
      <c r="R7" t="str">
        <v>U</v>
      </c>
      <c r="S7" t="str">
        <v>U</v>
      </c>
      <c r="T7" t="str">
        <v>U</v>
      </c>
      <c r="U7" t="str">
        <v>U</v>
      </c>
      <c r="V7" t="str">
        <v>U</v>
      </c>
      <c r="W7" t="str">
        <v>U</v>
      </c>
      <c r="X7" t="str">
        <v>U</v>
      </c>
    </row>
    <row r="8" spans="1:24" x14ac:dyDescent="0.3">
      <c r="A8" t="str">
        <v>2010992009 </v>
      </c>
      <c r="B8">
        <v>1</v>
      </c>
      <c r="C8">
        <v>1</v>
      </c>
      <c r="D8">
        <v>1</v>
      </c>
      <c r="E8">
        <v>1</v>
      </c>
      <c r="F8">
        <v>1</v>
      </c>
      <c r="G8">
        <v>2</v>
      </c>
      <c r="H8">
        <v>2</v>
      </c>
      <c r="I8" t="str">
        <v>U</v>
      </c>
      <c r="J8">
        <v>2</v>
      </c>
      <c r="K8">
        <v>2</v>
      </c>
      <c r="L8">
        <v>2</v>
      </c>
      <c r="M8" t="str">
        <v>U</v>
      </c>
      <c r="N8">
        <v>5</v>
      </c>
      <c r="O8">
        <v>5</v>
      </c>
      <c r="P8">
        <v>5</v>
      </c>
      <c r="Q8">
        <v>3</v>
      </c>
      <c r="R8" t="str">
        <v>U</v>
      </c>
      <c r="S8" t="str">
        <v>U</v>
      </c>
      <c r="T8" t="str">
        <v>U</v>
      </c>
      <c r="U8" t="str">
        <v>U</v>
      </c>
      <c r="V8">
        <v>9</v>
      </c>
      <c r="W8" t="str">
        <v>U</v>
      </c>
      <c r="X8" t="str">
        <v>U</v>
      </c>
    </row>
    <row r="9" spans="1:24" x14ac:dyDescent="0.3">
      <c r="A9" t="str">
        <v>2010992010 </v>
      </c>
      <c r="B9" t="str">
        <v>U</v>
      </c>
      <c r="C9" t="str">
        <v>U</v>
      </c>
      <c r="D9" t="str">
        <v>U</v>
      </c>
      <c r="E9" t="str">
        <v>U</v>
      </c>
      <c r="F9" t="str">
        <v>U</v>
      </c>
      <c r="G9" t="str">
        <v>U</v>
      </c>
      <c r="H9" t="str">
        <v>U</v>
      </c>
      <c r="I9" t="str">
        <v>U</v>
      </c>
      <c r="J9" t="str">
        <v>U</v>
      </c>
      <c r="K9" t="str">
        <v>U</v>
      </c>
      <c r="L9" t="str">
        <v>U</v>
      </c>
      <c r="M9" t="str">
        <v>U</v>
      </c>
      <c r="N9" t="str">
        <v>U</v>
      </c>
      <c r="O9" t="str">
        <v>U</v>
      </c>
      <c r="P9" t="str">
        <v>U</v>
      </c>
      <c r="Q9" t="str">
        <v>U</v>
      </c>
      <c r="R9" t="str">
        <v>U</v>
      </c>
      <c r="S9" t="str">
        <v>U</v>
      </c>
      <c r="T9" t="str">
        <v>U</v>
      </c>
      <c r="U9" t="str">
        <v>U</v>
      </c>
      <c r="V9" t="str">
        <v>U</v>
      </c>
      <c r="W9" t="str">
        <v>U</v>
      </c>
      <c r="X9" t="str">
        <v>U</v>
      </c>
    </row>
    <row r="10" spans="1:24" x14ac:dyDescent="0.3">
      <c r="A10" t="str">
        <v>2010992011 </v>
      </c>
      <c r="B10" t="str">
        <v>U</v>
      </c>
      <c r="C10" t="str">
        <v>U</v>
      </c>
      <c r="D10" t="str">
        <v>U</v>
      </c>
      <c r="E10" t="str">
        <v>U</v>
      </c>
      <c r="F10" t="str">
        <v>U</v>
      </c>
      <c r="G10" t="str">
        <v>U</v>
      </c>
      <c r="H10" t="str">
        <v>U</v>
      </c>
      <c r="I10" t="str">
        <v>U</v>
      </c>
      <c r="J10" t="str">
        <v>U</v>
      </c>
      <c r="K10" t="str">
        <v>U</v>
      </c>
      <c r="L10" t="str">
        <v>U</v>
      </c>
      <c r="M10" t="str">
        <v>U</v>
      </c>
      <c r="N10" t="str">
        <v>U</v>
      </c>
      <c r="O10" t="str">
        <v>U</v>
      </c>
      <c r="P10" t="str">
        <v>U</v>
      </c>
      <c r="Q10" t="str">
        <v>U</v>
      </c>
      <c r="R10" t="str">
        <v>U</v>
      </c>
      <c r="S10" t="str">
        <v>U</v>
      </c>
      <c r="T10" t="str">
        <v>U</v>
      </c>
      <c r="U10" t="str">
        <v>U</v>
      </c>
      <c r="V10">
        <v>6</v>
      </c>
      <c r="W10" t="str">
        <v>U</v>
      </c>
      <c r="X10" t="str">
        <v>U</v>
      </c>
    </row>
    <row r="11" spans="1:24" x14ac:dyDescent="0.3">
      <c r="A11" t="str">
        <v>2010992012 </v>
      </c>
      <c r="B11">
        <v>1</v>
      </c>
      <c r="C11">
        <v>1</v>
      </c>
      <c r="D11">
        <v>1</v>
      </c>
      <c r="E11">
        <v>1</v>
      </c>
      <c r="F11">
        <v>1</v>
      </c>
      <c r="G11" t="str">
        <v>U</v>
      </c>
      <c r="H11">
        <v>2</v>
      </c>
      <c r="I11">
        <v>2</v>
      </c>
      <c r="J11">
        <v>2</v>
      </c>
      <c r="K11">
        <v>2</v>
      </c>
      <c r="L11">
        <v>2</v>
      </c>
      <c r="M11" t="str">
        <v>U</v>
      </c>
      <c r="N11" t="str">
        <v>U</v>
      </c>
      <c r="O11">
        <v>1</v>
      </c>
      <c r="P11" t="str">
        <v>U</v>
      </c>
      <c r="Q11" t="str">
        <v>U</v>
      </c>
      <c r="R11">
        <v>1</v>
      </c>
      <c r="S11" t="str">
        <v>U</v>
      </c>
      <c r="T11" t="str">
        <v>U</v>
      </c>
      <c r="U11" t="str">
        <v>U</v>
      </c>
      <c r="V11">
        <v>8</v>
      </c>
      <c r="W11" t="str">
        <v>U</v>
      </c>
      <c r="X11" t="str">
        <v>U</v>
      </c>
    </row>
    <row r="12" spans="1:24" x14ac:dyDescent="0.3">
      <c r="A12" t="str">
        <v>2010992014 </v>
      </c>
      <c r="B12" t="str">
        <v>U</v>
      </c>
      <c r="C12" t="str">
        <v>U</v>
      </c>
      <c r="D12" t="str">
        <v>U</v>
      </c>
      <c r="E12" t="str">
        <v>U</v>
      </c>
      <c r="F12" t="str">
        <v>U</v>
      </c>
      <c r="G12" t="str">
        <v>U</v>
      </c>
      <c r="H12" t="str">
        <v>U</v>
      </c>
      <c r="I12" t="str">
        <v>U</v>
      </c>
      <c r="J12" t="str">
        <v>U</v>
      </c>
      <c r="K12" t="str">
        <v>U</v>
      </c>
      <c r="L12" t="str">
        <v>U</v>
      </c>
      <c r="M12" t="str">
        <v>U</v>
      </c>
      <c r="N12" t="str">
        <v>U</v>
      </c>
      <c r="O12" t="str">
        <v>U</v>
      </c>
      <c r="P12" t="str">
        <v>U</v>
      </c>
      <c r="Q12" t="str">
        <v>U</v>
      </c>
      <c r="R12" t="str">
        <v>U</v>
      </c>
      <c r="S12" t="str">
        <v>U</v>
      </c>
      <c r="T12" t="str">
        <v>U</v>
      </c>
      <c r="U12" t="str">
        <v>U</v>
      </c>
      <c r="V12">
        <v>7</v>
      </c>
      <c r="W12" t="str">
        <v>U</v>
      </c>
      <c r="X12" t="str">
        <v>U</v>
      </c>
    </row>
    <row r="13" spans="1:24" x14ac:dyDescent="0.3">
      <c r="A13" t="str">
        <v>2010992015 </v>
      </c>
      <c r="B13" t="str">
        <v>U</v>
      </c>
      <c r="C13">
        <v>1</v>
      </c>
      <c r="D13">
        <v>1</v>
      </c>
      <c r="E13" t="str">
        <v>U</v>
      </c>
      <c r="F13" t="str">
        <v>U</v>
      </c>
      <c r="G13" t="str">
        <v>U</v>
      </c>
      <c r="H13" t="str">
        <v>U</v>
      </c>
      <c r="I13" t="str">
        <v>U</v>
      </c>
      <c r="J13" t="str">
        <v>U</v>
      </c>
      <c r="K13" t="str">
        <v>U</v>
      </c>
      <c r="L13" t="str">
        <v>U</v>
      </c>
      <c r="M13" t="str">
        <v>U</v>
      </c>
      <c r="N13" t="str">
        <v>U</v>
      </c>
      <c r="O13" t="str">
        <v>U</v>
      </c>
      <c r="P13" t="str">
        <v>U</v>
      </c>
      <c r="Q13" t="str">
        <v>U</v>
      </c>
      <c r="R13">
        <v>1</v>
      </c>
      <c r="S13" t="str">
        <v>U</v>
      </c>
      <c r="T13" t="str">
        <v>U</v>
      </c>
      <c r="U13" t="str">
        <v>U</v>
      </c>
      <c r="V13">
        <v>7</v>
      </c>
      <c r="W13" t="str">
        <v>U</v>
      </c>
      <c r="X13" t="str">
        <v>U</v>
      </c>
    </row>
    <row r="14" spans="1:24" x14ac:dyDescent="0.3">
      <c r="A14" t="str">
        <v>2010992016 </v>
      </c>
      <c r="B14">
        <v>1</v>
      </c>
      <c r="C14">
        <v>1</v>
      </c>
      <c r="D14">
        <v>1</v>
      </c>
      <c r="E14">
        <v>1</v>
      </c>
      <c r="F14">
        <v>1</v>
      </c>
      <c r="G14">
        <v>2</v>
      </c>
      <c r="H14">
        <v>2</v>
      </c>
      <c r="I14">
        <v>2</v>
      </c>
      <c r="J14">
        <v>2</v>
      </c>
      <c r="K14">
        <v>2</v>
      </c>
      <c r="L14" t="str">
        <v>U</v>
      </c>
      <c r="M14">
        <v>4</v>
      </c>
      <c r="N14">
        <v>5</v>
      </c>
      <c r="O14">
        <v>2</v>
      </c>
      <c r="P14" t="str">
        <v>U</v>
      </c>
      <c r="Q14" t="str">
        <v>U</v>
      </c>
      <c r="R14">
        <v>1</v>
      </c>
      <c r="S14" t="str">
        <v>U</v>
      </c>
      <c r="T14" t="str">
        <v>U</v>
      </c>
      <c r="U14" t="str">
        <v>U</v>
      </c>
      <c r="V14">
        <v>9</v>
      </c>
      <c r="W14" t="str">
        <v>U</v>
      </c>
      <c r="X14" t="str">
        <v>U</v>
      </c>
    </row>
    <row r="15" spans="1:24" x14ac:dyDescent="0.3">
      <c r="A15" t="str">
        <v>2010992017 </v>
      </c>
      <c r="B15" t="str">
        <v>U</v>
      </c>
      <c r="C15" t="str">
        <v>U</v>
      </c>
      <c r="D15" t="str">
        <v>U</v>
      </c>
      <c r="E15" t="str">
        <v>U</v>
      </c>
      <c r="F15" t="str">
        <v>U</v>
      </c>
      <c r="G15" t="str">
        <v>U</v>
      </c>
      <c r="H15" t="str">
        <v>U</v>
      </c>
      <c r="I15" t="str">
        <v>U</v>
      </c>
      <c r="J15" t="str">
        <v>U</v>
      </c>
      <c r="K15" t="str">
        <v>U</v>
      </c>
      <c r="L15" t="str">
        <v>U</v>
      </c>
      <c r="M15" t="str">
        <v>U</v>
      </c>
      <c r="N15" t="str">
        <v>U</v>
      </c>
      <c r="O15" t="str">
        <v>U</v>
      </c>
      <c r="P15" t="str">
        <v>U</v>
      </c>
      <c r="Q15" t="str">
        <v>U</v>
      </c>
      <c r="R15" t="str">
        <v>U</v>
      </c>
      <c r="S15" t="str">
        <v>U</v>
      </c>
      <c r="T15" t="str">
        <v>U</v>
      </c>
      <c r="U15" t="str">
        <v>U</v>
      </c>
      <c r="V15">
        <v>8</v>
      </c>
      <c r="W15" t="str">
        <v>U</v>
      </c>
      <c r="X15" t="str">
        <v>U</v>
      </c>
    </row>
    <row r="16" spans="1:24" x14ac:dyDescent="0.3">
      <c r="A16" t="str">
        <v>2010992018 </v>
      </c>
      <c r="B16">
        <v>1</v>
      </c>
      <c r="C16">
        <v>1</v>
      </c>
      <c r="D16">
        <v>1</v>
      </c>
      <c r="E16">
        <v>1</v>
      </c>
      <c r="F16">
        <v>1</v>
      </c>
      <c r="G16">
        <v>2</v>
      </c>
      <c r="H16" t="str">
        <v>U</v>
      </c>
      <c r="I16">
        <v>2</v>
      </c>
      <c r="J16">
        <v>2</v>
      </c>
      <c r="K16">
        <v>2</v>
      </c>
      <c r="L16">
        <v>2</v>
      </c>
      <c r="M16">
        <v>4</v>
      </c>
      <c r="N16">
        <v>5</v>
      </c>
      <c r="O16">
        <v>2</v>
      </c>
      <c r="P16" t="str">
        <v>U</v>
      </c>
      <c r="Q16">
        <v>1</v>
      </c>
      <c r="R16" t="str">
        <v>U</v>
      </c>
      <c r="S16" t="str">
        <v>U</v>
      </c>
      <c r="T16" t="str">
        <v>U</v>
      </c>
      <c r="U16" t="str">
        <v>U</v>
      </c>
      <c r="V16">
        <v>8</v>
      </c>
      <c r="W16" t="str">
        <v>U</v>
      </c>
      <c r="X16" t="str">
        <v>U</v>
      </c>
    </row>
    <row r="17" spans="1:24" x14ac:dyDescent="0.3">
      <c r="A17" t="str">
        <v>2010992163 </v>
      </c>
      <c r="B17">
        <v>1</v>
      </c>
      <c r="C17">
        <v>1</v>
      </c>
      <c r="D17">
        <v>1</v>
      </c>
      <c r="E17">
        <v>1</v>
      </c>
      <c r="F17">
        <v>1</v>
      </c>
      <c r="G17" t="str">
        <v>U</v>
      </c>
      <c r="H17">
        <v>2</v>
      </c>
      <c r="I17">
        <v>2</v>
      </c>
      <c r="J17">
        <v>2</v>
      </c>
      <c r="K17">
        <v>2</v>
      </c>
      <c r="L17">
        <v>2</v>
      </c>
      <c r="M17" t="str">
        <v>U</v>
      </c>
      <c r="N17">
        <v>5</v>
      </c>
      <c r="O17">
        <v>5</v>
      </c>
      <c r="P17">
        <v>5</v>
      </c>
      <c r="Q17" t="str">
        <v>U</v>
      </c>
      <c r="R17">
        <v>5</v>
      </c>
      <c r="S17" t="str">
        <v>U</v>
      </c>
      <c r="T17" t="str">
        <v>U</v>
      </c>
      <c r="U17" t="str">
        <v>U</v>
      </c>
      <c r="V17">
        <v>9</v>
      </c>
      <c r="W17" t="str">
        <v>U</v>
      </c>
      <c r="X17" t="str">
        <v>U</v>
      </c>
    </row>
    <row r="18" spans="1:24" x14ac:dyDescent="0.3">
      <c r="A18" t="str">
        <v>2010992202 </v>
      </c>
      <c r="B18">
        <v>1</v>
      </c>
      <c r="C18">
        <v>1</v>
      </c>
      <c r="D18">
        <v>1</v>
      </c>
      <c r="E18">
        <v>1</v>
      </c>
      <c r="F18">
        <v>1</v>
      </c>
      <c r="G18" t="str">
        <v>U</v>
      </c>
      <c r="H18">
        <v>1</v>
      </c>
      <c r="I18">
        <v>2</v>
      </c>
      <c r="J18" t="str">
        <v>U</v>
      </c>
      <c r="K18">
        <v>2</v>
      </c>
      <c r="L18">
        <v>2</v>
      </c>
      <c r="M18" t="str">
        <v>U</v>
      </c>
      <c r="N18" t="str">
        <v>U</v>
      </c>
      <c r="O18" t="str">
        <v>U</v>
      </c>
      <c r="P18" t="str">
        <v>U</v>
      </c>
      <c r="Q18" t="str">
        <v>U</v>
      </c>
      <c r="R18">
        <v>1</v>
      </c>
      <c r="S18" t="str">
        <v>U</v>
      </c>
      <c r="T18" t="str">
        <v>U</v>
      </c>
      <c r="U18" t="str">
        <v>U</v>
      </c>
      <c r="V18">
        <v>6</v>
      </c>
      <c r="W18" t="str">
        <v>U</v>
      </c>
      <c r="X18" t="str">
        <v>U</v>
      </c>
    </row>
    <row r="19" spans="1:24" x14ac:dyDescent="0.3">
      <c r="A19" t="str">
        <v>2010992203 </v>
      </c>
      <c r="B19">
        <v>1</v>
      </c>
      <c r="C19">
        <v>1</v>
      </c>
      <c r="D19">
        <v>1</v>
      </c>
      <c r="E19">
        <v>1</v>
      </c>
      <c r="F19">
        <v>1</v>
      </c>
      <c r="G19" t="str">
        <v>U</v>
      </c>
      <c r="H19">
        <v>1</v>
      </c>
      <c r="I19">
        <v>2</v>
      </c>
      <c r="J19">
        <v>2</v>
      </c>
      <c r="K19">
        <v>2</v>
      </c>
      <c r="L19" t="str">
        <v>U</v>
      </c>
      <c r="M19" t="str">
        <v>U</v>
      </c>
      <c r="N19" t="str">
        <v>U</v>
      </c>
      <c r="O19" t="str">
        <v>U</v>
      </c>
      <c r="P19" t="str">
        <v>U</v>
      </c>
      <c r="Q19" t="str">
        <v>U</v>
      </c>
      <c r="R19">
        <v>1</v>
      </c>
      <c r="S19" t="str">
        <v>U</v>
      </c>
      <c r="T19" t="str">
        <v>U</v>
      </c>
      <c r="U19" t="str">
        <v>U</v>
      </c>
      <c r="V19">
        <v>9</v>
      </c>
      <c r="W19" t="str">
        <v>U</v>
      </c>
      <c r="X19" t="str">
        <v>U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C7B7-E0D5-48E1-AAA4-6D76B1C4D4B5}">
  <sheetPr codeName="Sheet13">
    <tabColor rgb="FFFFFF00"/>
  </sheetPr>
  <dimension ref="A1:X19"/>
  <sheetViews>
    <sheetView zoomScale="85" zoomScaleNormal="85" workbookViewId="0"/>
  </sheetViews>
  <sheetFormatPr defaultRowHeight="14.4" x14ac:dyDescent="0.3"/>
  <cols>
    <col min="1" max="1" width="21.77734375" bestFit="1" customWidth="1"/>
    <col min="2" max="3" width="14.88671875" bestFit="1" customWidth="1"/>
    <col min="4" max="4" width="14.77734375" bestFit="1" customWidth="1"/>
    <col min="5" max="6" width="14.88671875" bestFit="1" customWidth="1"/>
    <col min="7" max="14" width="15.21875" bestFit="1" customWidth="1"/>
    <col min="15" max="21" width="16.33203125" bestFit="1" customWidth="1"/>
    <col min="22" max="22" width="23" bestFit="1" customWidth="1"/>
    <col min="23" max="24" width="15.88671875" bestFit="1" customWidth="1"/>
  </cols>
  <sheetData>
    <row r="1" spans="1:24" x14ac:dyDescent="0.3">
      <c r="A1" t="str" cm="1">
        <f t="array" ref="A1:A19">INDEX('ST2 Result'!B:B, 1):INDEX('ST2 Result'!B:B, COUNTA('ST2 Result'!B:B))</f>
        <v>Admission No. (Roll No.)</v>
      </c>
      <c r="B1" t="str" cm="1">
        <f t="array" ref="B1:X1">TRANSPOSE('ST2 CO Question Map'!A2:A24)</f>
        <v>20EC118-ST2-1a</v>
      </c>
      <c r="C1" t="str">
        <v>20EC118-ST2-1b</v>
      </c>
      <c r="D1" t="str">
        <v>20EC118-ST2-1c</v>
      </c>
      <c r="E1" t="str">
        <v>20EC118-ST2-1d</v>
      </c>
      <c r="F1" t="str">
        <v>20EC118-ST2-1e</v>
      </c>
      <c r="G1" t="str">
        <v>20EC118-ST2-Q2</v>
      </c>
      <c r="H1" t="str">
        <v>20EC118-ST2-Q3</v>
      </c>
      <c r="I1" t="str">
        <v>20EC118-ST2-Q4</v>
      </c>
      <c r="J1" t="str">
        <v>20EC118-ST2-Q5</v>
      </c>
      <c r="K1" t="str">
        <v>20EC118-ST2-Q6</v>
      </c>
      <c r="L1" t="str">
        <v>20EC118-ST2-Q7</v>
      </c>
      <c r="M1" t="str">
        <v>20EC118-ST2-Q8</v>
      </c>
      <c r="N1" t="str">
        <v>20EC118-ST2-Q9</v>
      </c>
      <c r="O1" t="str">
        <v>20EC118-ST2-Q10</v>
      </c>
      <c r="P1" t="str">
        <v>20EC118-ST2-Q11</v>
      </c>
      <c r="Q1" t="str">
        <v>20EC118-ST2-Q12</v>
      </c>
      <c r="R1" t="str">
        <v>20EC118-ST2-Q13</v>
      </c>
      <c r="S1" t="str">
        <v>20EC118-ST2-Q14</v>
      </c>
      <c r="T1" t="str">
        <v>20EC118-ST2-Q15</v>
      </c>
      <c r="U1" t="str">
        <v>20EC118-ST2-Q16</v>
      </c>
      <c r="V1" t="str">
        <v>20EC118-ST2-Assignment</v>
      </c>
      <c r="W1" t="str">
        <v>20EC118-ST2-FA1</v>
      </c>
      <c r="X1" t="str">
        <v>20EC118-ST2-FA2</v>
      </c>
    </row>
    <row r="2" spans="1:24" x14ac:dyDescent="0.3">
      <c r="A2" t="str">
        <v>2010990089 </v>
      </c>
      <c r="B2" t="str" cm="1">
        <f t="array" ref="B2:B19">IF(_xlfn.XLOOKUP($A2:INDEX($A:$A,COUNTA($A:$A)),'ST2 Student Marks'!$A$1:INDEX('ST2 Student Marks'!$A:$A,COUNTA('ST2 Student Marks'!$A:$A)),'ST2 Student Marks'!B$1:INDEX('ST2 Student Marks'!B:B,COUNTA('ST2 Student Marks'!B:B)))="U","Unattempted",'ST2 Student Marks'!B1)</f>
        <v>20EC118-ST2-1a</v>
      </c>
      <c r="C2" t="str" cm="1">
        <f t="array" ref="C2:C19">IF(_xlfn.XLOOKUP($A2:INDEX($A:$A,COUNTA($A:$A)),'ST2 Student Marks'!$A$1:INDEX('ST2 Student Marks'!$A:$A,COUNTA('ST2 Student Marks'!$A:$A)),'ST2 Student Marks'!C$1:INDEX('ST2 Student Marks'!C:C,COUNTA('ST2 Student Marks'!C:C)))="U","Unattempted",'ST2 Student Marks'!C1)</f>
        <v>20EC118-ST2-1b</v>
      </c>
      <c r="D2" t="str" cm="1">
        <f t="array" ref="D2:D19">IF(_xlfn.XLOOKUP($A2:INDEX($A:$A,COUNTA($A:$A)),'ST2 Student Marks'!$A$1:INDEX('ST2 Student Marks'!$A:$A,COUNTA('ST2 Student Marks'!$A:$A)),'ST2 Student Marks'!D$1:INDEX('ST2 Student Marks'!D:D,COUNTA('ST2 Student Marks'!D:D)))="U","Unattempted",'ST2 Student Marks'!D1)</f>
        <v>20EC118-ST2-1c</v>
      </c>
      <c r="E2" t="str" cm="1">
        <f t="array" ref="E2:E19">IF(_xlfn.XLOOKUP($A2:INDEX($A:$A,COUNTA($A:$A)),'ST2 Student Marks'!$A$1:INDEX('ST2 Student Marks'!$A:$A,COUNTA('ST2 Student Marks'!$A:$A)),'ST2 Student Marks'!E$1:INDEX('ST2 Student Marks'!E:E,COUNTA('ST2 Student Marks'!E:E)))="U","Unattempted",'ST2 Student Marks'!E1)</f>
        <v>20EC118-ST2-1d</v>
      </c>
      <c r="F2" t="str" cm="1">
        <f t="array" ref="F2:F19">IF(_xlfn.XLOOKUP($A2:INDEX($A:$A,COUNTA($A:$A)),'ST2 Student Marks'!$A$1:INDEX('ST2 Student Marks'!$A:$A,COUNTA('ST2 Student Marks'!$A:$A)),'ST2 Student Marks'!F$1:INDEX('ST2 Student Marks'!F:F,COUNTA('ST2 Student Marks'!F:F)))="U","Unattempted",'ST2 Student Marks'!F1)</f>
        <v>20EC118-ST2-1e</v>
      </c>
      <c r="G2" t="str" cm="1">
        <f t="array" ref="G2:G19">IF(_xlfn.XLOOKUP($A2:INDEX($A:$A,COUNTA($A:$A)),'ST2 Student Marks'!$A$1:INDEX('ST2 Student Marks'!$A:$A,COUNTA('ST2 Student Marks'!$A:$A)),'ST2 Student Marks'!G$1:INDEX('ST2 Student Marks'!G:G,COUNTA('ST2 Student Marks'!G:G)))="U","Unattempted",'ST2 Student Marks'!G1)</f>
        <v>Unattempted</v>
      </c>
      <c r="H2" t="str" cm="1">
        <f t="array" ref="H2:H19">IF(_xlfn.XLOOKUP($A2:INDEX($A:$A,COUNTA($A:$A)),'ST2 Student Marks'!$A$1:INDEX('ST2 Student Marks'!$A:$A,COUNTA('ST2 Student Marks'!$A:$A)),'ST2 Student Marks'!H$1:INDEX('ST2 Student Marks'!H:H,COUNTA('ST2 Student Marks'!H:H)))="U","Unattempted",'ST2 Student Marks'!H1)</f>
        <v>20EC118-ST2-Q3</v>
      </c>
      <c r="I2" t="str" cm="1">
        <f t="array" ref="I2:I19">IF(_xlfn.XLOOKUP($A2:INDEX($A:$A,COUNTA($A:$A)),'ST2 Student Marks'!$A$1:INDEX('ST2 Student Marks'!$A:$A,COUNTA('ST2 Student Marks'!$A:$A)),'ST2 Student Marks'!I$1:INDEX('ST2 Student Marks'!I:I,COUNTA('ST2 Student Marks'!I:I)))="U","Unattempted",'ST2 Student Marks'!I1)</f>
        <v>20EC118-ST2-Q4</v>
      </c>
      <c r="J2" t="str" cm="1">
        <f t="array" ref="J2:J19">IF(_xlfn.XLOOKUP($A2:INDEX($A:$A,COUNTA($A:$A)),'ST2 Student Marks'!$A$1:INDEX('ST2 Student Marks'!$A:$A,COUNTA('ST2 Student Marks'!$A:$A)),'ST2 Student Marks'!J$1:INDEX('ST2 Student Marks'!J:J,COUNTA('ST2 Student Marks'!J:J)))="U","Unattempted",'ST2 Student Marks'!J1)</f>
        <v>20EC118-ST2-Q5</v>
      </c>
      <c r="K2" t="str" cm="1">
        <f t="array" ref="K2:K19">IF(_xlfn.XLOOKUP($A2:INDEX($A:$A,COUNTA($A:$A)),'ST2 Student Marks'!$A$1:INDEX('ST2 Student Marks'!$A:$A,COUNTA('ST2 Student Marks'!$A:$A)),'ST2 Student Marks'!K$1:INDEX('ST2 Student Marks'!K:K,COUNTA('ST2 Student Marks'!K:K)))="U","Unattempted",'ST2 Student Marks'!K1)</f>
        <v>Unattempted</v>
      </c>
      <c r="L2" t="str" cm="1">
        <f t="array" ref="L2:L19">IF(_xlfn.XLOOKUP($A2:INDEX($A:$A,COUNTA($A:$A)),'ST2 Student Marks'!$A$1:INDEX('ST2 Student Marks'!$A:$A,COUNTA('ST2 Student Marks'!$A:$A)),'ST2 Student Marks'!L$1:INDEX('ST2 Student Marks'!L:L,COUNTA('ST2 Student Marks'!L:L)))="U","Unattempted",'ST2 Student Marks'!L1)</f>
        <v>20EC118-ST2-Q7</v>
      </c>
      <c r="M2" t="str" cm="1">
        <f t="array" ref="M2:M19">IF(_xlfn.XLOOKUP($A2:INDEX($A:$A,COUNTA($A:$A)),'ST2 Student Marks'!$A$1:INDEX('ST2 Student Marks'!$A:$A,COUNTA('ST2 Student Marks'!$A:$A)),'ST2 Student Marks'!M$1:INDEX('ST2 Student Marks'!M:M,COUNTA('ST2 Student Marks'!M:M)))="U","Unattempted",'ST2 Student Marks'!M1)</f>
        <v>Unattempted</v>
      </c>
      <c r="N2" t="str" cm="1">
        <f t="array" ref="N2:N19">IF(_xlfn.XLOOKUP($A2:INDEX($A:$A,COUNTA($A:$A)),'ST2 Student Marks'!$A$1:INDEX('ST2 Student Marks'!$A:$A,COUNTA('ST2 Student Marks'!$A:$A)),'ST2 Student Marks'!N$1:INDEX('ST2 Student Marks'!N:N,COUNTA('ST2 Student Marks'!N:N)))="U","Unattempted",'ST2 Student Marks'!N1)</f>
        <v>Unattempted</v>
      </c>
      <c r="O2" t="str" cm="1">
        <f t="array" ref="O2:O19">IF(_xlfn.XLOOKUP($A2:INDEX($A:$A,COUNTA($A:$A)),'ST2 Student Marks'!$A$1:INDEX('ST2 Student Marks'!$A:$A,COUNTA('ST2 Student Marks'!$A:$A)),'ST2 Student Marks'!O$1:INDEX('ST2 Student Marks'!O:O,COUNTA('ST2 Student Marks'!O:O)))="U","Unattempted",'ST2 Student Marks'!O1)</f>
        <v>Unattempted</v>
      </c>
      <c r="P2" t="str" cm="1">
        <f t="array" ref="P2:P19">IF(_xlfn.XLOOKUP($A2:INDEX($A:$A,COUNTA($A:$A)),'ST2 Student Marks'!$A$1:INDEX('ST2 Student Marks'!$A:$A,COUNTA('ST2 Student Marks'!$A:$A)),'ST2 Student Marks'!P$1:INDEX('ST2 Student Marks'!P:P,COUNTA('ST2 Student Marks'!P:P)))="U","Unattempted",'ST2 Student Marks'!P1)</f>
        <v>Unattempted</v>
      </c>
      <c r="Q2" t="str" cm="1">
        <f t="array" ref="Q2:Q19">IF(_xlfn.XLOOKUP($A2:INDEX($A:$A,COUNTA($A:$A)),'ST2 Student Marks'!$A$1:INDEX('ST2 Student Marks'!$A:$A,COUNTA('ST2 Student Marks'!$A:$A)),'ST2 Student Marks'!Q$1:INDEX('ST2 Student Marks'!Q:Q,COUNTA('ST2 Student Marks'!Q:Q)))="U","Unattempted",'ST2 Student Marks'!Q1)</f>
        <v>20EC118-ST2-Q12</v>
      </c>
      <c r="R2" t="str" cm="1">
        <f t="array" ref="R2:R19">IF(_xlfn.XLOOKUP($A2:INDEX($A:$A,COUNTA($A:$A)),'ST2 Student Marks'!$A$1:INDEX('ST2 Student Marks'!$A:$A,COUNTA('ST2 Student Marks'!$A:$A)),'ST2 Student Marks'!R$1:INDEX('ST2 Student Marks'!R:R,COUNTA('ST2 Student Marks'!R:R)))="U","Unattempted",'ST2 Student Marks'!R1)</f>
        <v>Unattempted</v>
      </c>
      <c r="S2" t="str" cm="1">
        <f t="array" ref="S2:S19">IF(_xlfn.XLOOKUP($A2:INDEX($A:$A,COUNTA($A:$A)),'ST2 Student Marks'!$A$1:INDEX('ST2 Student Marks'!$A:$A,COUNTA('ST2 Student Marks'!$A:$A)),'ST2 Student Marks'!S$1:INDEX('ST2 Student Marks'!S:S,COUNTA('ST2 Student Marks'!S:S)))="U","Unattempted",'ST2 Student Marks'!S1)</f>
        <v>Unattempted</v>
      </c>
      <c r="T2" t="str" cm="1">
        <f t="array" ref="T2:T19">IF(_xlfn.XLOOKUP($A2:INDEX($A:$A,COUNTA($A:$A)),'ST2 Student Marks'!$A$1:INDEX('ST2 Student Marks'!$A:$A,COUNTA('ST2 Student Marks'!$A:$A)),'ST2 Student Marks'!T$1:INDEX('ST2 Student Marks'!T:T,COUNTA('ST2 Student Marks'!T:T)))="U","Unattempted",'ST2 Student Marks'!T1)</f>
        <v>Unattempted</v>
      </c>
      <c r="U2" t="str" cm="1">
        <f t="array" ref="U2:U19">IF(_xlfn.XLOOKUP($A2:INDEX($A:$A,COUNTA($A:$A)),'ST2 Student Marks'!$A$1:INDEX('ST2 Student Marks'!$A:$A,COUNTA('ST2 Student Marks'!$A:$A)),'ST2 Student Marks'!U$1:INDEX('ST2 Student Marks'!U:U,COUNTA('ST2 Student Marks'!U:U)))="U","Unattempted",'ST2 Student Marks'!U1)</f>
        <v>Unattempted</v>
      </c>
      <c r="V2" t="str" cm="1">
        <f t="array" ref="V2:V19">IF(_xlfn.XLOOKUP($A2:INDEX($A:$A,COUNTA($A:$A)),'ST2 Student Marks'!$A$1:INDEX('ST2 Student Marks'!$A:$A,COUNTA('ST2 Student Marks'!$A:$A)),'ST2 Student Marks'!V$1:INDEX('ST2 Student Marks'!V:V,COUNTA('ST2 Student Marks'!V:V)))="U","Unattempted",'ST2 Student Marks'!V1)</f>
        <v>20EC118-ST2-Assignment</v>
      </c>
      <c r="W2" t="str" cm="1">
        <f t="array" ref="W2:W19">IF(_xlfn.XLOOKUP($A2:INDEX($A:$A,COUNTA($A:$A)),'ST2 Student Marks'!$A$1:INDEX('ST2 Student Marks'!$A:$A,COUNTA('ST2 Student Marks'!$A:$A)),'ST2 Student Marks'!W$1:INDEX('ST2 Student Marks'!W:W,COUNTA('ST2 Student Marks'!W:W)))="U","Unattempted",'ST2 Student Marks'!W1)</f>
        <v>Unattempted</v>
      </c>
      <c r="X2" t="str" cm="1">
        <f t="array" ref="X2:X19">IF(_xlfn.XLOOKUP($A2:INDEX($A:$A,COUNTA($A:$A)),'ST2 Student Marks'!$A$1:INDEX('ST2 Student Marks'!$A:$A,COUNTA('ST2 Student Marks'!$A:$A)),'ST2 Student Marks'!X$1:INDEX('ST2 Student Marks'!X:X,COUNTA('ST2 Student Marks'!X:X)))="U","Unattempted",'ST2 Student Marks'!X1)</f>
        <v>Unattempted</v>
      </c>
    </row>
    <row r="3" spans="1:24" ht="18" customHeight="1" x14ac:dyDescent="0.3">
      <c r="A3" t="str">
        <v>2010992002 </v>
      </c>
      <c r="B3" t="str">
        <v>20EC118-ST2-1a</v>
      </c>
      <c r="C3" t="str">
        <v>20EC118-ST2-1b</v>
      </c>
      <c r="D3" t="str">
        <v>20EC118-ST2-1c</v>
      </c>
      <c r="E3" t="str">
        <v>20EC118-ST2-1d</v>
      </c>
      <c r="F3" t="str">
        <v>20EC118-ST2-1e</v>
      </c>
      <c r="G3" t="str">
        <v>20EC118-ST2-Q2</v>
      </c>
      <c r="H3" t="str">
        <v>20EC118-ST2-Q3</v>
      </c>
      <c r="I3" t="str">
        <v>20EC118-ST2-Q4</v>
      </c>
      <c r="J3" t="str">
        <v>Unattempted</v>
      </c>
      <c r="K3" t="str">
        <v>20EC118-ST2-Q6</v>
      </c>
      <c r="L3" t="str">
        <v>20EC118-ST2-Q7</v>
      </c>
      <c r="M3" t="str">
        <v>20EC118-ST2-Q8</v>
      </c>
      <c r="N3" t="str">
        <v>20EC118-ST2-Q9</v>
      </c>
      <c r="O3" t="str">
        <v>20EC118-ST2-Q10</v>
      </c>
      <c r="P3" t="str">
        <v>Unattempted</v>
      </c>
      <c r="Q3" t="str">
        <v>Unattempted</v>
      </c>
      <c r="R3" t="str">
        <v>20EC118-ST2-Q13</v>
      </c>
      <c r="S3" s="1" t="str">
        <v>Unattempted</v>
      </c>
      <c r="T3" t="str">
        <v>Unattempted</v>
      </c>
      <c r="U3" t="str">
        <v>Unattempted</v>
      </c>
      <c r="V3" t="str">
        <v>20EC118-ST2-Assignment</v>
      </c>
      <c r="W3" t="str">
        <v>Unattempted</v>
      </c>
      <c r="X3" t="str">
        <v>Unattempted</v>
      </c>
    </row>
    <row r="4" spans="1:24" x14ac:dyDescent="0.3">
      <c r="A4" t="str">
        <v>2010992004 </v>
      </c>
      <c r="B4" t="str">
        <v>Unattempted</v>
      </c>
      <c r="C4" t="str">
        <v>Unattempted</v>
      </c>
      <c r="D4" t="str">
        <v>Unattempted</v>
      </c>
      <c r="E4" t="str">
        <v>Unattempted</v>
      </c>
      <c r="F4" t="str">
        <v>Unattempted</v>
      </c>
      <c r="G4" t="str">
        <v>Unattempted</v>
      </c>
      <c r="H4" t="str">
        <v>Unattempted</v>
      </c>
      <c r="I4" t="str">
        <v>Unattempted</v>
      </c>
      <c r="J4" t="str">
        <v>Unattempted</v>
      </c>
      <c r="K4" t="str">
        <v>Unattempted</v>
      </c>
      <c r="L4" t="str">
        <v>Unattempted</v>
      </c>
      <c r="M4" t="str">
        <v>Unattempted</v>
      </c>
      <c r="N4" t="str">
        <v>Unattempted</v>
      </c>
      <c r="O4" t="str">
        <v>Unattempted</v>
      </c>
      <c r="P4" t="str">
        <v>Unattempted</v>
      </c>
      <c r="Q4" t="str">
        <v>Unattempted</v>
      </c>
      <c r="R4" t="str">
        <v>Unattempted</v>
      </c>
      <c r="S4" t="str">
        <v>Unattempted</v>
      </c>
      <c r="T4" t="str">
        <v>Unattempted</v>
      </c>
      <c r="U4" t="str">
        <v>Unattempted</v>
      </c>
      <c r="V4" t="str">
        <v>20EC118-ST2-Assignment</v>
      </c>
      <c r="W4" t="str">
        <v>Unattempted</v>
      </c>
      <c r="X4" t="str">
        <v>Unattempted</v>
      </c>
    </row>
    <row r="5" spans="1:24" x14ac:dyDescent="0.3">
      <c r="A5" t="str">
        <v>2010992005 </v>
      </c>
      <c r="B5" t="str">
        <v>Unattempted</v>
      </c>
      <c r="C5" t="str">
        <v>Unattempted</v>
      </c>
      <c r="D5" t="str">
        <v>Unattempted</v>
      </c>
      <c r="E5" t="str">
        <v>Unattempted</v>
      </c>
      <c r="F5" t="str">
        <v>Unattempted</v>
      </c>
      <c r="G5" t="str">
        <v>Unattempted</v>
      </c>
      <c r="H5" t="str">
        <v>Unattempted</v>
      </c>
      <c r="I5" t="str">
        <v>Unattempted</v>
      </c>
      <c r="J5" t="str">
        <v>Unattempted</v>
      </c>
      <c r="K5" t="str">
        <v>Unattempted</v>
      </c>
      <c r="L5" t="str">
        <v>Unattempted</v>
      </c>
      <c r="M5" t="str">
        <v>Unattempted</v>
      </c>
      <c r="N5" t="str">
        <v>Unattempted</v>
      </c>
      <c r="O5" t="str">
        <v>Unattempted</v>
      </c>
      <c r="P5" t="str">
        <v>Unattempted</v>
      </c>
      <c r="Q5" t="str">
        <v>Unattempted</v>
      </c>
      <c r="R5" t="str">
        <v>Unattempted</v>
      </c>
      <c r="S5" t="str">
        <v>Unattempted</v>
      </c>
      <c r="T5" t="str">
        <v>Unattempted</v>
      </c>
      <c r="U5" t="str">
        <v>Unattempted</v>
      </c>
      <c r="V5" t="str">
        <v>20EC118-ST2-Assignment</v>
      </c>
      <c r="W5" t="str">
        <v>Unattempted</v>
      </c>
      <c r="X5" t="str">
        <v>Unattempted</v>
      </c>
    </row>
    <row r="6" spans="1:24" x14ac:dyDescent="0.3">
      <c r="A6" t="str">
        <v>2010992006 </v>
      </c>
      <c r="B6" t="str">
        <v>Unattempted</v>
      </c>
      <c r="C6" t="str">
        <v>Unattempted</v>
      </c>
      <c r="D6" t="str">
        <v>Unattempted</v>
      </c>
      <c r="E6" t="str">
        <v>Unattempted</v>
      </c>
      <c r="F6" t="str">
        <v>Unattempted</v>
      </c>
      <c r="G6" t="str">
        <v>Unattempted</v>
      </c>
      <c r="H6" t="str">
        <v>Unattempted</v>
      </c>
      <c r="I6" t="str">
        <v>Unattempted</v>
      </c>
      <c r="J6" t="str">
        <v>Unattempted</v>
      </c>
      <c r="K6" t="str">
        <v>Unattempted</v>
      </c>
      <c r="L6" t="str">
        <v>Unattempted</v>
      </c>
      <c r="M6" t="str">
        <v>Unattempted</v>
      </c>
      <c r="N6" t="str">
        <v>Unattempted</v>
      </c>
      <c r="O6" t="str">
        <v>Unattempted</v>
      </c>
      <c r="P6" t="str">
        <v>Unattempted</v>
      </c>
      <c r="Q6" t="str">
        <v>Unattempted</v>
      </c>
      <c r="R6" t="str">
        <v>Unattempted</v>
      </c>
      <c r="S6" t="str">
        <v>Unattempted</v>
      </c>
      <c r="T6" t="str">
        <v>Unattempted</v>
      </c>
      <c r="U6" t="str">
        <v>Unattempted</v>
      </c>
      <c r="V6" t="str">
        <v>Unattempted</v>
      </c>
      <c r="W6" t="str">
        <v>Unattempted</v>
      </c>
      <c r="X6" t="str">
        <v>Unattempted</v>
      </c>
    </row>
    <row r="7" spans="1:24" x14ac:dyDescent="0.3">
      <c r="A7" t="str">
        <v>2010992008 </v>
      </c>
      <c r="B7" t="str">
        <v>Unattempted</v>
      </c>
      <c r="C7" t="str">
        <v>Unattempted</v>
      </c>
      <c r="D7" t="str">
        <v>Unattempted</v>
      </c>
      <c r="E7" t="str">
        <v>Unattempted</v>
      </c>
      <c r="F7" t="str">
        <v>Unattempted</v>
      </c>
      <c r="G7" t="str">
        <v>Unattempted</v>
      </c>
      <c r="H7" t="str">
        <v>Unattempted</v>
      </c>
      <c r="I7" t="str">
        <v>Unattempted</v>
      </c>
      <c r="J7" t="str">
        <v>Unattempted</v>
      </c>
      <c r="K7" t="str">
        <v>Unattempted</v>
      </c>
      <c r="L7" t="str">
        <v>Unattempted</v>
      </c>
      <c r="M7" t="str">
        <v>Unattempted</v>
      </c>
      <c r="N7" t="str">
        <v>Unattempted</v>
      </c>
      <c r="O7" t="str">
        <v>Unattempted</v>
      </c>
      <c r="P7" t="str">
        <v>Unattempted</v>
      </c>
      <c r="Q7" t="str">
        <v>Unattempted</v>
      </c>
      <c r="R7" t="str">
        <v>Unattempted</v>
      </c>
      <c r="S7" t="str">
        <v>Unattempted</v>
      </c>
      <c r="T7" t="str">
        <v>Unattempted</v>
      </c>
      <c r="U7" t="str">
        <v>Unattempted</v>
      </c>
      <c r="V7" t="str">
        <v>Unattempted</v>
      </c>
      <c r="W7" t="str">
        <v>Unattempted</v>
      </c>
      <c r="X7" t="str">
        <v>Unattempted</v>
      </c>
    </row>
    <row r="8" spans="1:24" x14ac:dyDescent="0.3">
      <c r="A8" t="str">
        <v>2010992009 </v>
      </c>
      <c r="B8" t="str">
        <v>20EC118-ST2-1a</v>
      </c>
      <c r="C8" t="str">
        <v>20EC118-ST2-1b</v>
      </c>
      <c r="D8" t="str">
        <v>20EC118-ST2-1c</v>
      </c>
      <c r="E8" t="str">
        <v>20EC118-ST2-1d</v>
      </c>
      <c r="F8" t="str">
        <v>20EC118-ST2-1e</v>
      </c>
      <c r="G8" t="str">
        <v>20EC118-ST2-Q2</v>
      </c>
      <c r="H8" t="str">
        <v>20EC118-ST2-Q3</v>
      </c>
      <c r="I8" t="str">
        <v>Unattempted</v>
      </c>
      <c r="J8" t="str">
        <v>20EC118-ST2-Q5</v>
      </c>
      <c r="K8" t="str">
        <v>20EC118-ST2-Q6</v>
      </c>
      <c r="L8" t="str">
        <v>20EC118-ST2-Q7</v>
      </c>
      <c r="M8" t="str">
        <v>Unattempted</v>
      </c>
      <c r="N8" t="str">
        <v>20EC118-ST2-Q9</v>
      </c>
      <c r="O8" t="str">
        <v>20EC118-ST2-Q10</v>
      </c>
      <c r="P8" t="str">
        <v>20EC118-ST2-Q11</v>
      </c>
      <c r="Q8" t="str">
        <v>20EC118-ST2-Q12</v>
      </c>
      <c r="R8" t="str">
        <v>Unattempted</v>
      </c>
      <c r="S8" t="str">
        <v>Unattempted</v>
      </c>
      <c r="T8" t="str">
        <v>Unattempted</v>
      </c>
      <c r="U8" t="str">
        <v>Unattempted</v>
      </c>
      <c r="V8" t="str">
        <v>20EC118-ST2-Assignment</v>
      </c>
      <c r="W8" t="str">
        <v>Unattempted</v>
      </c>
      <c r="X8" t="str">
        <v>Unattempted</v>
      </c>
    </row>
    <row r="9" spans="1:24" x14ac:dyDescent="0.3">
      <c r="A9" t="str">
        <v>2010992010 </v>
      </c>
      <c r="B9" t="str">
        <v>Unattempted</v>
      </c>
      <c r="C9" t="str">
        <v>Unattempted</v>
      </c>
      <c r="D9" t="str">
        <v>Unattempted</v>
      </c>
      <c r="E9" t="str">
        <v>Unattempted</v>
      </c>
      <c r="F9" t="str">
        <v>Unattempted</v>
      </c>
      <c r="G9" t="str">
        <v>Unattempted</v>
      </c>
      <c r="H9" t="str">
        <v>Unattempted</v>
      </c>
      <c r="I9" t="str">
        <v>Unattempted</v>
      </c>
      <c r="J9" t="str">
        <v>Unattempted</v>
      </c>
      <c r="K9" t="str">
        <v>Unattempted</v>
      </c>
      <c r="L9" t="str">
        <v>Unattempted</v>
      </c>
      <c r="M9" t="str">
        <v>Unattempted</v>
      </c>
      <c r="N9" t="str">
        <v>Unattempted</v>
      </c>
      <c r="O9" t="str">
        <v>Unattempted</v>
      </c>
      <c r="P9" t="str">
        <v>Unattempted</v>
      </c>
      <c r="Q9" t="str">
        <v>Unattempted</v>
      </c>
      <c r="R9" t="str">
        <v>Unattempted</v>
      </c>
      <c r="S9" t="str">
        <v>Unattempted</v>
      </c>
      <c r="T9" t="str">
        <v>Unattempted</v>
      </c>
      <c r="U9" t="str">
        <v>Unattempted</v>
      </c>
      <c r="V9" t="str">
        <v>Unattempted</v>
      </c>
      <c r="W9" t="str">
        <v>Unattempted</v>
      </c>
      <c r="X9" t="str">
        <v>Unattempted</v>
      </c>
    </row>
    <row r="10" spans="1:24" x14ac:dyDescent="0.3">
      <c r="A10" t="str">
        <v>2010992011 </v>
      </c>
      <c r="B10" t="str">
        <v>Unattempted</v>
      </c>
      <c r="C10" t="str">
        <v>Unattempted</v>
      </c>
      <c r="D10" t="str">
        <v>Unattempted</v>
      </c>
      <c r="E10" t="str">
        <v>Unattempted</v>
      </c>
      <c r="F10" t="str">
        <v>Unattempted</v>
      </c>
      <c r="G10" t="str">
        <v>Unattempted</v>
      </c>
      <c r="H10" t="str">
        <v>Unattempted</v>
      </c>
      <c r="I10" t="str">
        <v>Unattempted</v>
      </c>
      <c r="J10" t="str">
        <v>Unattempted</v>
      </c>
      <c r="K10" t="str">
        <v>Unattempted</v>
      </c>
      <c r="L10" t="str">
        <v>Unattempted</v>
      </c>
      <c r="M10" t="str">
        <v>Unattempted</v>
      </c>
      <c r="N10" t="str">
        <v>Unattempted</v>
      </c>
      <c r="O10" t="str">
        <v>Unattempted</v>
      </c>
      <c r="P10" t="str">
        <v>Unattempted</v>
      </c>
      <c r="Q10" t="str">
        <v>Unattempted</v>
      </c>
      <c r="R10" t="str">
        <v>Unattempted</v>
      </c>
      <c r="S10" t="str">
        <v>Unattempted</v>
      </c>
      <c r="T10" t="str">
        <v>Unattempted</v>
      </c>
      <c r="U10" t="str">
        <v>Unattempted</v>
      </c>
      <c r="V10" t="str">
        <v>20EC118-ST2-Assignment</v>
      </c>
      <c r="W10" t="str">
        <v>Unattempted</v>
      </c>
      <c r="X10" t="str">
        <v>Unattempted</v>
      </c>
    </row>
    <row r="11" spans="1:24" x14ac:dyDescent="0.3">
      <c r="A11" t="str">
        <v>2010992012 </v>
      </c>
      <c r="B11" t="str">
        <v>20EC118-ST2-1a</v>
      </c>
      <c r="C11" t="str">
        <v>20EC118-ST2-1b</v>
      </c>
      <c r="D11" t="str">
        <v>20EC118-ST2-1c</v>
      </c>
      <c r="E11" t="str">
        <v>20EC118-ST2-1d</v>
      </c>
      <c r="F11" t="str">
        <v>20EC118-ST2-1e</v>
      </c>
      <c r="G11" t="str">
        <v>Unattempted</v>
      </c>
      <c r="H11" t="str">
        <v>20EC118-ST2-Q3</v>
      </c>
      <c r="I11" t="str">
        <v>20EC118-ST2-Q4</v>
      </c>
      <c r="J11" t="str">
        <v>20EC118-ST2-Q5</v>
      </c>
      <c r="K11" t="str">
        <v>20EC118-ST2-Q6</v>
      </c>
      <c r="L11" t="str">
        <v>20EC118-ST2-Q7</v>
      </c>
      <c r="M11" t="str">
        <v>Unattempted</v>
      </c>
      <c r="N11" t="str">
        <v>Unattempted</v>
      </c>
      <c r="O11" t="str">
        <v>20EC118-ST2-Q10</v>
      </c>
      <c r="P11" t="str">
        <v>Unattempted</v>
      </c>
      <c r="Q11" t="str">
        <v>Unattempted</v>
      </c>
      <c r="R11" t="str">
        <v>20EC118-ST2-Q13</v>
      </c>
      <c r="S11" t="str">
        <v>Unattempted</v>
      </c>
      <c r="T11" t="str">
        <v>Unattempted</v>
      </c>
      <c r="U11" t="str">
        <v>Unattempted</v>
      </c>
      <c r="V11" t="str">
        <v>20EC118-ST2-Assignment</v>
      </c>
      <c r="W11" t="str">
        <v>Unattempted</v>
      </c>
      <c r="X11" t="str">
        <v>Unattempted</v>
      </c>
    </row>
    <row r="12" spans="1:24" x14ac:dyDescent="0.3">
      <c r="A12" t="str">
        <v>2010992014 </v>
      </c>
      <c r="B12" t="str">
        <v>Unattempted</v>
      </c>
      <c r="C12" t="str">
        <v>Unattempted</v>
      </c>
      <c r="D12" t="str">
        <v>Unattempted</v>
      </c>
      <c r="E12" t="str">
        <v>Unattempted</v>
      </c>
      <c r="F12" t="str">
        <v>Unattempted</v>
      </c>
      <c r="G12" t="str">
        <v>Unattempted</v>
      </c>
      <c r="H12" t="str">
        <v>Unattempted</v>
      </c>
      <c r="I12" t="str">
        <v>Unattempted</v>
      </c>
      <c r="J12" t="str">
        <v>Unattempted</v>
      </c>
      <c r="K12" t="str">
        <v>Unattempted</v>
      </c>
      <c r="L12" t="str">
        <v>Unattempted</v>
      </c>
      <c r="M12" t="str">
        <v>Unattempted</v>
      </c>
      <c r="N12" t="str">
        <v>Unattempted</v>
      </c>
      <c r="O12" t="str">
        <v>Unattempted</v>
      </c>
      <c r="P12" t="str">
        <v>Unattempted</v>
      </c>
      <c r="Q12" t="str">
        <v>Unattempted</v>
      </c>
      <c r="R12" t="str">
        <v>Unattempted</v>
      </c>
      <c r="S12" t="str">
        <v>Unattempted</v>
      </c>
      <c r="T12" t="str">
        <v>Unattempted</v>
      </c>
      <c r="U12" t="str">
        <v>Unattempted</v>
      </c>
      <c r="V12" t="str">
        <v>20EC118-ST2-Assignment</v>
      </c>
      <c r="W12" t="str">
        <v>Unattempted</v>
      </c>
      <c r="X12" t="str">
        <v>Unattempted</v>
      </c>
    </row>
    <row r="13" spans="1:24" x14ac:dyDescent="0.3">
      <c r="A13" t="str">
        <v>2010992015 </v>
      </c>
      <c r="B13" t="str">
        <v>Unattempted</v>
      </c>
      <c r="C13" t="str">
        <v>20EC118-ST2-1b</v>
      </c>
      <c r="D13" t="str">
        <v>20EC118-ST2-1c</v>
      </c>
      <c r="E13" t="str">
        <v>Unattempted</v>
      </c>
      <c r="F13" t="str">
        <v>Unattempted</v>
      </c>
      <c r="G13" t="str">
        <v>Unattempted</v>
      </c>
      <c r="H13" t="str">
        <v>Unattempted</v>
      </c>
      <c r="I13" t="str">
        <v>Unattempted</v>
      </c>
      <c r="J13" t="str">
        <v>Unattempted</v>
      </c>
      <c r="K13" t="str">
        <v>Unattempted</v>
      </c>
      <c r="L13" t="str">
        <v>Unattempted</v>
      </c>
      <c r="M13" t="str">
        <v>Unattempted</v>
      </c>
      <c r="N13" t="str">
        <v>Unattempted</v>
      </c>
      <c r="O13" t="str">
        <v>Unattempted</v>
      </c>
      <c r="P13" t="str">
        <v>Unattempted</v>
      </c>
      <c r="Q13" t="str">
        <v>Unattempted</v>
      </c>
      <c r="R13" t="str">
        <v>20EC118-ST2-Q13</v>
      </c>
      <c r="S13" t="str">
        <v>Unattempted</v>
      </c>
      <c r="T13" t="str">
        <v>Unattempted</v>
      </c>
      <c r="U13" t="str">
        <v>Unattempted</v>
      </c>
      <c r="V13" t="str">
        <v>20EC118-ST2-Assignment</v>
      </c>
      <c r="W13" t="str">
        <v>Unattempted</v>
      </c>
      <c r="X13" t="str">
        <v>Unattempted</v>
      </c>
    </row>
    <row r="14" spans="1:24" x14ac:dyDescent="0.3">
      <c r="A14" t="str">
        <v>2010992016 </v>
      </c>
      <c r="B14" t="str">
        <v>20EC118-ST2-1a</v>
      </c>
      <c r="C14" t="str">
        <v>20EC118-ST2-1b</v>
      </c>
      <c r="D14" t="str">
        <v>20EC118-ST2-1c</v>
      </c>
      <c r="E14" t="str">
        <v>20EC118-ST2-1d</v>
      </c>
      <c r="F14" t="str">
        <v>20EC118-ST2-1e</v>
      </c>
      <c r="G14" t="str">
        <v>20EC118-ST2-Q2</v>
      </c>
      <c r="H14" t="str">
        <v>20EC118-ST2-Q3</v>
      </c>
      <c r="I14" t="str">
        <v>20EC118-ST2-Q4</v>
      </c>
      <c r="J14" t="str">
        <v>20EC118-ST2-Q5</v>
      </c>
      <c r="K14" t="str">
        <v>20EC118-ST2-Q6</v>
      </c>
      <c r="L14" t="str">
        <v>Unattempted</v>
      </c>
      <c r="M14" t="str">
        <v>20EC118-ST2-Q8</v>
      </c>
      <c r="N14" t="str">
        <v>20EC118-ST2-Q9</v>
      </c>
      <c r="O14" t="str">
        <v>20EC118-ST2-Q10</v>
      </c>
      <c r="P14" t="str">
        <v>Unattempted</v>
      </c>
      <c r="Q14" t="str">
        <v>Unattempted</v>
      </c>
      <c r="R14" t="str">
        <v>20EC118-ST2-Q13</v>
      </c>
      <c r="S14" t="str">
        <v>Unattempted</v>
      </c>
      <c r="T14" t="str">
        <v>Unattempted</v>
      </c>
      <c r="U14" t="str">
        <v>Unattempted</v>
      </c>
      <c r="V14" t="str">
        <v>20EC118-ST2-Assignment</v>
      </c>
      <c r="W14" t="str">
        <v>Unattempted</v>
      </c>
      <c r="X14" t="str">
        <v>Unattempted</v>
      </c>
    </row>
    <row r="15" spans="1:24" x14ac:dyDescent="0.3">
      <c r="A15" t="str">
        <v>2010992017 </v>
      </c>
      <c r="B15" t="str">
        <v>Unattempted</v>
      </c>
      <c r="C15" t="str">
        <v>Unattempted</v>
      </c>
      <c r="D15" t="str">
        <v>Unattempted</v>
      </c>
      <c r="E15" t="str">
        <v>Unattempted</v>
      </c>
      <c r="F15" t="str">
        <v>Unattempted</v>
      </c>
      <c r="G15" t="str">
        <v>Unattempted</v>
      </c>
      <c r="H15" t="str">
        <v>Unattempted</v>
      </c>
      <c r="I15" t="str">
        <v>Unattempted</v>
      </c>
      <c r="J15" t="str">
        <v>Unattempted</v>
      </c>
      <c r="K15" t="str">
        <v>Unattempted</v>
      </c>
      <c r="L15" t="str">
        <v>Unattempted</v>
      </c>
      <c r="M15" t="str">
        <v>Unattempted</v>
      </c>
      <c r="N15" t="str">
        <v>Unattempted</v>
      </c>
      <c r="O15" t="str">
        <v>Unattempted</v>
      </c>
      <c r="P15" t="str">
        <v>Unattempted</v>
      </c>
      <c r="Q15" t="str">
        <v>Unattempted</v>
      </c>
      <c r="R15" t="str">
        <v>Unattempted</v>
      </c>
      <c r="S15" t="str">
        <v>Unattempted</v>
      </c>
      <c r="T15" t="str">
        <v>Unattempted</v>
      </c>
      <c r="U15" t="str">
        <v>Unattempted</v>
      </c>
      <c r="V15" t="str">
        <v>20EC118-ST2-Assignment</v>
      </c>
      <c r="W15" t="str">
        <v>Unattempted</v>
      </c>
      <c r="X15" t="str">
        <v>Unattempted</v>
      </c>
    </row>
    <row r="16" spans="1:24" x14ac:dyDescent="0.3">
      <c r="A16" t="str">
        <v>2010992018 </v>
      </c>
      <c r="B16" t="str">
        <v>20EC118-ST2-1a</v>
      </c>
      <c r="C16" t="str">
        <v>20EC118-ST2-1b</v>
      </c>
      <c r="D16" t="str">
        <v>20EC118-ST2-1c</v>
      </c>
      <c r="E16" t="str">
        <v>20EC118-ST2-1d</v>
      </c>
      <c r="F16" t="str">
        <v>20EC118-ST2-1e</v>
      </c>
      <c r="G16" t="str">
        <v>20EC118-ST2-Q2</v>
      </c>
      <c r="H16" t="str">
        <v>Unattempted</v>
      </c>
      <c r="I16" t="str">
        <v>20EC118-ST2-Q4</v>
      </c>
      <c r="J16" t="str">
        <v>20EC118-ST2-Q5</v>
      </c>
      <c r="K16" t="str">
        <v>20EC118-ST2-Q6</v>
      </c>
      <c r="L16" t="str">
        <v>20EC118-ST2-Q7</v>
      </c>
      <c r="M16" t="str">
        <v>20EC118-ST2-Q8</v>
      </c>
      <c r="N16" t="str">
        <v>20EC118-ST2-Q9</v>
      </c>
      <c r="O16" t="str">
        <v>20EC118-ST2-Q10</v>
      </c>
      <c r="P16" t="str">
        <v>Unattempted</v>
      </c>
      <c r="Q16" t="str">
        <v>20EC118-ST2-Q12</v>
      </c>
      <c r="R16" t="str">
        <v>Unattempted</v>
      </c>
      <c r="S16" t="str">
        <v>Unattempted</v>
      </c>
      <c r="T16" t="str">
        <v>Unattempted</v>
      </c>
      <c r="U16" t="str">
        <v>Unattempted</v>
      </c>
      <c r="V16" t="str">
        <v>20EC118-ST2-Assignment</v>
      </c>
      <c r="W16" t="str">
        <v>Unattempted</v>
      </c>
      <c r="X16" t="str">
        <v>Unattempted</v>
      </c>
    </row>
    <row r="17" spans="1:24" x14ac:dyDescent="0.3">
      <c r="A17" t="str">
        <v>2010992163 </v>
      </c>
      <c r="B17" t="str">
        <v>20EC118-ST2-1a</v>
      </c>
      <c r="C17" t="str">
        <v>20EC118-ST2-1b</v>
      </c>
      <c r="D17" t="str">
        <v>20EC118-ST2-1c</v>
      </c>
      <c r="E17" t="str">
        <v>20EC118-ST2-1d</v>
      </c>
      <c r="F17" t="str">
        <v>20EC118-ST2-1e</v>
      </c>
      <c r="G17" t="str">
        <v>Unattempted</v>
      </c>
      <c r="H17" t="str">
        <v>20EC118-ST2-Q3</v>
      </c>
      <c r="I17" t="str">
        <v>20EC118-ST2-Q4</v>
      </c>
      <c r="J17" t="str">
        <v>20EC118-ST2-Q5</v>
      </c>
      <c r="K17" t="str">
        <v>20EC118-ST2-Q6</v>
      </c>
      <c r="L17" t="str">
        <v>20EC118-ST2-Q7</v>
      </c>
      <c r="M17" t="str">
        <v>Unattempted</v>
      </c>
      <c r="N17" t="str">
        <v>20EC118-ST2-Q9</v>
      </c>
      <c r="O17" t="str">
        <v>20EC118-ST2-Q10</v>
      </c>
      <c r="P17" t="str">
        <v>20EC118-ST2-Q11</v>
      </c>
      <c r="Q17" t="str">
        <v>Unattempted</v>
      </c>
      <c r="R17" t="str">
        <v>20EC118-ST2-Q13</v>
      </c>
      <c r="S17" t="str">
        <v>Unattempted</v>
      </c>
      <c r="T17" t="str">
        <v>Unattempted</v>
      </c>
      <c r="U17" t="str">
        <v>Unattempted</v>
      </c>
      <c r="V17" t="str">
        <v>20EC118-ST2-Assignment</v>
      </c>
      <c r="W17" t="str">
        <v>Unattempted</v>
      </c>
      <c r="X17" t="str">
        <v>Unattempted</v>
      </c>
    </row>
    <row r="18" spans="1:24" x14ac:dyDescent="0.3">
      <c r="A18" t="str">
        <v>2010992202 </v>
      </c>
      <c r="B18" t="str">
        <v>20EC118-ST2-1a</v>
      </c>
      <c r="C18" t="str">
        <v>20EC118-ST2-1b</v>
      </c>
      <c r="D18" t="str">
        <v>20EC118-ST2-1c</v>
      </c>
      <c r="E18" t="str">
        <v>20EC118-ST2-1d</v>
      </c>
      <c r="F18" t="str">
        <v>20EC118-ST2-1e</v>
      </c>
      <c r="G18" t="str">
        <v>Unattempted</v>
      </c>
      <c r="H18" t="str">
        <v>20EC118-ST2-Q3</v>
      </c>
      <c r="I18" t="str">
        <v>20EC118-ST2-Q4</v>
      </c>
      <c r="J18" t="str">
        <v>Unattempted</v>
      </c>
      <c r="K18" t="str">
        <v>20EC118-ST2-Q6</v>
      </c>
      <c r="L18" t="str">
        <v>20EC118-ST2-Q7</v>
      </c>
      <c r="M18" t="str">
        <v>Unattempted</v>
      </c>
      <c r="N18" t="str">
        <v>Unattempted</v>
      </c>
      <c r="O18" t="str">
        <v>Unattempted</v>
      </c>
      <c r="P18" t="str">
        <v>Unattempted</v>
      </c>
      <c r="Q18" t="str">
        <v>Unattempted</v>
      </c>
      <c r="R18" t="str">
        <v>20EC118-ST2-Q13</v>
      </c>
      <c r="S18" t="str">
        <v>Unattempted</v>
      </c>
      <c r="T18" t="str">
        <v>Unattempted</v>
      </c>
      <c r="U18" t="str">
        <v>Unattempted</v>
      </c>
      <c r="V18" t="str">
        <v>20EC118-ST2-Assignment</v>
      </c>
      <c r="W18" t="str">
        <v>Unattempted</v>
      </c>
      <c r="X18" t="str">
        <v>Unattempted</v>
      </c>
    </row>
    <row r="19" spans="1:24" x14ac:dyDescent="0.3">
      <c r="A19" t="str">
        <v>2010992203 </v>
      </c>
      <c r="B19" t="str">
        <v>20EC118-ST2-1a</v>
      </c>
      <c r="C19" t="str">
        <v>20EC118-ST2-1b</v>
      </c>
      <c r="D19" t="str">
        <v>20EC118-ST2-1c</v>
      </c>
      <c r="E19" t="str">
        <v>20EC118-ST2-1d</v>
      </c>
      <c r="F19" t="str">
        <v>20EC118-ST2-1e</v>
      </c>
      <c r="G19" t="str">
        <v>Unattempted</v>
      </c>
      <c r="H19" t="str">
        <v>20EC118-ST2-Q3</v>
      </c>
      <c r="I19" t="str">
        <v>20EC118-ST2-Q4</v>
      </c>
      <c r="J19" t="str">
        <v>20EC118-ST2-Q5</v>
      </c>
      <c r="K19" t="str">
        <v>20EC118-ST2-Q6</v>
      </c>
      <c r="L19" t="str">
        <v>Unattempted</v>
      </c>
      <c r="M19" t="str">
        <v>Unattempted</v>
      </c>
      <c r="N19" t="str">
        <v>Unattempted</v>
      </c>
      <c r="O19" t="str">
        <v>Unattempted</v>
      </c>
      <c r="P19" t="str">
        <v>Unattempted</v>
      </c>
      <c r="Q19" t="str">
        <v>Unattempted</v>
      </c>
      <c r="R19" t="str">
        <v>20EC118-ST2-Q13</v>
      </c>
      <c r="S19" t="str">
        <v>Unattempted</v>
      </c>
      <c r="T19" t="str">
        <v>Unattempted</v>
      </c>
      <c r="U19" t="str">
        <v>Unattempted</v>
      </c>
      <c r="V19" t="str">
        <v>20EC118-ST2-Assignment</v>
      </c>
      <c r="W19" t="str">
        <v>Unattempted</v>
      </c>
      <c r="X19" t="str">
        <v>Unattempted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CFF91-83F6-447D-87F2-60B266E82BAA}">
  <sheetPr codeName="Sheet14">
    <tabColor rgb="FFFFFF00"/>
  </sheetPr>
  <dimension ref="A1:S19"/>
  <sheetViews>
    <sheetView zoomScale="130" zoomScaleNormal="130" workbookViewId="0">
      <selection activeCell="G1" sqref="G1"/>
    </sheetView>
  </sheetViews>
  <sheetFormatPr defaultRowHeight="14.4" x14ac:dyDescent="0.3"/>
  <cols>
    <col min="1" max="1" width="21.44140625" bestFit="1" customWidth="1"/>
    <col min="2" max="7" width="10.5546875" bestFit="1" customWidth="1"/>
    <col min="19" max="19" width="255.77734375" bestFit="1" customWidth="1"/>
  </cols>
  <sheetData>
    <row r="1" spans="1:19" x14ac:dyDescent="0.3">
      <c r="A1" t="str" cm="1">
        <f t="array" ref="A1:A19">INDEX('ST2 Result'!B:B, 1):INDEX('ST2 Result'!B:B, COUNTA('ST2 Result'!B:B))</f>
        <v>Admission No. (Roll No.)</v>
      </c>
      <c r="B1" t="str" cm="1">
        <f t="array" ref="B1:G1">'ST2 CO Question Map'!C1:H1</f>
        <v>EC118_CO1</v>
      </c>
      <c r="C1" t="str">
        <v>EC118_CO2</v>
      </c>
      <c r="D1" t="str">
        <v>EC118_CO3</v>
      </c>
      <c r="E1" t="str">
        <v>EC118_CO4</v>
      </c>
      <c r="F1" t="str">
        <v>EC118_CO5</v>
      </c>
      <c r="G1" t="str">
        <v>EC118_CO6</v>
      </c>
    </row>
    <row r="2" spans="1:19" x14ac:dyDescent="0.3">
      <c r="A2" t="str">
        <v>2010990089 </v>
      </c>
      <c r="B2" cm="1">
        <f t="array" ref="B2:B19">_xlfn.BYROW($A2:INDEX($A:$A,COUNTA($A:$A)),_xlfn.LAMBDA(_xlpm.studentID,SUM(IFERROR( _xlfn.XLOOKUP(IF(_xlfn.XLOOKUP(B$1,'ST2 CO Question Map'!$C$1:$H$1,
          'ST2 CO Question Map'!$C$2:$H$24)= TRUE,TRANSPOSE(_xlfn.XLOOKUP(_xlpm.studentID,'ST2 Question Map'!$A$2:INDEX('ST2 Question Map'!$A:$A, COUNTA('ST2 Question Map'!$A:$A)),'ST2 Question Map'!$B$2:INDEX('ST2 Question Map'!$X:$X, COUNTA('ST2 Question Map'!$X:$X))))), 'ST2 CO Question Map'!$A$2:$A$24,'ST2 CO Question Map'!$B$2:$B$24),0))))</f>
        <v>7</v>
      </c>
      <c r="C2" cm="1">
        <f t="array" ref="C2:C19">_xlfn.BYROW($A2:INDEX($A:$A,COUNTA($A:$A)),_xlfn.LAMBDA(_xlpm.studentID,SUM(IFERROR( _xlfn.XLOOKUP(IF(_xlfn.XLOOKUP(C$1,'ST2 CO Question Map'!$C$1:$H$1,
          'ST2 CO Question Map'!$C$2:$H$24)= TRUE,TRANSPOSE(_xlfn.XLOOKUP(_xlpm.studentID,'ST2 Question Map'!$A$2:INDEX('ST2 Question Map'!$A:$A, COUNTA('ST2 Question Map'!$A:$A)),'ST2 Question Map'!$B$2:INDEX('ST2 Question Map'!$X:$X, COUNTA('ST2 Question Map'!$X:$X))))), 'ST2 CO Question Map'!$A$2:$A$24,'ST2 CO Question Map'!$B$2:$B$24),0))))</f>
        <v>28</v>
      </c>
      <c r="D2" cm="1">
        <f t="array" ref="D2:D19">_xlfn.BYROW($A2:INDEX($A:$A,COUNTA($A:$A)),_xlfn.LAMBDA(_xlpm.studentID,SUM(IFERROR( _xlfn.XLOOKUP(IF(_xlfn.XLOOKUP(D$1,'ST2 CO Question Map'!$C$1:$H$1,
          'ST2 CO Question Map'!$C$2:$H$24)= TRUE,TRANSPOSE(_xlfn.XLOOKUP(_xlpm.studentID,'ST2 Question Map'!$A$2:INDEX('ST2 Question Map'!$A:$A, COUNTA('ST2 Question Map'!$A:$A)),'ST2 Question Map'!$B$2:INDEX('ST2 Question Map'!$X:$X, COUNTA('ST2 Question Map'!$X:$X))))), 'ST2 CO Question Map'!$A$2:$A$24,'ST2 CO Question Map'!$B$2:$B$24),0))))</f>
        <v>10</v>
      </c>
      <c r="E2" cm="1">
        <f t="array" ref="E2:E19">_xlfn.BYROW($A2:INDEX($A:$A,COUNTA($A:$A)),_xlfn.LAMBDA(_xlpm.studentID,SUM(IFERROR( _xlfn.XLOOKUP(IF(_xlfn.XLOOKUP(E$1,'ST2 CO Question Map'!$C$1:$H$1,
          'ST2 CO Question Map'!$C$2:$H$24)= TRUE,TRANSPOSE(_xlfn.XLOOKUP(_xlpm.studentID,'ST2 Question Map'!$A$2:INDEX('ST2 Question Map'!$A:$A, COUNTA('ST2 Question Map'!$A:$A)),'ST2 Question Map'!$B$2:INDEX('ST2 Question Map'!$X:$X, COUNTA('ST2 Question Map'!$X:$X))))), 'ST2 CO Question Map'!$A$2:$A$24,'ST2 CO Question Map'!$B$2:$B$24),0))))</f>
        <v>0</v>
      </c>
      <c r="F2" cm="1">
        <f t="array" ref="F2:F19">_xlfn.BYROW($A2:INDEX($A:$A,COUNTA($A:$A)),_xlfn.LAMBDA(_xlpm.studentID,SUM(IFERROR( _xlfn.XLOOKUP(IF(_xlfn.XLOOKUP(F$1,'ST2 CO Question Map'!$C$1:$H$1,
          'ST2 CO Question Map'!$C$2:$H$24)= TRUE,TRANSPOSE(_xlfn.XLOOKUP(_xlpm.studentID,'ST2 Question Map'!$A$2:INDEX('ST2 Question Map'!$A:$A, COUNTA('ST2 Question Map'!$A:$A)),'ST2 Question Map'!$B$2:INDEX('ST2 Question Map'!$X:$X, COUNTA('ST2 Question Map'!$X:$X))))), 'ST2 CO Question Map'!$A$2:$A$24,'ST2 CO Question Map'!$B$2:$B$24),0))))</f>
        <v>0</v>
      </c>
      <c r="G2" cm="1">
        <f t="array" ref="G2:G19">_xlfn.BYROW($A2:INDEX($A:$A,COUNTA($A:$A)),_xlfn.LAMBDA(_xlpm.studentID,SUM(IFERROR( _xlfn.XLOOKUP(IF(_xlfn.XLOOKUP(G$1,'ST2 CO Question Map'!$C$1:$H$1,
          'ST2 CO Question Map'!$C$2:$H$24)= TRUE,TRANSPOSE(_xlfn.XLOOKUP(_xlpm.studentID,'ST2 Question Map'!$A$2:INDEX('ST2 Question Map'!$A:$A, COUNTA('ST2 Question Map'!$A:$A)),'ST2 Question Map'!$B$2:INDEX('ST2 Question Map'!$X:$X, COUNTA('ST2 Question Map'!$X:$X))))), 'ST2 CO Question Map'!$A$2:$A$24,'ST2 CO Question Map'!$B$2:$B$24),0))))</f>
        <v>0</v>
      </c>
    </row>
    <row r="3" spans="1:19" x14ac:dyDescent="0.3">
      <c r="A3" t="str">
        <v>2010992002 </v>
      </c>
      <c r="B3">
        <v>17</v>
      </c>
      <c r="C3">
        <v>45</v>
      </c>
      <c r="D3">
        <v>15</v>
      </c>
      <c r="E3">
        <v>0</v>
      </c>
      <c r="F3">
        <v>0</v>
      </c>
      <c r="G3">
        <v>0</v>
      </c>
      <c r="S3" t="s">
        <v>0</v>
      </c>
    </row>
    <row r="4" spans="1:19" x14ac:dyDescent="0.3">
      <c r="A4" t="str">
        <v>2010992004 </v>
      </c>
      <c r="B4">
        <v>0</v>
      </c>
      <c r="C4">
        <v>10</v>
      </c>
      <c r="D4">
        <v>10</v>
      </c>
      <c r="E4">
        <v>0</v>
      </c>
      <c r="F4">
        <v>0</v>
      </c>
      <c r="G4">
        <v>0</v>
      </c>
    </row>
    <row r="5" spans="1:19" x14ac:dyDescent="0.3">
      <c r="A5" t="str">
        <v>2010992005 </v>
      </c>
      <c r="B5">
        <v>0</v>
      </c>
      <c r="C5">
        <v>10</v>
      </c>
      <c r="D5">
        <v>10</v>
      </c>
      <c r="E5">
        <v>0</v>
      </c>
      <c r="F5">
        <v>0</v>
      </c>
      <c r="G5">
        <v>0</v>
      </c>
      <c r="S5" t="s">
        <v>1</v>
      </c>
    </row>
    <row r="6" spans="1:19" x14ac:dyDescent="0.3">
      <c r="A6" t="str">
        <v>2010992006 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19" x14ac:dyDescent="0.3">
      <c r="A7" t="str">
        <v>2010992008 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19" x14ac:dyDescent="0.3">
      <c r="A8" t="str">
        <v>2010992009 </v>
      </c>
      <c r="B8">
        <v>12</v>
      </c>
      <c r="C8">
        <v>45</v>
      </c>
      <c r="D8">
        <v>20</v>
      </c>
      <c r="E8">
        <v>0</v>
      </c>
      <c r="F8">
        <v>0</v>
      </c>
      <c r="G8">
        <v>0</v>
      </c>
    </row>
    <row r="9" spans="1:19" x14ac:dyDescent="0.3">
      <c r="A9" t="str">
        <v>2010992010 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19" x14ac:dyDescent="0.3">
      <c r="A10" t="str">
        <v>2010992011 </v>
      </c>
      <c r="B10">
        <v>0</v>
      </c>
      <c r="C10">
        <v>10</v>
      </c>
      <c r="D10">
        <v>10</v>
      </c>
      <c r="E10">
        <v>0</v>
      </c>
      <c r="F10">
        <v>0</v>
      </c>
      <c r="G10">
        <v>0</v>
      </c>
    </row>
    <row r="11" spans="1:19" x14ac:dyDescent="0.3">
      <c r="A11" t="str">
        <v>2010992012 </v>
      </c>
      <c r="B11">
        <v>7</v>
      </c>
      <c r="C11">
        <v>35</v>
      </c>
      <c r="D11">
        <v>15</v>
      </c>
      <c r="E11">
        <v>0</v>
      </c>
      <c r="F11">
        <v>0</v>
      </c>
      <c r="G11">
        <v>0</v>
      </c>
    </row>
    <row r="12" spans="1:19" x14ac:dyDescent="0.3">
      <c r="A12" t="str">
        <v>2010992014 </v>
      </c>
      <c r="B12">
        <v>0</v>
      </c>
      <c r="C12">
        <v>10</v>
      </c>
      <c r="D12">
        <v>10</v>
      </c>
      <c r="E12">
        <v>0</v>
      </c>
      <c r="F12">
        <v>0</v>
      </c>
      <c r="G12">
        <v>0</v>
      </c>
    </row>
    <row r="13" spans="1:19" x14ac:dyDescent="0.3">
      <c r="A13" t="str">
        <v>2010992015 </v>
      </c>
      <c r="B13">
        <v>2</v>
      </c>
      <c r="C13">
        <v>17</v>
      </c>
      <c r="D13">
        <v>10</v>
      </c>
      <c r="E13">
        <v>0</v>
      </c>
      <c r="F13">
        <v>0</v>
      </c>
      <c r="G13">
        <v>0</v>
      </c>
    </row>
    <row r="14" spans="1:19" x14ac:dyDescent="0.3">
      <c r="A14" t="str">
        <v>2010992016 </v>
      </c>
      <c r="B14">
        <v>15</v>
      </c>
      <c r="C14">
        <v>45</v>
      </c>
      <c r="D14">
        <v>15</v>
      </c>
      <c r="E14">
        <v>0</v>
      </c>
      <c r="F14">
        <v>0</v>
      </c>
      <c r="G14">
        <v>0</v>
      </c>
    </row>
    <row r="15" spans="1:19" x14ac:dyDescent="0.3">
      <c r="A15" t="str">
        <v>2010992017 </v>
      </c>
      <c r="B15">
        <v>0</v>
      </c>
      <c r="C15">
        <v>10</v>
      </c>
      <c r="D15">
        <v>10</v>
      </c>
      <c r="E15">
        <v>0</v>
      </c>
      <c r="F15">
        <v>0</v>
      </c>
      <c r="G15">
        <v>0</v>
      </c>
    </row>
    <row r="16" spans="1:19" x14ac:dyDescent="0.3">
      <c r="A16" t="str">
        <v>2010992018 </v>
      </c>
      <c r="B16">
        <v>17</v>
      </c>
      <c r="C16">
        <v>45</v>
      </c>
      <c r="D16">
        <v>15</v>
      </c>
      <c r="E16">
        <v>0</v>
      </c>
      <c r="F16">
        <v>0</v>
      </c>
      <c r="G16">
        <v>0</v>
      </c>
    </row>
    <row r="17" spans="1:7" x14ac:dyDescent="0.3">
      <c r="A17" t="str">
        <v>2010992163 </v>
      </c>
      <c r="B17">
        <v>12</v>
      </c>
      <c r="C17">
        <v>45</v>
      </c>
      <c r="D17">
        <v>20</v>
      </c>
      <c r="E17">
        <v>0</v>
      </c>
      <c r="F17">
        <v>0</v>
      </c>
      <c r="G17">
        <v>0</v>
      </c>
    </row>
    <row r="18" spans="1:7" x14ac:dyDescent="0.3">
      <c r="A18" t="str">
        <v>2010992202 </v>
      </c>
      <c r="B18">
        <v>7</v>
      </c>
      <c r="C18">
        <v>28</v>
      </c>
      <c r="D18">
        <v>10</v>
      </c>
      <c r="E18">
        <v>0</v>
      </c>
      <c r="F18">
        <v>0</v>
      </c>
      <c r="G18">
        <v>0</v>
      </c>
    </row>
    <row r="19" spans="1:7" x14ac:dyDescent="0.3">
      <c r="A19" t="str">
        <v>2010992203 </v>
      </c>
      <c r="B19">
        <v>5</v>
      </c>
      <c r="C19">
        <v>28</v>
      </c>
      <c r="D19">
        <v>10</v>
      </c>
      <c r="E19">
        <v>0</v>
      </c>
      <c r="F19">
        <v>0</v>
      </c>
      <c r="G1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59D2-0EAB-4101-8B52-918B022222BF}">
  <sheetPr codeName="Sheet15">
    <tabColor rgb="FFFFFF00"/>
  </sheetPr>
  <dimension ref="A1:N19"/>
  <sheetViews>
    <sheetView zoomScaleNormal="100" workbookViewId="0">
      <selection sqref="A1:XFD1048576"/>
    </sheetView>
  </sheetViews>
  <sheetFormatPr defaultRowHeight="14.4" x14ac:dyDescent="0.3"/>
  <cols>
    <col min="1" max="1" width="21" bestFit="1" customWidth="1"/>
    <col min="2" max="7" width="10.5546875" bestFit="1" customWidth="1"/>
  </cols>
  <sheetData>
    <row r="1" spans="1:14" x14ac:dyDescent="0.3">
      <c r="A1" t="str" cm="1">
        <f t="array" ref="A1:A19">INDEX('ST2 Result'!B:B, 1):INDEX('ST2 Result'!B:B, COUNTA('ST2 Result'!B:B))</f>
        <v>Admission No. (Roll No.)</v>
      </c>
      <c r="B1" t="str" cm="1">
        <f t="array" ref="B1:G1">'ST2 CO Question Map'!C1:H1</f>
        <v>EC118_CO1</v>
      </c>
      <c r="C1" t="str">
        <v>EC118_CO2</v>
      </c>
      <c r="D1" t="str">
        <v>EC118_CO3</v>
      </c>
      <c r="E1" t="str">
        <v>EC118_CO4</v>
      </c>
      <c r="F1" t="str">
        <v>EC118_CO5</v>
      </c>
      <c r="G1" t="str">
        <v>EC118_CO6</v>
      </c>
    </row>
    <row r="2" spans="1:14" x14ac:dyDescent="0.3">
      <c r="A2" t="str">
        <v>2010990089 </v>
      </c>
      <c r="B2" cm="1">
        <f t="array" ref="B2:B19">_xlfn.BYROW($A2:INDEX($A:$A,COUNTA($A:$A)),_xlfn.LAMBDA(_xlpm.studentID,SUM(IFERROR(_xlfn.XLOOKUP(IF(_xlfn.XLOOKUP(B$1,'ST2 CO Question Map'!$C$1:$H$1,
'ST2 CO Question Map'!$C$2:$H$24)=TRUE,TRANSPOSE(_xlfn.XLOOKUP(_xlpm.studentID,'ST2 Question Map'!$A$2:INDEX('ST2 Question Map'!$A:$A,COUNTA('ST2 Question Map'!$A:$A)),
'ST2 Question Map'!$B$2:INDEX('ST2 Question Map'!$X:$X,COUNTA('ST2 Question Map'!$X:$X))))),'ST2 Student Marks'!$B$1:$X$1,_xlfn.XLOOKUP(_xlpm.studentID,'ST2 Student Marks'!$A$1:INDEX('ST2 Student Marks'!$A:$A,COUNTA('ST2 Student Marks'!$A:$A)),
'ST2 Student Marks'!$B$1:INDEX('ST2 Student Marks'!$X:$X,COUNTA('ST2 Student Marks'!$X:$X)))),0))))</f>
        <v>7</v>
      </c>
      <c r="C2" cm="1">
        <f t="array" ref="C2:C19">_xlfn.BYROW($A2:INDEX($A:$A,COUNTA($A:$A)),_xlfn.LAMBDA(_xlpm.studentID,SUM(IFERROR(_xlfn.XLOOKUP(IF(_xlfn.XLOOKUP(C$1,'ST2 CO Question Map'!$C$1:$H$1,
'ST2 CO Question Map'!$C$2:$H$24)=TRUE,TRANSPOSE(_xlfn.XLOOKUP(_xlpm.studentID,'ST2 Question Map'!$A$2:INDEX('ST2 Question Map'!$A:$A,COUNTA('ST2 Question Map'!$A:$A)),
'ST2 Question Map'!$B$2:INDEX('ST2 Question Map'!$X:$X,COUNTA('ST2 Question Map'!$X:$X))))),'ST2 Student Marks'!$B$1:$X$1,_xlfn.XLOOKUP(_xlpm.studentID,'ST2 Student Marks'!$A$1:INDEX('ST2 Student Marks'!$A:$A,COUNTA('ST2 Student Marks'!$A:$A)),
'ST2 Student Marks'!$B$1:INDEX('ST2 Student Marks'!$X:$X,COUNTA('ST2 Student Marks'!$X:$X)))),0))))</f>
        <v>21</v>
      </c>
      <c r="D2" cm="1">
        <f t="array" ref="D2:D19">_xlfn.BYROW($A2:INDEX($A:$A,COUNTA($A:$A)),_xlfn.LAMBDA(_xlpm.studentID,SUM(IFERROR(_xlfn.XLOOKUP(IF(_xlfn.XLOOKUP(D$1,'ST2 CO Question Map'!$C$1:$H$1,
'ST2 CO Question Map'!$C$2:$H$24)=TRUE,TRANSPOSE(_xlfn.XLOOKUP(_xlpm.studentID,'ST2 Question Map'!$A$2:INDEX('ST2 Question Map'!$A:$A,COUNTA('ST2 Question Map'!$A:$A)),
'ST2 Question Map'!$B$2:INDEX('ST2 Question Map'!$X:$X,COUNTA('ST2 Question Map'!$X:$X))))),'ST2 Student Marks'!$B$1:$X$1,_xlfn.XLOOKUP(_xlpm.studentID,'ST2 Student Marks'!$A$1:INDEX('ST2 Student Marks'!$A:$A,COUNTA('ST2 Student Marks'!$A:$A)),
'ST2 Student Marks'!$B$1:INDEX('ST2 Student Marks'!$X:$X,COUNTA('ST2 Student Marks'!$X:$X)))),0))))</f>
        <v>8</v>
      </c>
      <c r="E2" cm="1">
        <f t="array" ref="E2:E19">_xlfn.BYROW($A2:INDEX($A:$A,COUNTA($A:$A)),_xlfn.LAMBDA(_xlpm.studentID,SUM(IFERROR(_xlfn.XLOOKUP(IF(_xlfn.XLOOKUP(E$1,'ST2 CO Question Map'!$C$1:$H$1,
'ST2 CO Question Map'!$C$2:$H$24)=TRUE,TRANSPOSE(_xlfn.XLOOKUP(_xlpm.studentID,'ST2 Question Map'!$A$2:INDEX('ST2 Question Map'!$A:$A,COUNTA('ST2 Question Map'!$A:$A)),
'ST2 Question Map'!$B$2:INDEX('ST2 Question Map'!$X:$X,COUNTA('ST2 Question Map'!$X:$X))))),'ST2 Student Marks'!$B$1:$X$1,_xlfn.XLOOKUP(_xlpm.studentID,'ST2 Student Marks'!$A$1:INDEX('ST2 Student Marks'!$A:$A,COUNTA('ST2 Student Marks'!$A:$A)),
'ST2 Student Marks'!$B$1:INDEX('ST2 Student Marks'!$X:$X,COUNTA('ST2 Student Marks'!$X:$X)))),0))))</f>
        <v>0</v>
      </c>
      <c r="F2" cm="1">
        <f t="array" ref="F2:F19">_xlfn.BYROW($A2:INDEX($A:$A,COUNTA($A:$A)),_xlfn.LAMBDA(_xlpm.studentID,SUM(IFERROR(_xlfn.XLOOKUP(IF(_xlfn.XLOOKUP(F$1,'ST2 CO Question Map'!$C$1:$H$1,
'ST2 CO Question Map'!$C$2:$H$24)=TRUE,TRANSPOSE(_xlfn.XLOOKUP(_xlpm.studentID,'ST2 Question Map'!$A$2:INDEX('ST2 Question Map'!$A:$A,COUNTA('ST2 Question Map'!$A:$A)),
'ST2 Question Map'!$B$2:INDEX('ST2 Question Map'!$X:$X,COUNTA('ST2 Question Map'!$X:$X))))),'ST2 Student Marks'!$B$1:$X$1,_xlfn.XLOOKUP(_xlpm.studentID,'ST2 Student Marks'!$A$1:INDEX('ST2 Student Marks'!$A:$A,COUNTA('ST2 Student Marks'!$A:$A)),
'ST2 Student Marks'!$B$1:INDEX('ST2 Student Marks'!$X:$X,COUNTA('ST2 Student Marks'!$X:$X)))),0))))</f>
        <v>0</v>
      </c>
      <c r="G2" cm="1">
        <f t="array" ref="G2:G19">_xlfn.BYROW($A2:INDEX($A:$A,COUNTA($A:$A)),_xlfn.LAMBDA(_xlpm.studentID,SUM(IFERROR(_xlfn.XLOOKUP(IF(_xlfn.XLOOKUP(G$1,'ST2 CO Question Map'!$C$1:$H$1,
'ST2 CO Question Map'!$C$2:$H$24)=TRUE,TRANSPOSE(_xlfn.XLOOKUP(_xlpm.studentID,'ST2 Question Map'!$A$2:INDEX('ST2 Question Map'!$A:$A,COUNTA('ST2 Question Map'!$A:$A)),
'ST2 Question Map'!$B$2:INDEX('ST2 Question Map'!$X:$X,COUNTA('ST2 Question Map'!$X:$X))))),'ST2 Student Marks'!$B$1:$X$1,_xlfn.XLOOKUP(_xlpm.studentID,'ST2 Student Marks'!$A$1:INDEX('ST2 Student Marks'!$A:$A,COUNTA('ST2 Student Marks'!$A:$A)),
'ST2 Student Marks'!$B$1:INDEX('ST2 Student Marks'!$X:$X,COUNTA('ST2 Student Marks'!$X:$X)))),0))))</f>
        <v>0</v>
      </c>
    </row>
    <row r="3" spans="1:14" x14ac:dyDescent="0.3">
      <c r="A3" t="str">
        <v>2010992002 </v>
      </c>
      <c r="B3">
        <v>17</v>
      </c>
      <c r="C3">
        <v>47</v>
      </c>
      <c r="D3">
        <v>15</v>
      </c>
      <c r="E3">
        <v>0</v>
      </c>
      <c r="F3">
        <v>0</v>
      </c>
      <c r="G3">
        <v>0</v>
      </c>
    </row>
    <row r="4" spans="1:14" ht="14.4" customHeight="1" x14ac:dyDescent="0.3">
      <c r="A4" t="str">
        <v>2010992004 </v>
      </c>
      <c r="B4">
        <v>0</v>
      </c>
      <c r="C4">
        <v>6</v>
      </c>
      <c r="D4">
        <v>6</v>
      </c>
      <c r="E4">
        <v>0</v>
      </c>
      <c r="F4">
        <v>0</v>
      </c>
      <c r="G4">
        <v>0</v>
      </c>
      <c r="N4" s="1"/>
    </row>
    <row r="5" spans="1:14" x14ac:dyDescent="0.3">
      <c r="A5" t="str">
        <v>2010992005 </v>
      </c>
      <c r="B5">
        <v>0</v>
      </c>
      <c r="C5">
        <v>8</v>
      </c>
      <c r="D5">
        <v>8</v>
      </c>
      <c r="E5">
        <v>0</v>
      </c>
      <c r="F5">
        <v>0</v>
      </c>
      <c r="G5">
        <v>0</v>
      </c>
    </row>
    <row r="6" spans="1:14" x14ac:dyDescent="0.3">
      <c r="A6" t="str">
        <v>2010992006 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14" x14ac:dyDescent="0.3">
      <c r="A7" t="str">
        <v>2010992008 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14" x14ac:dyDescent="0.3">
      <c r="A8" t="str">
        <v>2010992009 </v>
      </c>
      <c r="B8">
        <v>12</v>
      </c>
      <c r="C8">
        <v>42</v>
      </c>
      <c r="D8">
        <v>19</v>
      </c>
      <c r="E8">
        <v>0</v>
      </c>
      <c r="F8">
        <v>0</v>
      </c>
      <c r="G8">
        <v>0</v>
      </c>
    </row>
    <row r="9" spans="1:14" x14ac:dyDescent="0.3">
      <c r="A9" t="str">
        <v>2010992010 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14" x14ac:dyDescent="0.3">
      <c r="A10" t="str">
        <v>2010992011 </v>
      </c>
      <c r="B10">
        <v>0</v>
      </c>
      <c r="C10">
        <v>6</v>
      </c>
      <c r="D10">
        <v>6</v>
      </c>
      <c r="E10">
        <v>0</v>
      </c>
      <c r="F10">
        <v>0</v>
      </c>
      <c r="G10">
        <v>0</v>
      </c>
    </row>
    <row r="11" spans="1:14" x14ac:dyDescent="0.3">
      <c r="A11" t="str">
        <v>2010992012 </v>
      </c>
      <c r="B11">
        <v>7</v>
      </c>
      <c r="C11">
        <v>25</v>
      </c>
      <c r="D11">
        <v>9</v>
      </c>
      <c r="E11">
        <v>0</v>
      </c>
      <c r="F11">
        <v>0</v>
      </c>
      <c r="G11">
        <v>0</v>
      </c>
    </row>
    <row r="12" spans="1:14" x14ac:dyDescent="0.3">
      <c r="A12" t="str">
        <v>2010992014 </v>
      </c>
      <c r="B12">
        <v>0</v>
      </c>
      <c r="C12">
        <v>7</v>
      </c>
      <c r="D12">
        <v>7</v>
      </c>
      <c r="E12">
        <v>0</v>
      </c>
      <c r="F12">
        <v>0</v>
      </c>
      <c r="G12">
        <v>0</v>
      </c>
    </row>
    <row r="13" spans="1:14" x14ac:dyDescent="0.3">
      <c r="A13" t="str">
        <v>2010992015 </v>
      </c>
      <c r="B13">
        <v>2</v>
      </c>
      <c r="C13">
        <v>10</v>
      </c>
      <c r="D13">
        <v>7</v>
      </c>
      <c r="E13">
        <v>0</v>
      </c>
      <c r="F13">
        <v>0</v>
      </c>
      <c r="G13">
        <v>0</v>
      </c>
    </row>
    <row r="14" spans="1:14" x14ac:dyDescent="0.3">
      <c r="A14" t="str">
        <v>2010992016 </v>
      </c>
      <c r="B14">
        <v>14</v>
      </c>
      <c r="C14">
        <v>36</v>
      </c>
      <c r="D14">
        <v>11</v>
      </c>
      <c r="E14">
        <v>0</v>
      </c>
      <c r="F14">
        <v>0</v>
      </c>
      <c r="G14">
        <v>0</v>
      </c>
    </row>
    <row r="15" spans="1:14" x14ac:dyDescent="0.3">
      <c r="A15" t="str">
        <v>2010992017 </v>
      </c>
      <c r="B15">
        <v>0</v>
      </c>
      <c r="C15">
        <v>8</v>
      </c>
      <c r="D15">
        <v>8</v>
      </c>
      <c r="E15">
        <v>0</v>
      </c>
      <c r="F15">
        <v>0</v>
      </c>
      <c r="G15">
        <v>0</v>
      </c>
    </row>
    <row r="16" spans="1:14" x14ac:dyDescent="0.3">
      <c r="A16" t="str">
        <v>2010992018 </v>
      </c>
      <c r="B16">
        <v>16</v>
      </c>
      <c r="C16">
        <v>35</v>
      </c>
      <c r="D16">
        <v>10</v>
      </c>
      <c r="E16">
        <v>0</v>
      </c>
      <c r="F16">
        <v>0</v>
      </c>
      <c r="G16">
        <v>0</v>
      </c>
    </row>
    <row r="17" spans="1:7" x14ac:dyDescent="0.3">
      <c r="A17" t="str">
        <v>2010992163 </v>
      </c>
      <c r="B17">
        <v>12</v>
      </c>
      <c r="C17">
        <v>44</v>
      </c>
      <c r="D17">
        <v>19</v>
      </c>
      <c r="E17">
        <v>0</v>
      </c>
      <c r="F17">
        <v>0</v>
      </c>
      <c r="G17">
        <v>0</v>
      </c>
    </row>
    <row r="18" spans="1:7" x14ac:dyDescent="0.3">
      <c r="A18" t="str">
        <v>2010992202 </v>
      </c>
      <c r="B18">
        <v>7</v>
      </c>
      <c r="C18">
        <v>19</v>
      </c>
      <c r="D18">
        <v>6</v>
      </c>
      <c r="E18">
        <v>0</v>
      </c>
      <c r="F18">
        <v>0</v>
      </c>
      <c r="G18">
        <v>0</v>
      </c>
    </row>
    <row r="19" spans="1:7" x14ac:dyDescent="0.3">
      <c r="A19" t="str">
        <v>2010992203 </v>
      </c>
      <c r="B19">
        <v>5</v>
      </c>
      <c r="C19">
        <v>22</v>
      </c>
      <c r="D19">
        <v>9</v>
      </c>
      <c r="E19">
        <v>0</v>
      </c>
      <c r="F19">
        <v>0</v>
      </c>
      <c r="G1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40F6-F9AB-4EEA-89BD-45F8540957FE}">
  <sheetPr codeName="Sheet16">
    <tabColor rgb="FFFFFF00"/>
  </sheetPr>
  <dimension ref="A1:G19"/>
  <sheetViews>
    <sheetView workbookViewId="0">
      <selection sqref="A1:XFD1048576"/>
    </sheetView>
  </sheetViews>
  <sheetFormatPr defaultRowHeight="14.4" x14ac:dyDescent="0.3"/>
  <cols>
    <col min="1" max="1" width="21" bestFit="1" customWidth="1"/>
    <col min="2" max="4" width="12" bestFit="1" customWidth="1"/>
    <col min="5" max="7" width="10.5546875" bestFit="1" customWidth="1"/>
  </cols>
  <sheetData>
    <row r="1" spans="1:7" x14ac:dyDescent="0.3">
      <c r="A1" t="str" cm="1">
        <f t="array" ref="A1:A19">INDEX('ST2 Result'!B:B, 1):INDEX('ST2 Result'!B:B, COUNTA('ST2 Result'!B:B))</f>
        <v>Admission No. (Roll No.)</v>
      </c>
      <c r="B1" t="str" cm="1">
        <f t="array" ref="B1:G1">'ST2 CO Question Map'!C1:H1</f>
        <v>EC118_CO1</v>
      </c>
      <c r="C1" t="str">
        <v>EC118_CO2</v>
      </c>
      <c r="D1" t="str">
        <v>EC118_CO3</v>
      </c>
      <c r="E1" t="str">
        <v>EC118_CO4</v>
      </c>
      <c r="F1" t="str">
        <v>EC118_CO5</v>
      </c>
      <c r="G1" t="str">
        <v>EC118_CO6</v>
      </c>
    </row>
    <row r="2" spans="1:7" x14ac:dyDescent="0.3">
      <c r="A2" t="str">
        <v>2010990089 </v>
      </c>
      <c r="B2" cm="1">
        <f t="array" ref="B2:B19">_xlfn.BYROW($A2:INDEX($A:$A,COUNTA($A:$A)),_xlfn.LAMBDA(_xlpm.studentID,IFERROR(_xlfn.XLOOKUP(_xlpm.studentID,'ST2 Student Attained CO Score'!$A:$A,'ST2 Student Attained CO Score'!B:B) /
 _xlfn.XLOOKUP(_xlpm.studentID,'ST2 Student MO CO Score'!$A:$A,
'ST2 Student MO CO Score'!B:B)*100,"NA")))</f>
        <v>100</v>
      </c>
      <c r="C2" cm="1">
        <f t="array" ref="C2:C19">_xlfn.BYROW($A2:INDEX($A:$A,COUNTA($A:$A)),_xlfn.LAMBDA(_xlpm.studentID,IFERROR(_xlfn.XLOOKUP(_xlpm.studentID,'ST2 Student Attained CO Score'!$A:$A,'ST2 Student Attained CO Score'!C:C) /
 _xlfn.XLOOKUP(_xlpm.studentID,'ST2 Student MO CO Score'!$A:$A,
'ST2 Student MO CO Score'!C:C)*100,"NA")))</f>
        <v>75</v>
      </c>
      <c r="D2" cm="1">
        <f t="array" ref="D2:D19">_xlfn.BYROW($A2:INDEX($A:$A,COUNTA($A:$A)),_xlfn.LAMBDA(_xlpm.studentID,IFERROR(_xlfn.XLOOKUP(_xlpm.studentID,'ST2 Student Attained CO Score'!$A:$A,'ST2 Student Attained CO Score'!D:D) /
 _xlfn.XLOOKUP(_xlpm.studentID,'ST2 Student MO CO Score'!$A:$A,
'ST2 Student MO CO Score'!D:D)*100,"NA")))</f>
        <v>80</v>
      </c>
      <c r="E2" t="str" cm="1">
        <f t="array" ref="E2:E19">_xlfn.BYROW($A2:INDEX($A:$A,COUNTA($A:$A)),_xlfn.LAMBDA(_xlpm.studentID,IFERROR(_xlfn.XLOOKUP(_xlpm.studentID,'ST2 Student Attained CO Score'!$A:$A,'ST2 Student Attained CO Score'!E:E) /
 _xlfn.XLOOKUP(_xlpm.studentID,'ST2 Student MO CO Score'!$A:$A,
'ST2 Student MO CO Score'!E:E)*100,"NA")))</f>
        <v>NA</v>
      </c>
      <c r="F2" t="str" cm="1">
        <f t="array" ref="F2:F19">_xlfn.BYROW($A2:INDEX($A:$A,COUNTA($A:$A)),_xlfn.LAMBDA(_xlpm.studentID,IFERROR(_xlfn.XLOOKUP(_xlpm.studentID,'ST2 Student Attained CO Score'!$A:$A,'ST2 Student Attained CO Score'!F:F) /
 _xlfn.XLOOKUP(_xlpm.studentID,'ST2 Student MO CO Score'!$A:$A,
'ST2 Student MO CO Score'!F:F)*100,"NA")))</f>
        <v>NA</v>
      </c>
      <c r="G2" t="str" cm="1">
        <f t="array" ref="G2:G19">_xlfn.BYROW($A2:INDEX($A:$A,COUNTA($A:$A)),_xlfn.LAMBDA(_xlpm.studentID,IFERROR(_xlfn.XLOOKUP(_xlpm.studentID,'ST2 Student Attained CO Score'!$A:$A,'ST2 Student Attained CO Score'!G:G) /
 _xlfn.XLOOKUP(_xlpm.studentID,'ST2 Student MO CO Score'!$A:$A,
'ST2 Student MO CO Score'!G:G)*100,"NA")))</f>
        <v>NA</v>
      </c>
    </row>
    <row r="3" spans="1:7" x14ac:dyDescent="0.3">
      <c r="A3" t="str">
        <v>2010992002 </v>
      </c>
      <c r="B3">
        <v>100</v>
      </c>
      <c r="C3">
        <v>104.44444444444446</v>
      </c>
      <c r="D3">
        <v>100</v>
      </c>
      <c r="E3" t="str">
        <v>NA</v>
      </c>
      <c r="F3" t="str">
        <v>NA</v>
      </c>
      <c r="G3" t="str">
        <v>NA</v>
      </c>
    </row>
    <row r="4" spans="1:7" x14ac:dyDescent="0.3">
      <c r="A4" t="str">
        <v>2010992004 </v>
      </c>
      <c r="B4" t="str">
        <v>NA</v>
      </c>
      <c r="C4">
        <v>60</v>
      </c>
      <c r="D4">
        <v>60</v>
      </c>
      <c r="E4" t="str">
        <v>NA</v>
      </c>
      <c r="F4" t="str">
        <v>NA</v>
      </c>
      <c r="G4" t="str">
        <v>NA</v>
      </c>
    </row>
    <row r="5" spans="1:7" x14ac:dyDescent="0.3">
      <c r="A5" t="str">
        <v>2010992005 </v>
      </c>
      <c r="B5" t="str">
        <v>NA</v>
      </c>
      <c r="C5">
        <v>80</v>
      </c>
      <c r="D5">
        <v>80</v>
      </c>
      <c r="E5" t="str">
        <v>NA</v>
      </c>
      <c r="F5" t="str">
        <v>NA</v>
      </c>
      <c r="G5" t="str">
        <v>NA</v>
      </c>
    </row>
    <row r="6" spans="1:7" x14ac:dyDescent="0.3">
      <c r="A6" t="str">
        <v>2010992006 </v>
      </c>
      <c r="B6" t="str">
        <v>NA</v>
      </c>
      <c r="C6" t="str">
        <v>NA</v>
      </c>
      <c r="D6" t="str">
        <v>NA</v>
      </c>
      <c r="E6" t="str">
        <v>NA</v>
      </c>
      <c r="F6" t="str">
        <v>NA</v>
      </c>
      <c r="G6" t="str">
        <v>NA</v>
      </c>
    </row>
    <row r="7" spans="1:7" x14ac:dyDescent="0.3">
      <c r="A7" t="str">
        <v>2010992008 </v>
      </c>
      <c r="B7" t="str">
        <v>NA</v>
      </c>
      <c r="C7" t="str">
        <v>NA</v>
      </c>
      <c r="D7" t="str">
        <v>NA</v>
      </c>
      <c r="E7" t="str">
        <v>NA</v>
      </c>
      <c r="F7" t="str">
        <v>NA</v>
      </c>
      <c r="G7" t="str">
        <v>NA</v>
      </c>
    </row>
    <row r="8" spans="1:7" x14ac:dyDescent="0.3">
      <c r="A8" t="str">
        <v>2010992009 </v>
      </c>
      <c r="B8">
        <v>100</v>
      </c>
      <c r="C8">
        <v>93.333333333333329</v>
      </c>
      <c r="D8">
        <v>95</v>
      </c>
      <c r="E8" t="str">
        <v>NA</v>
      </c>
      <c r="F8" t="str">
        <v>NA</v>
      </c>
      <c r="G8" t="str">
        <v>NA</v>
      </c>
    </row>
    <row r="9" spans="1:7" x14ac:dyDescent="0.3">
      <c r="A9" t="str">
        <v>2010992010 </v>
      </c>
      <c r="B9" t="str">
        <v>NA</v>
      </c>
      <c r="C9" t="str">
        <v>NA</v>
      </c>
      <c r="D9" t="str">
        <v>NA</v>
      </c>
      <c r="E9" t="str">
        <v>NA</v>
      </c>
      <c r="F9" t="str">
        <v>NA</v>
      </c>
      <c r="G9" t="str">
        <v>NA</v>
      </c>
    </row>
    <row r="10" spans="1:7" x14ac:dyDescent="0.3">
      <c r="A10" t="str">
        <v>2010992011 </v>
      </c>
      <c r="B10" t="str">
        <v>NA</v>
      </c>
      <c r="C10">
        <v>60</v>
      </c>
      <c r="D10">
        <v>60</v>
      </c>
      <c r="E10" t="str">
        <v>NA</v>
      </c>
      <c r="F10" t="str">
        <v>NA</v>
      </c>
      <c r="G10" t="str">
        <v>NA</v>
      </c>
    </row>
    <row r="11" spans="1:7" x14ac:dyDescent="0.3">
      <c r="A11" t="str">
        <v>2010992012 </v>
      </c>
      <c r="B11">
        <v>100</v>
      </c>
      <c r="C11">
        <v>71.428571428571431</v>
      </c>
      <c r="D11">
        <v>60</v>
      </c>
      <c r="E11" t="str">
        <v>NA</v>
      </c>
      <c r="F11" t="str">
        <v>NA</v>
      </c>
      <c r="G11" t="str">
        <v>NA</v>
      </c>
    </row>
    <row r="12" spans="1:7" x14ac:dyDescent="0.3">
      <c r="A12" t="str">
        <v>2010992014 </v>
      </c>
      <c r="B12" t="str">
        <v>NA</v>
      </c>
      <c r="C12">
        <v>70</v>
      </c>
      <c r="D12">
        <v>70</v>
      </c>
      <c r="E12" t="str">
        <v>NA</v>
      </c>
      <c r="F12" t="str">
        <v>NA</v>
      </c>
      <c r="G12" t="str">
        <v>NA</v>
      </c>
    </row>
    <row r="13" spans="1:7" x14ac:dyDescent="0.3">
      <c r="A13" t="str">
        <v>2010992015 </v>
      </c>
      <c r="B13">
        <v>100</v>
      </c>
      <c r="C13">
        <v>58.82352941176471</v>
      </c>
      <c r="D13">
        <v>70</v>
      </c>
      <c r="E13" t="str">
        <v>NA</v>
      </c>
      <c r="F13" t="str">
        <v>NA</v>
      </c>
      <c r="G13" t="str">
        <v>NA</v>
      </c>
    </row>
    <row r="14" spans="1:7" x14ac:dyDescent="0.3">
      <c r="A14" t="str">
        <v>2010992016 </v>
      </c>
      <c r="B14">
        <v>93.333333333333329</v>
      </c>
      <c r="C14">
        <v>80</v>
      </c>
      <c r="D14">
        <v>73.333333333333329</v>
      </c>
      <c r="E14" t="str">
        <v>NA</v>
      </c>
      <c r="F14" t="str">
        <v>NA</v>
      </c>
      <c r="G14" t="str">
        <v>NA</v>
      </c>
    </row>
    <row r="15" spans="1:7" x14ac:dyDescent="0.3">
      <c r="A15" t="str">
        <v>2010992017 </v>
      </c>
      <c r="B15" t="str">
        <v>NA</v>
      </c>
      <c r="C15">
        <v>80</v>
      </c>
      <c r="D15">
        <v>80</v>
      </c>
      <c r="E15" t="str">
        <v>NA</v>
      </c>
      <c r="F15" t="str">
        <v>NA</v>
      </c>
      <c r="G15" t="str">
        <v>NA</v>
      </c>
    </row>
    <row r="16" spans="1:7" x14ac:dyDescent="0.3">
      <c r="A16" t="str">
        <v>2010992018 </v>
      </c>
      <c r="B16">
        <v>94.117647058823522</v>
      </c>
      <c r="C16">
        <v>77.777777777777786</v>
      </c>
      <c r="D16">
        <v>66.666666666666657</v>
      </c>
      <c r="E16" t="str">
        <v>NA</v>
      </c>
      <c r="F16" t="str">
        <v>NA</v>
      </c>
      <c r="G16" t="str">
        <v>NA</v>
      </c>
    </row>
    <row r="17" spans="1:7" x14ac:dyDescent="0.3">
      <c r="A17" t="str">
        <v>2010992163 </v>
      </c>
      <c r="B17">
        <v>100</v>
      </c>
      <c r="C17">
        <v>97.777777777777771</v>
      </c>
      <c r="D17">
        <v>95</v>
      </c>
      <c r="E17" t="str">
        <v>NA</v>
      </c>
      <c r="F17" t="str">
        <v>NA</v>
      </c>
      <c r="G17" t="str">
        <v>NA</v>
      </c>
    </row>
    <row r="18" spans="1:7" x14ac:dyDescent="0.3">
      <c r="A18" t="str">
        <v>2010992202 </v>
      </c>
      <c r="B18">
        <v>100</v>
      </c>
      <c r="C18">
        <v>67.857142857142861</v>
      </c>
      <c r="D18">
        <v>60</v>
      </c>
      <c r="E18" t="str">
        <v>NA</v>
      </c>
      <c r="F18" t="str">
        <v>NA</v>
      </c>
      <c r="G18" t="str">
        <v>NA</v>
      </c>
    </row>
    <row r="19" spans="1:7" x14ac:dyDescent="0.3">
      <c r="A19" t="str">
        <v>2010992203 </v>
      </c>
      <c r="B19">
        <v>100</v>
      </c>
      <c r="C19">
        <v>78.571428571428569</v>
      </c>
      <c r="D19">
        <v>90</v>
      </c>
      <c r="E19" t="str">
        <v>NA</v>
      </c>
      <c r="F19" t="str">
        <v>NA</v>
      </c>
      <c r="G19" t="str">
        <v>NA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1D850-D508-4E9D-8A6E-0407B0266B88}">
  <sheetPr codeName="Sheet17">
    <tabColor rgb="FFFFFF00"/>
  </sheetPr>
  <dimension ref="A1:G19"/>
  <sheetViews>
    <sheetView workbookViewId="0">
      <selection sqref="A1:XFD1048576"/>
    </sheetView>
  </sheetViews>
  <sheetFormatPr defaultRowHeight="14.4" x14ac:dyDescent="0.3"/>
  <cols>
    <col min="1" max="1" width="21" bestFit="1" customWidth="1"/>
    <col min="2" max="7" width="10.5546875" bestFit="1" customWidth="1"/>
  </cols>
  <sheetData>
    <row r="1" spans="1:7" x14ac:dyDescent="0.3">
      <c r="A1" t="str" cm="1">
        <f t="array" ref="A1:A19">INDEX('ST2 Result'!B:B, 1):INDEX('ST2 Result'!B:B, COUNTA('ST2 Result'!B:B))</f>
        <v>Admission No. (Roll No.)</v>
      </c>
      <c r="B1" t="str" cm="1">
        <f t="array" ref="B1:G1">'ST2 CO Question Map'!C1:H1</f>
        <v>EC118_CO1</v>
      </c>
      <c r="C1" t="str">
        <v>EC118_CO2</v>
      </c>
      <c r="D1" t="str">
        <v>EC118_CO3</v>
      </c>
      <c r="E1" t="str">
        <v>EC118_CO4</v>
      </c>
      <c r="F1" t="str">
        <v>EC118_CO5</v>
      </c>
      <c r="G1" t="str">
        <v>EC118_CO6</v>
      </c>
    </row>
    <row r="2" spans="1:7" x14ac:dyDescent="0.3">
      <c r="A2" t="str">
        <v>2010990089 </v>
      </c>
      <c r="B2" cm="1">
        <f t="array" ref="B2:B19">_xlfn.BYROW('ST2 Student Attainment percent'!B2:INDEX('ST2 Student Attainment percent'!B:B,COUNTA('ST2 Student Attainment percent'!B:B)),_xlfn.LAMBDA(_xlpm.score,_xlfn.IFS(_xlpm.score="NA","NA",_xlpm.score&gt;'OBE Details'!$B$2-1,3,_xlpm.score&gt;'OBE Details'!$B$3-1,2,_xlpm.score&gt;'OBE Details'!$B$4-1,1,_xlpm.score&lt;'OBE Details'!$B$4,0)))</f>
        <v>3</v>
      </c>
      <c r="C2" cm="1">
        <f t="array" ref="C2:C19">_xlfn.BYROW('ST2 Student Attainment percent'!C2:INDEX('ST2 Student Attainment percent'!C:C,COUNTA('ST2 Student Attainment percent'!C:C)),_xlfn.LAMBDA(_xlpm.score,_xlfn.IFS(_xlpm.score="NA","NA",_xlpm.score&gt;'OBE Details'!$B$2-1,3,_xlpm.score&gt;'OBE Details'!$B$3-1,2,_xlpm.score&gt;'OBE Details'!$B$4-1,1,_xlpm.score&lt;'OBE Details'!$B$4,0)))</f>
        <v>3</v>
      </c>
      <c r="D2" cm="1">
        <f t="array" ref="D2:D19">_xlfn.BYROW('ST2 Student Attainment percent'!D2:INDEX('ST2 Student Attainment percent'!D:D,COUNTA('ST2 Student Attainment percent'!D:D)),_xlfn.LAMBDA(_xlpm.score,_xlfn.IFS(_xlpm.score="NA","NA",_xlpm.score&gt;'OBE Details'!$B$2-1,3,_xlpm.score&gt;'OBE Details'!$B$3-1,2,_xlpm.score&gt;'OBE Details'!$B$4-1,1,_xlpm.score&lt;'OBE Details'!$B$4,0)))</f>
        <v>3</v>
      </c>
      <c r="E2" t="str" cm="1">
        <f t="array" ref="E2:E19">_xlfn.BYROW('ST2 Student Attainment percent'!E2:INDEX('ST2 Student Attainment percent'!E:E,COUNTA('ST2 Student Attainment percent'!E:E)),_xlfn.LAMBDA(_xlpm.score,_xlfn.IFS(_xlpm.score="NA","NA",_xlpm.score&gt;'OBE Details'!$B$2-1,3,_xlpm.score&gt;'OBE Details'!$B$3-1,2,_xlpm.score&gt;'OBE Details'!$B$4-1,1,_xlpm.score&lt;'OBE Details'!$B$4,0)))</f>
        <v>NA</v>
      </c>
      <c r="F2" t="str" cm="1">
        <f t="array" ref="F2:F19">_xlfn.BYROW('ST2 Student Attainment percent'!F2:INDEX('ST2 Student Attainment percent'!F:F,COUNTA('ST2 Student Attainment percent'!F:F)),_xlfn.LAMBDA(_xlpm.score,_xlfn.IFS(_xlpm.score="NA","NA",_xlpm.score&gt;'OBE Details'!$B$2-1,3,_xlpm.score&gt;'OBE Details'!$B$3-1,2,_xlpm.score&gt;'OBE Details'!$B$4-1,1,_xlpm.score&lt;'OBE Details'!$B$4,0)))</f>
        <v>NA</v>
      </c>
      <c r="G2" t="str" cm="1">
        <f t="array" ref="G2:G19">_xlfn.BYROW('ST2 Student Attainment percent'!G2:INDEX('ST2 Student Attainment percent'!G:G,COUNTA('ST2 Student Attainment percent'!G:G)),_xlfn.LAMBDA(_xlpm.score,_xlfn.IFS(_xlpm.score="NA","NA",_xlpm.score&gt;'OBE Details'!$B$2-1,3,_xlpm.score&gt;'OBE Details'!$B$3-1,2,_xlpm.score&gt;'OBE Details'!$B$4-1,1,_xlpm.score&lt;'OBE Details'!$B$4,0)))</f>
        <v>NA</v>
      </c>
    </row>
    <row r="3" spans="1:7" x14ac:dyDescent="0.3">
      <c r="A3" t="str">
        <v>2010992002 </v>
      </c>
      <c r="B3">
        <v>3</v>
      </c>
      <c r="C3">
        <v>3</v>
      </c>
      <c r="D3">
        <v>3</v>
      </c>
      <c r="E3" t="str">
        <v>NA</v>
      </c>
      <c r="F3" t="str">
        <v>NA</v>
      </c>
      <c r="G3" t="str">
        <v>NA</v>
      </c>
    </row>
    <row r="4" spans="1:7" x14ac:dyDescent="0.3">
      <c r="A4" t="str">
        <v>2010992004 </v>
      </c>
      <c r="B4" t="str">
        <v>NA</v>
      </c>
      <c r="C4">
        <v>3</v>
      </c>
      <c r="D4">
        <v>3</v>
      </c>
      <c r="E4" t="str">
        <v>NA</v>
      </c>
      <c r="F4" t="str">
        <v>NA</v>
      </c>
      <c r="G4" t="str">
        <v>NA</v>
      </c>
    </row>
    <row r="5" spans="1:7" x14ac:dyDescent="0.3">
      <c r="A5" t="str">
        <v>2010992005 </v>
      </c>
      <c r="B5" t="str">
        <v>NA</v>
      </c>
      <c r="C5">
        <v>3</v>
      </c>
      <c r="D5">
        <v>3</v>
      </c>
      <c r="E5" t="str">
        <v>NA</v>
      </c>
      <c r="F5" t="str">
        <v>NA</v>
      </c>
      <c r="G5" t="str">
        <v>NA</v>
      </c>
    </row>
    <row r="6" spans="1:7" x14ac:dyDescent="0.3">
      <c r="A6" t="str">
        <v>2010992006 </v>
      </c>
      <c r="B6" t="str">
        <v>NA</v>
      </c>
      <c r="C6" t="str">
        <v>NA</v>
      </c>
      <c r="D6" t="str">
        <v>NA</v>
      </c>
      <c r="E6" t="str">
        <v>NA</v>
      </c>
      <c r="F6" t="str">
        <v>NA</v>
      </c>
      <c r="G6" t="str">
        <v>NA</v>
      </c>
    </row>
    <row r="7" spans="1:7" x14ac:dyDescent="0.3">
      <c r="A7" t="str">
        <v>2010992008 </v>
      </c>
      <c r="B7" t="str">
        <v>NA</v>
      </c>
      <c r="C7" t="str">
        <v>NA</v>
      </c>
      <c r="D7" t="str">
        <v>NA</v>
      </c>
      <c r="E7" t="str">
        <v>NA</v>
      </c>
      <c r="F7" t="str">
        <v>NA</v>
      </c>
      <c r="G7" t="str">
        <v>NA</v>
      </c>
    </row>
    <row r="8" spans="1:7" x14ac:dyDescent="0.3">
      <c r="A8" t="str">
        <v>2010992009 </v>
      </c>
      <c r="B8">
        <v>3</v>
      </c>
      <c r="C8">
        <v>3</v>
      </c>
      <c r="D8">
        <v>3</v>
      </c>
      <c r="E8" t="str">
        <v>NA</v>
      </c>
      <c r="F8" t="str">
        <v>NA</v>
      </c>
      <c r="G8" t="str">
        <v>NA</v>
      </c>
    </row>
    <row r="9" spans="1:7" x14ac:dyDescent="0.3">
      <c r="A9" t="str">
        <v>2010992010 </v>
      </c>
      <c r="B9" t="str">
        <v>NA</v>
      </c>
      <c r="C9" t="str">
        <v>NA</v>
      </c>
      <c r="D9" t="str">
        <v>NA</v>
      </c>
      <c r="E9" t="str">
        <v>NA</v>
      </c>
      <c r="F9" t="str">
        <v>NA</v>
      </c>
      <c r="G9" t="str">
        <v>NA</v>
      </c>
    </row>
    <row r="10" spans="1:7" x14ac:dyDescent="0.3">
      <c r="A10" t="str">
        <v>2010992011 </v>
      </c>
      <c r="B10" t="str">
        <v>NA</v>
      </c>
      <c r="C10">
        <v>3</v>
      </c>
      <c r="D10">
        <v>3</v>
      </c>
      <c r="E10" t="str">
        <v>NA</v>
      </c>
      <c r="F10" t="str">
        <v>NA</v>
      </c>
      <c r="G10" t="str">
        <v>NA</v>
      </c>
    </row>
    <row r="11" spans="1:7" x14ac:dyDescent="0.3">
      <c r="A11" t="str">
        <v>2010992012 </v>
      </c>
      <c r="B11">
        <v>3</v>
      </c>
      <c r="C11">
        <v>3</v>
      </c>
      <c r="D11">
        <v>3</v>
      </c>
      <c r="E11" t="str">
        <v>NA</v>
      </c>
      <c r="F11" t="str">
        <v>NA</v>
      </c>
      <c r="G11" t="str">
        <v>NA</v>
      </c>
    </row>
    <row r="12" spans="1:7" x14ac:dyDescent="0.3">
      <c r="A12" t="str">
        <v>2010992014 </v>
      </c>
      <c r="B12" t="str">
        <v>NA</v>
      </c>
      <c r="C12">
        <v>3</v>
      </c>
      <c r="D12">
        <v>3</v>
      </c>
      <c r="E12" t="str">
        <v>NA</v>
      </c>
      <c r="F12" t="str">
        <v>NA</v>
      </c>
      <c r="G12" t="str">
        <v>NA</v>
      </c>
    </row>
    <row r="13" spans="1:7" x14ac:dyDescent="0.3">
      <c r="A13" t="str">
        <v>2010992015 </v>
      </c>
      <c r="B13">
        <v>3</v>
      </c>
      <c r="C13">
        <v>0</v>
      </c>
      <c r="D13">
        <v>3</v>
      </c>
      <c r="E13" t="str">
        <v>NA</v>
      </c>
      <c r="F13" t="str">
        <v>NA</v>
      </c>
      <c r="G13" t="str">
        <v>NA</v>
      </c>
    </row>
    <row r="14" spans="1:7" x14ac:dyDescent="0.3">
      <c r="A14" t="str">
        <v>2010992016 </v>
      </c>
      <c r="B14">
        <v>3</v>
      </c>
      <c r="C14">
        <v>3</v>
      </c>
      <c r="D14">
        <v>3</v>
      </c>
      <c r="E14" t="str">
        <v>NA</v>
      </c>
      <c r="F14" t="str">
        <v>NA</v>
      </c>
      <c r="G14" t="str">
        <v>NA</v>
      </c>
    </row>
    <row r="15" spans="1:7" x14ac:dyDescent="0.3">
      <c r="A15" t="str">
        <v>2010992017 </v>
      </c>
      <c r="B15" t="str">
        <v>NA</v>
      </c>
      <c r="C15">
        <v>3</v>
      </c>
      <c r="D15">
        <v>3</v>
      </c>
      <c r="E15" t="str">
        <v>NA</v>
      </c>
      <c r="F15" t="str">
        <v>NA</v>
      </c>
      <c r="G15" t="str">
        <v>NA</v>
      </c>
    </row>
    <row r="16" spans="1:7" x14ac:dyDescent="0.3">
      <c r="A16" t="str">
        <v>2010992018 </v>
      </c>
      <c r="B16">
        <v>3</v>
      </c>
      <c r="C16">
        <v>3</v>
      </c>
      <c r="D16">
        <v>3</v>
      </c>
      <c r="E16" t="str">
        <v>NA</v>
      </c>
      <c r="F16" t="str">
        <v>NA</v>
      </c>
      <c r="G16" t="str">
        <v>NA</v>
      </c>
    </row>
    <row r="17" spans="1:7" x14ac:dyDescent="0.3">
      <c r="A17" t="str">
        <v>2010992163 </v>
      </c>
      <c r="B17">
        <v>3</v>
      </c>
      <c r="C17">
        <v>3</v>
      </c>
      <c r="D17">
        <v>3</v>
      </c>
      <c r="E17" t="str">
        <v>NA</v>
      </c>
      <c r="F17" t="str">
        <v>NA</v>
      </c>
      <c r="G17" t="str">
        <v>NA</v>
      </c>
    </row>
    <row r="18" spans="1:7" x14ac:dyDescent="0.3">
      <c r="A18" t="str">
        <v>2010992202 </v>
      </c>
      <c r="B18">
        <v>3</v>
      </c>
      <c r="C18">
        <v>3</v>
      </c>
      <c r="D18">
        <v>3</v>
      </c>
      <c r="E18" t="str">
        <v>NA</v>
      </c>
      <c r="F18" t="str">
        <v>NA</v>
      </c>
      <c r="G18" t="str">
        <v>NA</v>
      </c>
    </row>
    <row r="19" spans="1:7" x14ac:dyDescent="0.3">
      <c r="A19" t="str">
        <v>2010992203 </v>
      </c>
      <c r="B19">
        <v>3</v>
      </c>
      <c r="C19">
        <v>3</v>
      </c>
      <c r="D19">
        <v>3</v>
      </c>
      <c r="E19" t="str">
        <v>NA</v>
      </c>
      <c r="F19" t="str">
        <v>NA</v>
      </c>
      <c r="G19" t="str">
        <v>NA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45D1-C371-4B37-AD40-D2BE9603ECC6}">
  <sheetPr codeName="Sheet18">
    <tabColor rgb="FFFFFF00"/>
  </sheetPr>
  <dimension ref="A1:G19"/>
  <sheetViews>
    <sheetView workbookViewId="0">
      <selection sqref="A1:XFD1048576"/>
    </sheetView>
  </sheetViews>
  <sheetFormatPr defaultRowHeight="14.4" x14ac:dyDescent="0.3"/>
  <cols>
    <col min="1" max="1" width="21" bestFit="1" customWidth="1"/>
    <col min="2" max="7" width="10.5546875" bestFit="1" customWidth="1"/>
  </cols>
  <sheetData>
    <row r="1" spans="1:7" x14ac:dyDescent="0.3">
      <c r="A1" t="str" cm="1">
        <f t="array" ref="A1:A19">INDEX('ST2 Result'!B:B, 1):INDEX('ST2 Result'!B:B, COUNTA('ST2 Result'!B:B))</f>
        <v>Admission No. (Roll No.)</v>
      </c>
      <c r="B1" t="str" cm="1">
        <f t="array" ref="B1:G1">'ST2 CO Question Map'!C1:H1</f>
        <v>EC118_CO1</v>
      </c>
      <c r="C1" t="str">
        <v>EC118_CO2</v>
      </c>
      <c r="D1" t="str">
        <v>EC118_CO3</v>
      </c>
      <c r="E1" t="str">
        <v>EC118_CO4</v>
      </c>
      <c r="F1" t="str">
        <v>EC118_CO5</v>
      </c>
      <c r="G1" t="str">
        <v>EC118_CO6</v>
      </c>
    </row>
    <row r="2" spans="1:7" x14ac:dyDescent="0.3">
      <c r="A2" t="str">
        <v>2010990089 </v>
      </c>
      <c r="B2" t="str" cm="1">
        <f t="array" ref="B2:B19">_xlfn.BYROW('ST2 Student Attainment percent'!B2:INDEX('ST2 Student Attainment percent'!B:B,COUNTA('ST2 Student Attainment percent'!B:B)),_xlfn.LAMBDA(_xlpm.score,_xlfn.IFS(_xlpm.score="NA","NA",_xlpm.score&gt;='OBE Details'!$B$5,"Y",_xlpm.score&lt;'OBE Details'!$B$5,"N")))</f>
        <v>Y</v>
      </c>
      <c r="C2" t="str" cm="1">
        <f t="array" ref="C2:C19">_xlfn.BYROW('ST2 Student Attainment percent'!C2:INDEX('ST2 Student Attainment percent'!C:C,COUNTA('ST2 Student Attainment percent'!C:C)),_xlfn.LAMBDA(_xlpm.score,_xlfn.IFS(_xlpm.score="NA","NA",_xlpm.score&gt;='OBE Details'!$B$5,"Y",_xlpm.score&lt;'OBE Details'!$B$5,"N")))</f>
        <v>Y</v>
      </c>
      <c r="D2" t="str" cm="1">
        <f t="array" ref="D2:D19">_xlfn.BYROW('ST2 Student Attainment percent'!D2:INDEX('ST2 Student Attainment percent'!D:D,COUNTA('ST2 Student Attainment percent'!D:D)),_xlfn.LAMBDA(_xlpm.score,_xlfn.IFS(_xlpm.score="NA","NA",_xlpm.score&gt;='OBE Details'!$B$5,"Y",_xlpm.score&lt;'OBE Details'!$B$5,"N")))</f>
        <v>Y</v>
      </c>
      <c r="E2" t="str" cm="1">
        <f t="array" ref="E2:E19">_xlfn.BYROW('ST2 Student Attainment percent'!E2:INDEX('ST2 Student Attainment percent'!E:E,COUNTA('ST2 Student Attainment percent'!E:E)),_xlfn.LAMBDA(_xlpm.score,_xlfn.IFS(_xlpm.score="NA","NA",_xlpm.score&gt;='OBE Details'!$B$5,"Y",_xlpm.score&lt;'OBE Details'!$B$5,"N")))</f>
        <v>NA</v>
      </c>
      <c r="F2" t="str" cm="1">
        <f t="array" ref="F2:F19">_xlfn.BYROW('ST2 Student Attainment percent'!F2:INDEX('ST2 Student Attainment percent'!F:F,COUNTA('ST2 Student Attainment percent'!F:F)),_xlfn.LAMBDA(_xlpm.score,_xlfn.IFS(_xlpm.score="NA","NA",_xlpm.score&gt;='OBE Details'!$B$5,"Y",_xlpm.score&lt;'OBE Details'!$B$5,"N")))</f>
        <v>NA</v>
      </c>
      <c r="G2" t="str" cm="1">
        <f t="array" ref="G2:G19">_xlfn.BYROW('ST2 Student Attainment percent'!G2:INDEX('ST2 Student Attainment percent'!G:G,COUNTA('ST2 Student Attainment percent'!G:G)),_xlfn.LAMBDA(_xlpm.score,_xlfn.IFS(_xlpm.score="NA","NA",_xlpm.score&gt;='OBE Details'!$B$5,"Y",_xlpm.score&lt;'OBE Details'!$B$5,"N")))</f>
        <v>NA</v>
      </c>
    </row>
    <row r="3" spans="1:7" x14ac:dyDescent="0.3">
      <c r="A3" t="str">
        <v>2010992002 </v>
      </c>
      <c r="B3" t="str">
        <v>Y</v>
      </c>
      <c r="C3" t="str">
        <v>Y</v>
      </c>
      <c r="D3" t="str">
        <v>Y</v>
      </c>
      <c r="E3" t="str">
        <v>NA</v>
      </c>
      <c r="F3" t="str">
        <v>NA</v>
      </c>
      <c r="G3" t="str">
        <v>NA</v>
      </c>
    </row>
    <row r="4" spans="1:7" x14ac:dyDescent="0.3">
      <c r="A4" t="str">
        <v>2010992004 </v>
      </c>
      <c r="B4" t="str">
        <v>NA</v>
      </c>
      <c r="C4" t="str">
        <v>Y</v>
      </c>
      <c r="D4" t="str">
        <v>Y</v>
      </c>
      <c r="E4" t="str">
        <v>NA</v>
      </c>
      <c r="F4" t="str">
        <v>NA</v>
      </c>
      <c r="G4" t="str">
        <v>NA</v>
      </c>
    </row>
    <row r="5" spans="1:7" x14ac:dyDescent="0.3">
      <c r="A5" t="str">
        <v>2010992005 </v>
      </c>
      <c r="B5" t="str">
        <v>NA</v>
      </c>
      <c r="C5" t="str">
        <v>Y</v>
      </c>
      <c r="D5" t="str">
        <v>Y</v>
      </c>
      <c r="E5" t="str">
        <v>NA</v>
      </c>
      <c r="F5" t="str">
        <v>NA</v>
      </c>
      <c r="G5" t="str">
        <v>NA</v>
      </c>
    </row>
    <row r="6" spans="1:7" x14ac:dyDescent="0.3">
      <c r="A6" t="str">
        <v>2010992006 </v>
      </c>
      <c r="B6" t="str">
        <v>NA</v>
      </c>
      <c r="C6" t="str">
        <v>NA</v>
      </c>
      <c r="D6" t="str">
        <v>NA</v>
      </c>
      <c r="E6" t="str">
        <v>NA</v>
      </c>
      <c r="F6" t="str">
        <v>NA</v>
      </c>
      <c r="G6" t="str">
        <v>NA</v>
      </c>
    </row>
    <row r="7" spans="1:7" x14ac:dyDescent="0.3">
      <c r="A7" t="str">
        <v>2010992008 </v>
      </c>
      <c r="B7" t="str">
        <v>NA</v>
      </c>
      <c r="C7" t="str">
        <v>NA</v>
      </c>
      <c r="D7" t="str">
        <v>NA</v>
      </c>
      <c r="E7" t="str">
        <v>NA</v>
      </c>
      <c r="F7" t="str">
        <v>NA</v>
      </c>
      <c r="G7" t="str">
        <v>NA</v>
      </c>
    </row>
    <row r="8" spans="1:7" x14ac:dyDescent="0.3">
      <c r="A8" t="str">
        <v>2010992009 </v>
      </c>
      <c r="B8" t="str">
        <v>Y</v>
      </c>
      <c r="C8" t="str">
        <v>Y</v>
      </c>
      <c r="D8" t="str">
        <v>Y</v>
      </c>
      <c r="E8" t="str">
        <v>NA</v>
      </c>
      <c r="F8" t="str">
        <v>NA</v>
      </c>
      <c r="G8" t="str">
        <v>NA</v>
      </c>
    </row>
    <row r="9" spans="1:7" x14ac:dyDescent="0.3">
      <c r="A9" t="str">
        <v>2010992010 </v>
      </c>
      <c r="B9" t="str">
        <v>NA</v>
      </c>
      <c r="C9" t="str">
        <v>NA</v>
      </c>
      <c r="D9" t="str">
        <v>NA</v>
      </c>
      <c r="E9" t="str">
        <v>NA</v>
      </c>
      <c r="F9" t="str">
        <v>NA</v>
      </c>
      <c r="G9" t="str">
        <v>NA</v>
      </c>
    </row>
    <row r="10" spans="1:7" x14ac:dyDescent="0.3">
      <c r="A10" t="str">
        <v>2010992011 </v>
      </c>
      <c r="B10" t="str">
        <v>NA</v>
      </c>
      <c r="C10" t="str">
        <v>Y</v>
      </c>
      <c r="D10" t="str">
        <v>Y</v>
      </c>
      <c r="E10" t="str">
        <v>NA</v>
      </c>
      <c r="F10" t="str">
        <v>NA</v>
      </c>
      <c r="G10" t="str">
        <v>NA</v>
      </c>
    </row>
    <row r="11" spans="1:7" x14ac:dyDescent="0.3">
      <c r="A11" t="str">
        <v>2010992012 </v>
      </c>
      <c r="B11" t="str">
        <v>Y</v>
      </c>
      <c r="C11" t="str">
        <v>Y</v>
      </c>
      <c r="D11" t="str">
        <v>Y</v>
      </c>
      <c r="E11" t="str">
        <v>NA</v>
      </c>
      <c r="F11" t="str">
        <v>NA</v>
      </c>
      <c r="G11" t="str">
        <v>NA</v>
      </c>
    </row>
    <row r="12" spans="1:7" x14ac:dyDescent="0.3">
      <c r="A12" t="str">
        <v>2010992014 </v>
      </c>
      <c r="B12" t="str">
        <v>NA</v>
      </c>
      <c r="C12" t="str">
        <v>Y</v>
      </c>
      <c r="D12" t="str">
        <v>Y</v>
      </c>
      <c r="E12" t="str">
        <v>NA</v>
      </c>
      <c r="F12" t="str">
        <v>NA</v>
      </c>
      <c r="G12" t="str">
        <v>NA</v>
      </c>
    </row>
    <row r="13" spans="1:7" x14ac:dyDescent="0.3">
      <c r="A13" t="str">
        <v>2010992015 </v>
      </c>
      <c r="B13" t="str">
        <v>Y</v>
      </c>
      <c r="C13" t="str">
        <v>N</v>
      </c>
      <c r="D13" t="str">
        <v>Y</v>
      </c>
      <c r="E13" t="str">
        <v>NA</v>
      </c>
      <c r="F13" t="str">
        <v>NA</v>
      </c>
      <c r="G13" t="str">
        <v>NA</v>
      </c>
    </row>
    <row r="14" spans="1:7" x14ac:dyDescent="0.3">
      <c r="A14" t="str">
        <v>2010992016 </v>
      </c>
      <c r="B14" t="str">
        <v>Y</v>
      </c>
      <c r="C14" t="str">
        <v>Y</v>
      </c>
      <c r="D14" t="str">
        <v>Y</v>
      </c>
      <c r="E14" t="str">
        <v>NA</v>
      </c>
      <c r="F14" t="str">
        <v>NA</v>
      </c>
      <c r="G14" t="str">
        <v>NA</v>
      </c>
    </row>
    <row r="15" spans="1:7" x14ac:dyDescent="0.3">
      <c r="A15" t="str">
        <v>2010992017 </v>
      </c>
      <c r="B15" t="str">
        <v>NA</v>
      </c>
      <c r="C15" t="str">
        <v>Y</v>
      </c>
      <c r="D15" t="str">
        <v>Y</v>
      </c>
      <c r="E15" t="str">
        <v>NA</v>
      </c>
      <c r="F15" t="str">
        <v>NA</v>
      </c>
      <c r="G15" t="str">
        <v>NA</v>
      </c>
    </row>
    <row r="16" spans="1:7" x14ac:dyDescent="0.3">
      <c r="A16" t="str">
        <v>2010992018 </v>
      </c>
      <c r="B16" t="str">
        <v>Y</v>
      </c>
      <c r="C16" t="str">
        <v>Y</v>
      </c>
      <c r="D16" t="str">
        <v>Y</v>
      </c>
      <c r="E16" t="str">
        <v>NA</v>
      </c>
      <c r="F16" t="str">
        <v>NA</v>
      </c>
      <c r="G16" t="str">
        <v>NA</v>
      </c>
    </row>
    <row r="17" spans="1:7" x14ac:dyDescent="0.3">
      <c r="A17" t="str">
        <v>2010992163 </v>
      </c>
      <c r="B17" t="str">
        <v>Y</v>
      </c>
      <c r="C17" t="str">
        <v>Y</v>
      </c>
      <c r="D17" t="str">
        <v>Y</v>
      </c>
      <c r="E17" t="str">
        <v>NA</v>
      </c>
      <c r="F17" t="str">
        <v>NA</v>
      </c>
      <c r="G17" t="str">
        <v>NA</v>
      </c>
    </row>
    <row r="18" spans="1:7" x14ac:dyDescent="0.3">
      <c r="A18" t="str">
        <v>2010992202 </v>
      </c>
      <c r="B18" t="str">
        <v>Y</v>
      </c>
      <c r="C18" t="str">
        <v>Y</v>
      </c>
      <c r="D18" t="str">
        <v>Y</v>
      </c>
      <c r="E18" t="str">
        <v>NA</v>
      </c>
      <c r="F18" t="str">
        <v>NA</v>
      </c>
      <c r="G18" t="str">
        <v>NA</v>
      </c>
    </row>
    <row r="19" spans="1:7" x14ac:dyDescent="0.3">
      <c r="A19" t="str">
        <v>2010992203 </v>
      </c>
      <c r="B19" t="str">
        <v>Y</v>
      </c>
      <c r="C19" t="str">
        <v>Y</v>
      </c>
      <c r="D19" t="str">
        <v>Y</v>
      </c>
      <c r="E19" t="str">
        <v>NA</v>
      </c>
      <c r="F19" t="str">
        <v>NA</v>
      </c>
      <c r="G19" t="str">
        <v>NA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BFA36-5106-4889-BBF2-5414BCF6404F}">
  <sheetPr codeName="Sheet24">
    <tabColor rgb="FFFFFF00"/>
  </sheetPr>
  <dimension ref="A1:X19"/>
  <sheetViews>
    <sheetView workbookViewId="0"/>
  </sheetViews>
  <sheetFormatPr defaultRowHeight="14.4" x14ac:dyDescent="0.3"/>
  <cols>
    <col min="1" max="1" width="21" bestFit="1" customWidth="1"/>
    <col min="2" max="3" width="14.44140625" bestFit="1" customWidth="1"/>
    <col min="4" max="4" width="14.33203125" bestFit="1" customWidth="1"/>
    <col min="5" max="6" width="14.44140625" bestFit="1" customWidth="1"/>
    <col min="7" max="14" width="14.77734375" bestFit="1" customWidth="1"/>
    <col min="15" max="21" width="15.77734375" bestFit="1" customWidth="1"/>
    <col min="22" max="22" width="21.88671875" bestFit="1" customWidth="1"/>
    <col min="23" max="24" width="15.44140625" bestFit="1" customWidth="1"/>
  </cols>
  <sheetData>
    <row r="1" spans="1:24" x14ac:dyDescent="0.3">
      <c r="A1" t="str" cm="1">
        <f t="array" ref="A1:A19">INDEX('ST3 Result'!B:B, 1):INDEX('ST3 Result'!B:B, COUNTA('ST3 Result'!B:B))</f>
        <v>Admission No. (Roll No.)</v>
      </c>
      <c r="B1" t="str" cm="1">
        <f t="array" ref="B1:B19">INDEX('ST3 Result'!M:M, 1):INDEX('ST3 Result'!M:M, COUNTA('ST3 Result'!M:M) )</f>
        <v>20EC118-ST3-1a</v>
      </c>
      <c r="C1" t="str" cm="1">
        <f t="array" ref="C1:C19">INDEX('ST3 Result'!N:N, 1):INDEX('ST3 Result'!N:N, COUNTA('ST3 Result'!N:N) )</f>
        <v>20EC118-ST3-1b</v>
      </c>
      <c r="D1" t="str" cm="1">
        <f t="array" ref="D1:D19">INDEX('ST3 Result'!O:O, 1):INDEX('ST3 Result'!O:O, COUNTA('ST3 Result'!O:O) )</f>
        <v>20EC118-ST3-1c</v>
      </c>
      <c r="E1" t="str" cm="1">
        <f t="array" ref="E1:E19">INDEX('ST3 Result'!P:P, 1):INDEX('ST3 Result'!P:P, COUNTA('ST3 Result'!P:P) )</f>
        <v>20EC118-ST3-1d</v>
      </c>
      <c r="F1" t="str" cm="1">
        <f t="array" ref="F1:F19">INDEX('ST3 Result'!Q:Q, 1):INDEX('ST3 Result'!Q:Q, COUNTA('ST3 Result'!Q:Q) )</f>
        <v>20EC118-ST3-1e</v>
      </c>
      <c r="G1" t="str" cm="1">
        <f t="array" ref="G1:G19">INDEX('ST3 Result'!R:R, 1):INDEX('ST3 Result'!R:R, COUNTA('ST3 Result'!R:R) )</f>
        <v>20EC118-ST3-Q2</v>
      </c>
      <c r="H1" t="str" cm="1">
        <f t="array" ref="H1:H19">INDEX('ST3 Result'!S:S, 1):INDEX('ST3 Result'!S:S, COUNTA('ST3 Result'!S:S) )</f>
        <v>20EC118-ST3-Q3</v>
      </c>
      <c r="I1" t="str" cm="1">
        <f t="array" ref="I1:I19">INDEX('ST3 Result'!T:T, 1):INDEX('ST3 Result'!T:T, COUNTA('ST3 Result'!T:T) )</f>
        <v>20EC118-ST3-Q4</v>
      </c>
      <c r="J1" t="str" cm="1">
        <f t="array" ref="J1:J19">INDEX('ST3 Result'!U:U, 1):INDEX('ST3 Result'!U:U, COUNTA('ST3 Result'!U:U) )</f>
        <v>20EC118-ST3-Q5</v>
      </c>
      <c r="K1" t="str" cm="1">
        <f t="array" ref="K1:K19">INDEX('ST3 Result'!V:V, 1):INDEX('ST3 Result'!V:V, COUNTA('ST3 Result'!V:V) )</f>
        <v>20EC118-ST3-Q6</v>
      </c>
      <c r="L1" t="str" cm="1">
        <f t="array" ref="L1:L19">INDEX('ST3 Result'!W:W, 1):INDEX('ST3 Result'!W:W, COUNTA('ST3 Result'!W:W) )</f>
        <v>20EC118-ST3-Q7</v>
      </c>
      <c r="M1" t="str" cm="1">
        <f t="array" ref="M1:M19">INDEX('ST3 Result'!X:X, 1):INDEX('ST3 Result'!X:X, COUNTA('ST3 Result'!X:X) )</f>
        <v>20EC118-ST3-Q8</v>
      </c>
      <c r="N1" t="str" cm="1">
        <f t="array" ref="N1:N19">INDEX('ST3 Result'!Y:Y, 1):INDEX('ST3 Result'!Y:Y, COUNTA('ST3 Result'!Y:Y) )</f>
        <v>20EC118-ST3-Q9</v>
      </c>
      <c r="O1" t="str" cm="1">
        <f t="array" ref="O1:O19">INDEX('ST3 Result'!Z:Z, 1):INDEX('ST3 Result'!Z:Z, COUNTA('ST3 Result'!Z:Z) )</f>
        <v>20EC118-ST3-Q10</v>
      </c>
      <c r="P1" t="str" cm="1">
        <f t="array" ref="P1:P19">INDEX('ST3 Result'!AA:AA, 1):INDEX('ST3 Result'!AA:AA, COUNTA('ST3 Result'!AA:AA) )</f>
        <v>20EC118-ST3-Q11</v>
      </c>
      <c r="Q1" t="str" cm="1">
        <f t="array" ref="Q1:Q19">INDEX('ST3 Result'!AB:AB, 1):INDEX('ST3 Result'!AB:AB, COUNTA('ST3 Result'!AB:AB) )</f>
        <v>20EC118-ST3-Q12</v>
      </c>
      <c r="R1" t="str" cm="1">
        <f t="array" ref="R1:R19">INDEX('ST3 Result'!AC:AC, 1):INDEX('ST3 Result'!AC:AC, COUNTA('ST3 Result'!AC:AC) )</f>
        <v>20EC118-ST3-Q13</v>
      </c>
      <c r="S1" t="str" cm="1">
        <f t="array" ref="S1:S19">INDEX('ST3 Result'!AD:AD, 1):INDEX('ST3 Result'!AD:AD, COUNTA('ST3 Result'!AD:AD) )</f>
        <v>20EC118-ST3-Q14</v>
      </c>
      <c r="T1" t="str" cm="1">
        <f t="array" ref="T1:T19">INDEX('ST3 Result'!AE:AE, 1):INDEX('ST3 Result'!AE:AE, COUNTA('ST3 Result'!AE:AE) )</f>
        <v>20EC118-ST3-Q15</v>
      </c>
      <c r="U1" t="str" cm="1">
        <f t="array" ref="U1:U19">INDEX('ST3 Result'!AF:AF, 1):INDEX('ST3 Result'!AF:AF, COUNTA('ST3 Result'!AF:AF) )</f>
        <v>20EC118-ST3-Q16</v>
      </c>
      <c r="V1" t="str" cm="1">
        <f t="array" ref="V1:V19">INDEX('ST3 Result'!AG:AG, 1):INDEX('ST3 Result'!AG:AG, COUNTA('ST3 Result'!AG:AG) )</f>
        <v>20EC118-ST3-Assignment</v>
      </c>
      <c r="W1" t="str" cm="1">
        <f t="array" ref="W1:W19">INDEX('ST3 Result'!AH:AH, 1):INDEX('ST3 Result'!AH:AH, COUNTA('ST3 Result'!AH:AH) )</f>
        <v>20EC118-ST3-FA1</v>
      </c>
      <c r="X1" t="str" cm="1">
        <f t="array" ref="X1:X19">INDEX('ST3 Result'!AI:AI, 1):INDEX('ST3 Result'!AI:AI, COUNTA('ST3 Result'!AI:AI) )</f>
        <v>20EC118-ST3-FA2</v>
      </c>
    </row>
    <row r="2" spans="1:24" x14ac:dyDescent="0.3">
      <c r="A2" t="str">
        <v>2010990089 </v>
      </c>
      <c r="B2">
        <v>1</v>
      </c>
      <c r="C2">
        <v>1</v>
      </c>
      <c r="D2">
        <v>1</v>
      </c>
      <c r="E2">
        <v>1</v>
      </c>
      <c r="F2">
        <v>1</v>
      </c>
      <c r="G2" t="str">
        <v>U</v>
      </c>
      <c r="H2" t="str">
        <v>U</v>
      </c>
      <c r="I2" t="str">
        <v>U</v>
      </c>
      <c r="J2" t="str">
        <v>U</v>
      </c>
      <c r="K2" t="str">
        <v>U</v>
      </c>
      <c r="L2" t="str">
        <v>U</v>
      </c>
      <c r="M2" t="str">
        <v>U</v>
      </c>
      <c r="N2" t="str">
        <v>U</v>
      </c>
      <c r="O2" t="str">
        <v>U</v>
      </c>
      <c r="P2" t="str">
        <v>U</v>
      </c>
      <c r="Q2" t="str">
        <v>U</v>
      </c>
      <c r="R2">
        <v>1</v>
      </c>
      <c r="S2" t="str">
        <v>U</v>
      </c>
      <c r="T2" t="str">
        <v>U</v>
      </c>
      <c r="U2" t="str">
        <v>U</v>
      </c>
      <c r="V2" t="str">
        <v>U</v>
      </c>
      <c r="W2" t="str">
        <v>U</v>
      </c>
      <c r="X2" t="str">
        <v>U</v>
      </c>
    </row>
    <row r="3" spans="1:24" x14ac:dyDescent="0.3">
      <c r="A3" t="str">
        <v>2010992002 </v>
      </c>
      <c r="B3">
        <v>1</v>
      </c>
      <c r="C3">
        <v>1</v>
      </c>
      <c r="D3">
        <v>1</v>
      </c>
      <c r="E3">
        <v>1</v>
      </c>
      <c r="F3">
        <v>1</v>
      </c>
      <c r="G3">
        <v>2</v>
      </c>
      <c r="H3">
        <v>2</v>
      </c>
      <c r="I3" t="str">
        <v>U</v>
      </c>
      <c r="J3">
        <v>2</v>
      </c>
      <c r="K3">
        <v>2</v>
      </c>
      <c r="L3">
        <v>2</v>
      </c>
      <c r="M3">
        <v>5</v>
      </c>
      <c r="N3">
        <v>5</v>
      </c>
      <c r="O3">
        <v>5</v>
      </c>
      <c r="P3" t="str">
        <v>U</v>
      </c>
      <c r="Q3">
        <v>5</v>
      </c>
      <c r="R3" t="str">
        <v>U</v>
      </c>
      <c r="S3" t="str">
        <v>U</v>
      </c>
      <c r="T3" t="str">
        <v>U</v>
      </c>
      <c r="U3" t="str">
        <v>U</v>
      </c>
      <c r="V3" t="str">
        <v>U</v>
      </c>
      <c r="W3" t="str">
        <v>U</v>
      </c>
      <c r="X3" t="str">
        <v>U</v>
      </c>
    </row>
    <row r="4" spans="1:24" x14ac:dyDescent="0.3">
      <c r="A4" t="str">
        <v>2010992004 </v>
      </c>
      <c r="B4">
        <v>1</v>
      </c>
      <c r="C4">
        <v>1</v>
      </c>
      <c r="D4">
        <v>1</v>
      </c>
      <c r="E4">
        <v>1</v>
      </c>
      <c r="F4">
        <v>1</v>
      </c>
      <c r="G4">
        <v>2</v>
      </c>
      <c r="H4">
        <v>2</v>
      </c>
      <c r="I4">
        <v>2</v>
      </c>
      <c r="J4" t="str">
        <v>U</v>
      </c>
      <c r="K4">
        <v>2</v>
      </c>
      <c r="L4">
        <v>2</v>
      </c>
      <c r="M4" t="str">
        <v>U</v>
      </c>
      <c r="N4">
        <v>1</v>
      </c>
      <c r="O4" t="str">
        <v>U</v>
      </c>
      <c r="P4" t="str">
        <v>U</v>
      </c>
      <c r="Q4">
        <v>1</v>
      </c>
      <c r="R4" t="str">
        <v>U</v>
      </c>
      <c r="S4" t="str">
        <v>U</v>
      </c>
      <c r="T4" t="str">
        <v>U</v>
      </c>
      <c r="U4" t="str">
        <v>U</v>
      </c>
      <c r="V4" t="str">
        <v>U</v>
      </c>
      <c r="W4" t="str">
        <v>U</v>
      </c>
      <c r="X4" t="str">
        <v>U</v>
      </c>
    </row>
    <row r="5" spans="1:24" x14ac:dyDescent="0.3">
      <c r="A5" t="str">
        <v>2010992005 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 t="str">
        <v>U</v>
      </c>
      <c r="I5" t="str">
        <v>U</v>
      </c>
      <c r="J5" t="str">
        <v>U</v>
      </c>
      <c r="K5" t="str">
        <v>U</v>
      </c>
      <c r="L5">
        <v>2</v>
      </c>
      <c r="M5" t="str">
        <v>U</v>
      </c>
      <c r="N5" t="str">
        <v>U</v>
      </c>
      <c r="O5" t="str">
        <v>U</v>
      </c>
      <c r="P5" t="str">
        <v>U</v>
      </c>
      <c r="Q5" t="str">
        <v>U</v>
      </c>
      <c r="R5">
        <v>1</v>
      </c>
      <c r="S5" t="str">
        <v>U</v>
      </c>
      <c r="T5" t="str">
        <v>U</v>
      </c>
      <c r="U5" t="str">
        <v>U</v>
      </c>
      <c r="V5" t="str">
        <v>U</v>
      </c>
      <c r="W5" t="str">
        <v>U</v>
      </c>
      <c r="X5" t="str">
        <v>U</v>
      </c>
    </row>
    <row r="6" spans="1:24" x14ac:dyDescent="0.3">
      <c r="A6" t="str">
        <v>2010992006 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2</v>
      </c>
      <c r="I6" t="str">
        <v>U</v>
      </c>
      <c r="J6" t="str">
        <v>U</v>
      </c>
      <c r="K6" t="str">
        <v>U</v>
      </c>
      <c r="L6" t="str">
        <v>U</v>
      </c>
      <c r="M6" t="str">
        <v>U</v>
      </c>
      <c r="N6" t="str">
        <v>U</v>
      </c>
      <c r="O6" t="str">
        <v>U</v>
      </c>
      <c r="P6" t="str">
        <v>U</v>
      </c>
      <c r="Q6">
        <v>1</v>
      </c>
      <c r="R6" t="str">
        <v>U</v>
      </c>
      <c r="S6" t="str">
        <v>U</v>
      </c>
      <c r="T6" t="str">
        <v>U</v>
      </c>
      <c r="U6" t="str">
        <v>U</v>
      </c>
      <c r="V6" t="str">
        <v>U</v>
      </c>
      <c r="W6" t="str">
        <v>U</v>
      </c>
      <c r="X6" t="str">
        <v>U</v>
      </c>
    </row>
    <row r="7" spans="1:24" x14ac:dyDescent="0.3">
      <c r="A7" t="str">
        <v>2010992008 </v>
      </c>
      <c r="B7">
        <v>1</v>
      </c>
      <c r="C7">
        <v>1</v>
      </c>
      <c r="D7">
        <v>1</v>
      </c>
      <c r="E7">
        <v>1</v>
      </c>
      <c r="F7">
        <v>1</v>
      </c>
      <c r="G7" t="str">
        <v>U</v>
      </c>
      <c r="H7" t="str">
        <v>U</v>
      </c>
      <c r="I7">
        <v>1</v>
      </c>
      <c r="J7">
        <v>2</v>
      </c>
      <c r="K7">
        <v>2</v>
      </c>
      <c r="L7">
        <v>2</v>
      </c>
      <c r="M7" t="str">
        <v>U</v>
      </c>
      <c r="N7" t="str">
        <v>U</v>
      </c>
      <c r="O7" t="str">
        <v>U</v>
      </c>
      <c r="P7" t="str">
        <v>U</v>
      </c>
      <c r="Q7">
        <v>1</v>
      </c>
      <c r="R7" t="str">
        <v>U</v>
      </c>
      <c r="S7" t="str">
        <v>U</v>
      </c>
      <c r="T7" t="str">
        <v>U</v>
      </c>
      <c r="U7" t="str">
        <v>U</v>
      </c>
      <c r="V7" t="str">
        <v>U</v>
      </c>
      <c r="W7" t="str">
        <v>U</v>
      </c>
      <c r="X7" t="str">
        <v>U</v>
      </c>
    </row>
    <row r="8" spans="1:24" x14ac:dyDescent="0.3">
      <c r="A8" t="str">
        <v>2010992009 </v>
      </c>
      <c r="B8" t="str">
        <v>U</v>
      </c>
      <c r="C8" t="str">
        <v>U</v>
      </c>
      <c r="D8" t="str">
        <v>U</v>
      </c>
      <c r="E8" t="str">
        <v>U</v>
      </c>
      <c r="F8" t="str">
        <v>U</v>
      </c>
      <c r="G8" t="str">
        <v>U</v>
      </c>
      <c r="H8" t="str">
        <v>U</v>
      </c>
      <c r="I8" t="str">
        <v>U</v>
      </c>
      <c r="J8" t="str">
        <v>U</v>
      </c>
      <c r="K8" t="str">
        <v>U</v>
      </c>
      <c r="L8" t="str">
        <v>U</v>
      </c>
      <c r="M8" t="str">
        <v>U</v>
      </c>
      <c r="N8" t="str">
        <v>U</v>
      </c>
      <c r="O8" t="str">
        <v>U</v>
      </c>
      <c r="P8" t="str">
        <v>U</v>
      </c>
      <c r="Q8" t="str">
        <v>U</v>
      </c>
      <c r="R8" t="str">
        <v>U</v>
      </c>
      <c r="S8" t="str">
        <v>U</v>
      </c>
      <c r="T8" t="str">
        <v>U</v>
      </c>
      <c r="U8" t="str">
        <v>U</v>
      </c>
      <c r="V8" t="str">
        <v>U</v>
      </c>
      <c r="W8" t="str">
        <v>U</v>
      </c>
      <c r="X8" t="str">
        <v>U</v>
      </c>
    </row>
    <row r="9" spans="1:24" x14ac:dyDescent="0.3">
      <c r="A9" t="str">
        <v>2010992010 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 t="str">
        <v>U</v>
      </c>
      <c r="I9" t="str">
        <v>U</v>
      </c>
      <c r="J9" t="str">
        <v>U</v>
      </c>
      <c r="K9">
        <v>2</v>
      </c>
      <c r="L9">
        <v>2</v>
      </c>
      <c r="M9" t="str">
        <v>U</v>
      </c>
      <c r="N9" t="str">
        <v>U</v>
      </c>
      <c r="O9" t="str">
        <v>U</v>
      </c>
      <c r="P9" t="str">
        <v>U</v>
      </c>
      <c r="Q9">
        <v>1</v>
      </c>
      <c r="R9" t="str">
        <v>U</v>
      </c>
      <c r="S9" t="str">
        <v>U</v>
      </c>
      <c r="T9" t="str">
        <v>U</v>
      </c>
      <c r="U9" t="str">
        <v>U</v>
      </c>
      <c r="V9" t="str">
        <v>U</v>
      </c>
      <c r="W9" t="str">
        <v>U</v>
      </c>
      <c r="X9" t="str">
        <v>U</v>
      </c>
    </row>
    <row r="10" spans="1:24" x14ac:dyDescent="0.3">
      <c r="A10" t="str">
        <v>2010992011 </v>
      </c>
      <c r="B10">
        <v>1</v>
      </c>
      <c r="C10">
        <v>1</v>
      </c>
      <c r="D10">
        <v>1</v>
      </c>
      <c r="E10">
        <v>1</v>
      </c>
      <c r="F10">
        <v>1</v>
      </c>
      <c r="G10" t="str">
        <v>U</v>
      </c>
      <c r="H10">
        <v>1</v>
      </c>
      <c r="I10">
        <v>2</v>
      </c>
      <c r="J10">
        <v>2</v>
      </c>
      <c r="K10">
        <v>2</v>
      </c>
      <c r="L10">
        <v>2</v>
      </c>
      <c r="M10" t="str">
        <v>U</v>
      </c>
      <c r="N10" t="str">
        <v>U</v>
      </c>
      <c r="O10" t="str">
        <v>U</v>
      </c>
      <c r="P10" t="str">
        <v>U</v>
      </c>
      <c r="Q10" t="str">
        <v>U</v>
      </c>
      <c r="R10">
        <v>1</v>
      </c>
      <c r="S10" t="str">
        <v>U</v>
      </c>
      <c r="T10" t="str">
        <v>U</v>
      </c>
      <c r="U10" t="str">
        <v>U</v>
      </c>
      <c r="V10" t="str">
        <v>U</v>
      </c>
      <c r="W10" t="str">
        <v>U</v>
      </c>
      <c r="X10" t="str">
        <v>U</v>
      </c>
    </row>
    <row r="11" spans="1:24" x14ac:dyDescent="0.3">
      <c r="A11" t="str">
        <v>2010992012 </v>
      </c>
      <c r="B11">
        <v>1</v>
      </c>
      <c r="C11">
        <v>1</v>
      </c>
      <c r="D11">
        <v>1</v>
      </c>
      <c r="E11">
        <v>1</v>
      </c>
      <c r="F11">
        <v>1</v>
      </c>
      <c r="G11" t="str">
        <v>U</v>
      </c>
      <c r="H11" t="str">
        <v>U</v>
      </c>
      <c r="I11">
        <v>1</v>
      </c>
      <c r="J11">
        <v>1</v>
      </c>
      <c r="K11" t="str">
        <v>U</v>
      </c>
      <c r="L11">
        <v>2</v>
      </c>
      <c r="M11" t="str">
        <v>U</v>
      </c>
      <c r="N11" t="str">
        <v>U</v>
      </c>
      <c r="O11" t="str">
        <v>U</v>
      </c>
      <c r="P11" t="str">
        <v>U</v>
      </c>
      <c r="Q11">
        <v>1</v>
      </c>
      <c r="R11" t="str">
        <v>U</v>
      </c>
      <c r="S11" t="str">
        <v>U</v>
      </c>
      <c r="T11" t="str">
        <v>U</v>
      </c>
      <c r="U11" t="str">
        <v>U</v>
      </c>
      <c r="V11" t="str">
        <v>U</v>
      </c>
      <c r="W11" t="str">
        <v>U</v>
      </c>
      <c r="X11" t="str">
        <v>U</v>
      </c>
    </row>
    <row r="12" spans="1:24" x14ac:dyDescent="0.3">
      <c r="A12" t="str">
        <v>2010992014 </v>
      </c>
      <c r="B12">
        <v>1</v>
      </c>
      <c r="C12">
        <v>1</v>
      </c>
      <c r="D12">
        <v>1</v>
      </c>
      <c r="E12">
        <v>1</v>
      </c>
      <c r="F12">
        <v>1</v>
      </c>
      <c r="G12" t="str">
        <v>U</v>
      </c>
      <c r="H12" t="str">
        <v>U</v>
      </c>
      <c r="I12" t="str">
        <v>U</v>
      </c>
      <c r="J12">
        <v>1</v>
      </c>
      <c r="K12" t="str">
        <v>U</v>
      </c>
      <c r="L12" t="str">
        <v>U</v>
      </c>
      <c r="M12" t="str">
        <v>U</v>
      </c>
      <c r="N12" t="str">
        <v>U</v>
      </c>
      <c r="O12" t="str">
        <v>U</v>
      </c>
      <c r="P12" t="str">
        <v>U</v>
      </c>
      <c r="Q12">
        <v>1</v>
      </c>
      <c r="R12" t="str">
        <v>U</v>
      </c>
      <c r="S12" t="str">
        <v>U</v>
      </c>
      <c r="T12" t="str">
        <v>U</v>
      </c>
      <c r="U12" t="str">
        <v>U</v>
      </c>
      <c r="V12" t="str">
        <v>U</v>
      </c>
      <c r="W12" t="str">
        <v>U</v>
      </c>
      <c r="X12" t="str">
        <v>U</v>
      </c>
    </row>
    <row r="13" spans="1:24" x14ac:dyDescent="0.3">
      <c r="A13" t="str">
        <v>2010992015 </v>
      </c>
      <c r="B13">
        <v>1</v>
      </c>
      <c r="C13">
        <v>1</v>
      </c>
      <c r="D13">
        <v>1</v>
      </c>
      <c r="E13">
        <v>1</v>
      </c>
      <c r="F13">
        <v>1</v>
      </c>
      <c r="G13">
        <v>2</v>
      </c>
      <c r="H13" t="str">
        <v>U</v>
      </c>
      <c r="I13">
        <v>2</v>
      </c>
      <c r="J13">
        <v>2</v>
      </c>
      <c r="K13">
        <v>2</v>
      </c>
      <c r="L13">
        <v>2</v>
      </c>
      <c r="M13">
        <v>3</v>
      </c>
      <c r="N13" t="str">
        <v>U</v>
      </c>
      <c r="O13" t="str">
        <v>U</v>
      </c>
      <c r="P13" t="str">
        <v>U</v>
      </c>
      <c r="Q13" t="str">
        <v>U</v>
      </c>
      <c r="R13">
        <v>1</v>
      </c>
      <c r="S13" t="str">
        <v>U</v>
      </c>
      <c r="T13" t="str">
        <v>U</v>
      </c>
      <c r="U13" t="str">
        <v>U</v>
      </c>
      <c r="V13" t="str">
        <v>U</v>
      </c>
      <c r="W13" t="str">
        <v>U</v>
      </c>
      <c r="X13" t="str">
        <v>U</v>
      </c>
    </row>
    <row r="14" spans="1:24" x14ac:dyDescent="0.3">
      <c r="A14" t="str">
        <v>2010992016 </v>
      </c>
      <c r="B14">
        <v>1</v>
      </c>
      <c r="C14">
        <v>1</v>
      </c>
      <c r="D14">
        <v>1</v>
      </c>
      <c r="E14">
        <v>1</v>
      </c>
      <c r="F14">
        <v>1</v>
      </c>
      <c r="G14">
        <v>2</v>
      </c>
      <c r="H14">
        <v>2</v>
      </c>
      <c r="I14">
        <v>2</v>
      </c>
      <c r="J14" t="str">
        <v>U</v>
      </c>
      <c r="K14">
        <v>2</v>
      </c>
      <c r="L14">
        <v>2</v>
      </c>
      <c r="M14">
        <v>5</v>
      </c>
      <c r="N14" t="str">
        <v>U</v>
      </c>
      <c r="O14">
        <v>5</v>
      </c>
      <c r="P14">
        <v>5</v>
      </c>
      <c r="Q14">
        <v>5</v>
      </c>
      <c r="R14" t="str">
        <v>U</v>
      </c>
      <c r="S14" t="str">
        <v>U</v>
      </c>
      <c r="T14" t="str">
        <v>U</v>
      </c>
      <c r="U14" t="str">
        <v>U</v>
      </c>
      <c r="V14" t="str">
        <v>U</v>
      </c>
      <c r="W14" t="str">
        <v>U</v>
      </c>
      <c r="X14" t="str">
        <v>U</v>
      </c>
    </row>
    <row r="15" spans="1:24" x14ac:dyDescent="0.3">
      <c r="A15" t="str">
        <v>2010992017 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2</v>
      </c>
      <c r="I15" t="str">
        <v>U</v>
      </c>
      <c r="J15" t="str">
        <v>U</v>
      </c>
      <c r="K15" t="str">
        <v>U</v>
      </c>
      <c r="L15">
        <v>2</v>
      </c>
      <c r="M15" t="str">
        <v>U</v>
      </c>
      <c r="N15" t="str">
        <v>U</v>
      </c>
      <c r="O15" t="str">
        <v>U</v>
      </c>
      <c r="P15" t="str">
        <v>U</v>
      </c>
      <c r="Q15">
        <v>1</v>
      </c>
      <c r="R15" t="str">
        <v>U</v>
      </c>
      <c r="S15" t="str">
        <v>U</v>
      </c>
      <c r="T15" t="str">
        <v>U</v>
      </c>
      <c r="U15" t="str">
        <v>U</v>
      </c>
      <c r="V15" t="str">
        <v>U</v>
      </c>
      <c r="W15" t="str">
        <v>U</v>
      </c>
      <c r="X15" t="str">
        <v>U</v>
      </c>
    </row>
    <row r="16" spans="1:24" x14ac:dyDescent="0.3">
      <c r="A16" t="str">
        <v>2010992018 </v>
      </c>
      <c r="B16">
        <v>1</v>
      </c>
      <c r="C16">
        <v>1</v>
      </c>
      <c r="D16">
        <v>1</v>
      </c>
      <c r="E16">
        <v>1</v>
      </c>
      <c r="F16">
        <v>1</v>
      </c>
      <c r="G16">
        <v>2</v>
      </c>
      <c r="H16">
        <v>2</v>
      </c>
      <c r="I16">
        <v>2</v>
      </c>
      <c r="J16">
        <v>2</v>
      </c>
      <c r="K16" t="str">
        <v>U</v>
      </c>
      <c r="L16">
        <v>2</v>
      </c>
      <c r="M16">
        <v>1</v>
      </c>
      <c r="N16">
        <v>5</v>
      </c>
      <c r="O16" t="str">
        <v>U</v>
      </c>
      <c r="P16" t="str">
        <v>U</v>
      </c>
      <c r="Q16" t="str">
        <v>U</v>
      </c>
      <c r="R16">
        <v>1</v>
      </c>
      <c r="S16" t="str">
        <v>U</v>
      </c>
      <c r="T16" t="str">
        <v>U</v>
      </c>
      <c r="U16" t="str">
        <v>U</v>
      </c>
      <c r="V16" t="str">
        <v>U</v>
      </c>
      <c r="W16" t="str">
        <v>U</v>
      </c>
      <c r="X16" t="str">
        <v>U</v>
      </c>
    </row>
    <row r="17" spans="1:24" x14ac:dyDescent="0.3">
      <c r="A17" t="str">
        <v>2010992163 </v>
      </c>
      <c r="B17" t="str">
        <v>U</v>
      </c>
      <c r="C17" t="str">
        <v>U</v>
      </c>
      <c r="D17" t="str">
        <v>U</v>
      </c>
      <c r="E17" t="str">
        <v>U</v>
      </c>
      <c r="F17" t="str">
        <v>U</v>
      </c>
      <c r="G17" t="str">
        <v>U</v>
      </c>
      <c r="H17" t="str">
        <v>U</v>
      </c>
      <c r="I17" t="str">
        <v>U</v>
      </c>
      <c r="J17" t="str">
        <v>U</v>
      </c>
      <c r="K17" t="str">
        <v>U</v>
      </c>
      <c r="L17" t="str">
        <v>U</v>
      </c>
      <c r="M17" t="str">
        <v>U</v>
      </c>
      <c r="N17" t="str">
        <v>U</v>
      </c>
      <c r="O17" t="str">
        <v>U</v>
      </c>
      <c r="P17" t="str">
        <v>U</v>
      </c>
      <c r="Q17" t="str">
        <v>U</v>
      </c>
      <c r="R17" t="str">
        <v>U</v>
      </c>
      <c r="S17" t="str">
        <v>U</v>
      </c>
      <c r="T17" t="str">
        <v>U</v>
      </c>
      <c r="U17" t="str">
        <v>U</v>
      </c>
      <c r="V17" t="str">
        <v>U</v>
      </c>
      <c r="W17" t="str">
        <v>U</v>
      </c>
      <c r="X17" t="str">
        <v>U</v>
      </c>
    </row>
    <row r="18" spans="1:24" x14ac:dyDescent="0.3">
      <c r="A18" t="str">
        <v>2010992202 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2</v>
      </c>
      <c r="I18">
        <v>2</v>
      </c>
      <c r="J18">
        <v>2</v>
      </c>
      <c r="K18" t="str">
        <v>U</v>
      </c>
      <c r="L18">
        <v>2</v>
      </c>
      <c r="M18" t="str">
        <v>U</v>
      </c>
      <c r="N18" t="str">
        <v>U</v>
      </c>
      <c r="O18">
        <v>1</v>
      </c>
      <c r="P18" t="str">
        <v>U</v>
      </c>
      <c r="Q18" t="str">
        <v>U</v>
      </c>
      <c r="R18">
        <v>1</v>
      </c>
      <c r="S18" t="str">
        <v>U</v>
      </c>
      <c r="T18" t="str">
        <v>U</v>
      </c>
      <c r="U18" t="str">
        <v>U</v>
      </c>
      <c r="V18" t="str">
        <v>U</v>
      </c>
      <c r="W18" t="str">
        <v>U</v>
      </c>
      <c r="X18" t="str">
        <v>U</v>
      </c>
    </row>
    <row r="19" spans="1:24" x14ac:dyDescent="0.3">
      <c r="A19" t="str">
        <v>2010992203 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 t="str">
        <v>U</v>
      </c>
      <c r="J19" t="str">
        <v>U</v>
      </c>
      <c r="K19">
        <v>2</v>
      </c>
      <c r="L19">
        <v>2</v>
      </c>
      <c r="M19" t="str">
        <v>U</v>
      </c>
      <c r="N19" t="str">
        <v>U</v>
      </c>
      <c r="O19" t="str">
        <v>U</v>
      </c>
      <c r="P19" t="str">
        <v>U</v>
      </c>
      <c r="Q19" t="str">
        <v>U</v>
      </c>
      <c r="R19">
        <v>1</v>
      </c>
      <c r="S19" t="str">
        <v>U</v>
      </c>
      <c r="T19" t="str">
        <v>U</v>
      </c>
      <c r="U19" t="str">
        <v>U</v>
      </c>
      <c r="V19" t="str">
        <v>U</v>
      </c>
      <c r="W19" t="str">
        <v>U</v>
      </c>
      <c r="X19" t="str">
        <v>U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D4C05-C998-4FE1-A3EC-4067CC5FA71B}">
  <sheetPr codeName="Sheet25">
    <tabColor rgb="FFFFFF00"/>
  </sheetPr>
  <dimension ref="A1:X19"/>
  <sheetViews>
    <sheetView workbookViewId="0"/>
  </sheetViews>
  <sheetFormatPr defaultRowHeight="14.4" x14ac:dyDescent="0.3"/>
  <cols>
    <col min="1" max="1" width="21" bestFit="1" customWidth="1"/>
    <col min="2" max="3" width="14.44140625" bestFit="1" customWidth="1"/>
    <col min="4" max="4" width="14.33203125" bestFit="1" customWidth="1"/>
    <col min="5" max="6" width="14.44140625" bestFit="1" customWidth="1"/>
    <col min="7" max="14" width="14.77734375" bestFit="1" customWidth="1"/>
    <col min="15" max="21" width="15.77734375" bestFit="1" customWidth="1"/>
    <col min="22" max="22" width="21.88671875" bestFit="1" customWidth="1"/>
    <col min="23" max="24" width="15.44140625" bestFit="1" customWidth="1"/>
  </cols>
  <sheetData>
    <row r="1" spans="1:24" x14ac:dyDescent="0.3">
      <c r="A1" t="str" cm="1">
        <f t="array" ref="A1:A19">INDEX('ST3 Result'!B:B, 1):INDEX('ST3 Result'!B:B, COUNTA('ST3 Result'!B:B))</f>
        <v>Admission No. (Roll No.)</v>
      </c>
      <c r="B1" t="str" cm="1">
        <f t="array" ref="B1:X1">TRANSPOSE('ST3 CO Question Map'!A2:A24)</f>
        <v>20EC118-ST3-1a</v>
      </c>
      <c r="C1" t="str">
        <v>20EC118-ST3-1b</v>
      </c>
      <c r="D1" t="str">
        <v>20EC118-ST3-1c</v>
      </c>
      <c r="E1" t="str">
        <v>20EC118-ST3-1d</v>
      </c>
      <c r="F1" t="str">
        <v>20EC118-ST3-1e</v>
      </c>
      <c r="G1" t="str">
        <v>20EC118-ST3-Q2</v>
      </c>
      <c r="H1" t="str">
        <v>20EC118-ST3-Q3</v>
      </c>
      <c r="I1" t="str">
        <v>20EC118-ST3-Q4</v>
      </c>
      <c r="J1" t="str">
        <v>20EC118-ST3-Q5</v>
      </c>
      <c r="K1" t="str">
        <v>20EC118-ST3-Q6</v>
      </c>
      <c r="L1" t="str">
        <v>20EC118-ST3-Q7</v>
      </c>
      <c r="M1" t="str">
        <v>20EC118-ST3-Q8</v>
      </c>
      <c r="N1" t="str">
        <v>20EC118-ST3-Q9</v>
      </c>
      <c r="O1" t="str">
        <v>20EC118-ST3-Q10</v>
      </c>
      <c r="P1" t="str">
        <v>20EC118-ST3-Q11</v>
      </c>
      <c r="Q1" t="str">
        <v>20EC118-ST3-Q12</v>
      </c>
      <c r="R1" t="str">
        <v>20EC118-ST3-Q13</v>
      </c>
      <c r="S1" t="str">
        <v>20EC118-ST3-Q14</v>
      </c>
      <c r="T1" t="str">
        <v>20EC118-ST3-Q15</v>
      </c>
      <c r="U1" t="str">
        <v>20EC118-ST3-Q16</v>
      </c>
      <c r="V1" t="str">
        <v>20EC118-ST3-Assignment</v>
      </c>
      <c r="W1" t="str">
        <v>20EC118-ST3-FA1</v>
      </c>
      <c r="X1" t="str">
        <v>20EC118-ST3-FA2</v>
      </c>
    </row>
    <row r="2" spans="1:24" x14ac:dyDescent="0.3">
      <c r="A2" t="str">
        <v>2010990089 </v>
      </c>
      <c r="B2" t="str" cm="1">
        <f t="array" ref="B2:B19">IF(_xlfn.XLOOKUP($A2:INDEX($A:$A,COUNTA($A:$A)),'ST3 Student Marks'!$A$1:INDEX('ST3 Student Marks'!$A:$A,COUNTA('ST3 Student Marks'!$A:$A)),'ST3 Student Marks'!B$1:INDEX('ST3 Student Marks'!B:B,COUNTA('ST3 Student Marks'!B:B)))="U","Unattempted",'ST3 Student Marks'!B1)</f>
        <v>20EC118-ST3-1a</v>
      </c>
      <c r="C2" t="str" cm="1">
        <f t="array" ref="C2:C19">IF(_xlfn.XLOOKUP($A2:INDEX($A:$A,COUNTA($A:$A)),'ST3 Student Marks'!$A$1:INDEX('ST3 Student Marks'!$A:$A,COUNTA('ST3 Student Marks'!$A:$A)),'ST3 Student Marks'!C$1:INDEX('ST3 Student Marks'!C:C,COUNTA('ST3 Student Marks'!C:C)))="U","Unattempted",'ST3 Student Marks'!C1)</f>
        <v>20EC118-ST3-1b</v>
      </c>
      <c r="D2" t="str" cm="1">
        <f t="array" ref="D2:D19">IF(_xlfn.XLOOKUP($A2:INDEX($A:$A,COUNTA($A:$A)),'ST3 Student Marks'!$A$1:INDEX('ST3 Student Marks'!$A:$A,COUNTA('ST3 Student Marks'!$A:$A)),'ST3 Student Marks'!D$1:INDEX('ST3 Student Marks'!D:D,COUNTA('ST3 Student Marks'!D:D)))="U","Unattempted",'ST3 Student Marks'!D1)</f>
        <v>20EC118-ST3-1c</v>
      </c>
      <c r="E2" t="str" cm="1">
        <f t="array" ref="E2:E19">IF(_xlfn.XLOOKUP($A2:INDEX($A:$A,COUNTA($A:$A)),'ST3 Student Marks'!$A$1:INDEX('ST3 Student Marks'!$A:$A,COUNTA('ST3 Student Marks'!$A:$A)),'ST3 Student Marks'!E$1:INDEX('ST3 Student Marks'!E:E,COUNTA('ST3 Student Marks'!E:E)))="U","Unattempted",'ST3 Student Marks'!E1)</f>
        <v>20EC118-ST3-1d</v>
      </c>
      <c r="F2" t="str" cm="1">
        <f t="array" ref="F2:F19">IF(_xlfn.XLOOKUP($A2:INDEX($A:$A,COUNTA($A:$A)),'ST3 Student Marks'!$A$1:INDEX('ST3 Student Marks'!$A:$A,COUNTA('ST3 Student Marks'!$A:$A)),'ST3 Student Marks'!F$1:INDEX('ST3 Student Marks'!F:F,COUNTA('ST3 Student Marks'!F:F)))="U","Unattempted",'ST3 Student Marks'!F1)</f>
        <v>20EC118-ST3-1e</v>
      </c>
      <c r="G2" t="str" cm="1">
        <f t="array" ref="G2:G19">IF(_xlfn.XLOOKUP($A2:INDEX($A:$A,COUNTA($A:$A)),'ST3 Student Marks'!$A$1:INDEX('ST3 Student Marks'!$A:$A,COUNTA('ST3 Student Marks'!$A:$A)),'ST3 Student Marks'!G$1:INDEX('ST3 Student Marks'!G:G,COUNTA('ST3 Student Marks'!G:G)))="U","Unattempted",'ST3 Student Marks'!G1)</f>
        <v>Unattempted</v>
      </c>
      <c r="H2" t="str" cm="1">
        <f t="array" ref="H2:H19">IF(_xlfn.XLOOKUP($A2:INDEX($A:$A,COUNTA($A:$A)),'ST3 Student Marks'!$A$1:INDEX('ST3 Student Marks'!$A:$A,COUNTA('ST3 Student Marks'!$A:$A)),'ST3 Student Marks'!H$1:INDEX('ST3 Student Marks'!H:H,COUNTA('ST3 Student Marks'!H:H)))="U","Unattempted",'ST3 Student Marks'!H1)</f>
        <v>Unattempted</v>
      </c>
      <c r="I2" t="str" cm="1">
        <f t="array" ref="I2:I19">IF(_xlfn.XLOOKUP($A2:INDEX($A:$A,COUNTA($A:$A)),'ST3 Student Marks'!$A$1:INDEX('ST3 Student Marks'!$A:$A,COUNTA('ST3 Student Marks'!$A:$A)),'ST3 Student Marks'!I$1:INDEX('ST3 Student Marks'!I:I,COUNTA('ST3 Student Marks'!I:I)))="U","Unattempted",'ST3 Student Marks'!I1)</f>
        <v>Unattempted</v>
      </c>
      <c r="J2" t="str" cm="1">
        <f t="array" ref="J2:J19">IF(_xlfn.XLOOKUP($A2:INDEX($A:$A,COUNTA($A:$A)),'ST3 Student Marks'!$A$1:INDEX('ST3 Student Marks'!$A:$A,COUNTA('ST3 Student Marks'!$A:$A)),'ST3 Student Marks'!J$1:INDEX('ST3 Student Marks'!J:J,COUNTA('ST3 Student Marks'!J:J)))="U","Unattempted",'ST3 Student Marks'!J1)</f>
        <v>Unattempted</v>
      </c>
      <c r="K2" t="str" cm="1">
        <f t="array" ref="K2:K19">IF(_xlfn.XLOOKUP($A2:INDEX($A:$A,COUNTA($A:$A)),'ST3 Student Marks'!$A$1:INDEX('ST3 Student Marks'!$A:$A,COUNTA('ST3 Student Marks'!$A:$A)),'ST3 Student Marks'!K$1:INDEX('ST3 Student Marks'!K:K,COUNTA('ST3 Student Marks'!K:K)))="U","Unattempted",'ST3 Student Marks'!K1)</f>
        <v>Unattempted</v>
      </c>
      <c r="L2" t="str" cm="1">
        <f t="array" ref="L2:L19">IF(_xlfn.XLOOKUP($A2:INDEX($A:$A,COUNTA($A:$A)),'ST3 Student Marks'!$A$1:INDEX('ST3 Student Marks'!$A:$A,COUNTA('ST3 Student Marks'!$A:$A)),'ST3 Student Marks'!L$1:INDEX('ST3 Student Marks'!L:L,COUNTA('ST3 Student Marks'!L:L)))="U","Unattempted",'ST3 Student Marks'!L1)</f>
        <v>Unattempted</v>
      </c>
      <c r="M2" t="str" cm="1">
        <f t="array" ref="M2:M19">IF(_xlfn.XLOOKUP($A2:INDEX($A:$A,COUNTA($A:$A)),'ST3 Student Marks'!$A$1:INDEX('ST3 Student Marks'!$A:$A,COUNTA('ST3 Student Marks'!$A:$A)),'ST3 Student Marks'!M$1:INDEX('ST3 Student Marks'!M:M,COUNTA('ST3 Student Marks'!M:M)))="U","Unattempted",'ST3 Student Marks'!M1)</f>
        <v>Unattempted</v>
      </c>
      <c r="N2" t="str" cm="1">
        <f t="array" ref="N2:N19">IF(_xlfn.XLOOKUP($A2:INDEX($A:$A,COUNTA($A:$A)),'ST3 Student Marks'!$A$1:INDEX('ST3 Student Marks'!$A:$A,COUNTA('ST3 Student Marks'!$A:$A)),'ST3 Student Marks'!N$1:INDEX('ST3 Student Marks'!N:N,COUNTA('ST3 Student Marks'!N:N)))="U","Unattempted",'ST3 Student Marks'!N1)</f>
        <v>Unattempted</v>
      </c>
      <c r="O2" t="str" cm="1">
        <f t="array" ref="O2:O19">IF(_xlfn.XLOOKUP($A2:INDEX($A:$A,COUNTA($A:$A)),'ST3 Student Marks'!$A$1:INDEX('ST3 Student Marks'!$A:$A,COUNTA('ST3 Student Marks'!$A:$A)),'ST3 Student Marks'!O$1:INDEX('ST3 Student Marks'!O:O,COUNTA('ST3 Student Marks'!O:O)))="U","Unattempted",'ST3 Student Marks'!O1)</f>
        <v>Unattempted</v>
      </c>
      <c r="P2" t="str" cm="1">
        <f t="array" ref="P2:P19">IF(_xlfn.XLOOKUP($A2:INDEX($A:$A,COUNTA($A:$A)),'ST3 Student Marks'!$A$1:INDEX('ST3 Student Marks'!$A:$A,COUNTA('ST3 Student Marks'!$A:$A)),'ST3 Student Marks'!P$1:INDEX('ST3 Student Marks'!P:P,COUNTA('ST3 Student Marks'!P:P)))="U","Unattempted",'ST3 Student Marks'!P1)</f>
        <v>Unattempted</v>
      </c>
      <c r="Q2" t="str" cm="1">
        <f t="array" ref="Q2:Q19">IF(_xlfn.XLOOKUP($A2:INDEX($A:$A,COUNTA($A:$A)),'ST3 Student Marks'!$A$1:INDEX('ST3 Student Marks'!$A:$A,COUNTA('ST3 Student Marks'!$A:$A)),'ST3 Student Marks'!Q$1:INDEX('ST3 Student Marks'!Q:Q,COUNTA('ST3 Student Marks'!Q:Q)))="U","Unattempted",'ST3 Student Marks'!Q1)</f>
        <v>Unattempted</v>
      </c>
      <c r="R2" t="str" cm="1">
        <f t="array" ref="R2:R19">IF(_xlfn.XLOOKUP($A2:INDEX($A:$A,COUNTA($A:$A)),'ST3 Student Marks'!$A$1:INDEX('ST3 Student Marks'!$A:$A,COUNTA('ST3 Student Marks'!$A:$A)),'ST3 Student Marks'!R$1:INDEX('ST3 Student Marks'!R:R,COUNTA('ST3 Student Marks'!R:R)))="U","Unattempted",'ST3 Student Marks'!R1)</f>
        <v>20EC118-ST3-Q13</v>
      </c>
      <c r="S2" t="str" cm="1">
        <f t="array" ref="S2:S19">IF(_xlfn.XLOOKUP($A2:INDEX($A:$A,COUNTA($A:$A)),'ST3 Student Marks'!$A$1:INDEX('ST3 Student Marks'!$A:$A,COUNTA('ST3 Student Marks'!$A:$A)),'ST3 Student Marks'!S$1:INDEX('ST3 Student Marks'!S:S,COUNTA('ST3 Student Marks'!S:S)))="U","Unattempted",'ST3 Student Marks'!S1)</f>
        <v>Unattempted</v>
      </c>
      <c r="T2" t="str" cm="1">
        <f t="array" ref="T2:T19">IF(_xlfn.XLOOKUP($A2:INDEX($A:$A,COUNTA($A:$A)),'ST3 Student Marks'!$A$1:INDEX('ST3 Student Marks'!$A:$A,COUNTA('ST3 Student Marks'!$A:$A)),'ST3 Student Marks'!T$1:INDEX('ST3 Student Marks'!T:T,COUNTA('ST3 Student Marks'!T:T)))="U","Unattempted",'ST3 Student Marks'!T1)</f>
        <v>Unattempted</v>
      </c>
      <c r="U2" t="str" cm="1">
        <f t="array" ref="U2:U19">IF(_xlfn.XLOOKUP($A2:INDEX($A:$A,COUNTA($A:$A)),'ST3 Student Marks'!$A$1:INDEX('ST3 Student Marks'!$A:$A,COUNTA('ST3 Student Marks'!$A:$A)),'ST3 Student Marks'!U$1:INDEX('ST3 Student Marks'!U:U,COUNTA('ST3 Student Marks'!U:U)))="U","Unattempted",'ST3 Student Marks'!U1)</f>
        <v>Unattempted</v>
      </c>
      <c r="V2" t="str" cm="1">
        <f t="array" ref="V2:V19">IF(_xlfn.XLOOKUP($A2:INDEX($A:$A,COUNTA($A:$A)),'ST3 Student Marks'!$A$1:INDEX('ST3 Student Marks'!$A:$A,COUNTA('ST3 Student Marks'!$A:$A)),'ST3 Student Marks'!V$1:INDEX('ST3 Student Marks'!V:V,COUNTA('ST3 Student Marks'!V:V)))="U","Unattempted",'ST3 Student Marks'!V1)</f>
        <v>Unattempted</v>
      </c>
      <c r="W2" t="str" cm="1">
        <f t="array" ref="W2:W19">IF(_xlfn.XLOOKUP($A2:INDEX($A:$A,COUNTA($A:$A)),'ST3 Student Marks'!$A$1:INDEX('ST3 Student Marks'!$A:$A,COUNTA('ST3 Student Marks'!$A:$A)),'ST3 Student Marks'!W$1:INDEX('ST3 Student Marks'!W:W,COUNTA('ST3 Student Marks'!W:W)))="U","Unattempted",'ST3 Student Marks'!W1)</f>
        <v>Unattempted</v>
      </c>
      <c r="X2" t="str" cm="1">
        <f t="array" ref="X2:X19">IF(_xlfn.XLOOKUP($A2:INDEX($A:$A,COUNTA($A:$A)),'ST3 Student Marks'!$A$1:INDEX('ST3 Student Marks'!$A:$A,COUNTA('ST3 Student Marks'!$A:$A)),'ST3 Student Marks'!X$1:INDEX('ST3 Student Marks'!X:X,COUNTA('ST3 Student Marks'!X:X)))="U","Unattempted",'ST3 Student Marks'!X1)</f>
        <v>Unattempted</v>
      </c>
    </row>
    <row r="3" spans="1:24" ht="28.8" x14ac:dyDescent="0.3">
      <c r="A3" t="str">
        <v>2010992002 </v>
      </c>
      <c r="B3" t="str">
        <v>20EC118-ST3-1a</v>
      </c>
      <c r="C3" t="str">
        <v>20EC118-ST3-1b</v>
      </c>
      <c r="D3" t="str">
        <v>20EC118-ST3-1c</v>
      </c>
      <c r="E3" t="str">
        <v>20EC118-ST3-1d</v>
      </c>
      <c r="F3" t="str">
        <v>20EC118-ST3-1e</v>
      </c>
      <c r="G3" t="str">
        <v>20EC118-ST3-Q2</v>
      </c>
      <c r="H3" t="str">
        <v>20EC118-ST3-Q3</v>
      </c>
      <c r="I3" t="str">
        <v>Unattempted</v>
      </c>
      <c r="J3" t="str">
        <v>20EC118-ST3-Q5</v>
      </c>
      <c r="K3" t="str">
        <v>20EC118-ST3-Q6</v>
      </c>
      <c r="L3" t="str">
        <v>20EC118-ST3-Q7</v>
      </c>
      <c r="M3" t="str">
        <v>20EC118-ST3-Q8</v>
      </c>
      <c r="N3" t="str">
        <v>20EC118-ST3-Q9</v>
      </c>
      <c r="O3" t="str">
        <v>20EC118-ST3-Q10</v>
      </c>
      <c r="P3" t="str">
        <v>Unattempted</v>
      </c>
      <c r="Q3" t="str">
        <v>20EC118-ST3-Q12</v>
      </c>
      <c r="R3" t="str">
        <v>Unattempted</v>
      </c>
      <c r="S3" s="1" t="str">
        <v>Unattempted</v>
      </c>
      <c r="T3" t="str">
        <v>Unattempted</v>
      </c>
      <c r="U3" t="str">
        <v>Unattempted</v>
      </c>
      <c r="V3" t="str">
        <v>Unattempted</v>
      </c>
      <c r="W3" t="str">
        <v>Unattempted</v>
      </c>
      <c r="X3" t="str">
        <v>Unattempted</v>
      </c>
    </row>
    <row r="4" spans="1:24" x14ac:dyDescent="0.3">
      <c r="A4" t="str">
        <v>2010992004 </v>
      </c>
      <c r="B4" t="str">
        <v>20EC118-ST3-1a</v>
      </c>
      <c r="C4" t="str">
        <v>20EC118-ST3-1b</v>
      </c>
      <c r="D4" t="str">
        <v>20EC118-ST3-1c</v>
      </c>
      <c r="E4" t="str">
        <v>20EC118-ST3-1d</v>
      </c>
      <c r="F4" t="str">
        <v>20EC118-ST3-1e</v>
      </c>
      <c r="G4" t="str">
        <v>20EC118-ST3-Q2</v>
      </c>
      <c r="H4" t="str">
        <v>20EC118-ST3-Q3</v>
      </c>
      <c r="I4" t="str">
        <v>20EC118-ST3-Q4</v>
      </c>
      <c r="J4" t="str">
        <v>Unattempted</v>
      </c>
      <c r="K4" t="str">
        <v>20EC118-ST3-Q6</v>
      </c>
      <c r="L4" t="str">
        <v>20EC118-ST3-Q7</v>
      </c>
      <c r="M4" t="str">
        <v>Unattempted</v>
      </c>
      <c r="N4" t="str">
        <v>20EC118-ST3-Q9</v>
      </c>
      <c r="O4" t="str">
        <v>Unattempted</v>
      </c>
      <c r="P4" t="str">
        <v>Unattempted</v>
      </c>
      <c r="Q4" t="str">
        <v>20EC118-ST3-Q12</v>
      </c>
      <c r="R4" t="str">
        <v>Unattempted</v>
      </c>
      <c r="S4" t="str">
        <v>Unattempted</v>
      </c>
      <c r="T4" t="str">
        <v>Unattempted</v>
      </c>
      <c r="U4" t="str">
        <v>Unattempted</v>
      </c>
      <c r="V4" t="str">
        <v>Unattempted</v>
      </c>
      <c r="W4" t="str">
        <v>Unattempted</v>
      </c>
      <c r="X4" t="str">
        <v>Unattempted</v>
      </c>
    </row>
    <row r="5" spans="1:24" x14ac:dyDescent="0.3">
      <c r="A5" t="str">
        <v>2010992005 </v>
      </c>
      <c r="B5" t="str">
        <v>20EC118-ST3-1a</v>
      </c>
      <c r="C5" t="str">
        <v>20EC118-ST3-1b</v>
      </c>
      <c r="D5" t="str">
        <v>20EC118-ST3-1c</v>
      </c>
      <c r="E5" t="str">
        <v>20EC118-ST3-1d</v>
      </c>
      <c r="F5" t="str">
        <v>20EC118-ST3-1e</v>
      </c>
      <c r="G5" t="str">
        <v>20EC118-ST3-Q2</v>
      </c>
      <c r="H5" t="str">
        <v>Unattempted</v>
      </c>
      <c r="I5" t="str">
        <v>Unattempted</v>
      </c>
      <c r="J5" t="str">
        <v>Unattempted</v>
      </c>
      <c r="K5" t="str">
        <v>Unattempted</v>
      </c>
      <c r="L5" t="str">
        <v>20EC118-ST3-Q7</v>
      </c>
      <c r="M5" t="str">
        <v>Unattempted</v>
      </c>
      <c r="N5" t="str">
        <v>Unattempted</v>
      </c>
      <c r="O5" t="str">
        <v>Unattempted</v>
      </c>
      <c r="P5" t="str">
        <v>Unattempted</v>
      </c>
      <c r="Q5" t="str">
        <v>Unattempted</v>
      </c>
      <c r="R5" t="str">
        <v>20EC118-ST3-Q13</v>
      </c>
      <c r="S5" t="str">
        <v>Unattempted</v>
      </c>
      <c r="T5" t="str">
        <v>Unattempted</v>
      </c>
      <c r="U5" t="str">
        <v>Unattempted</v>
      </c>
      <c r="V5" t="str">
        <v>Unattempted</v>
      </c>
      <c r="W5" t="str">
        <v>Unattempted</v>
      </c>
      <c r="X5" t="str">
        <v>Unattempted</v>
      </c>
    </row>
    <row r="6" spans="1:24" x14ac:dyDescent="0.3">
      <c r="A6" t="str">
        <v>2010992006 </v>
      </c>
      <c r="B6" t="str">
        <v>20EC118-ST3-1a</v>
      </c>
      <c r="C6" t="str">
        <v>20EC118-ST3-1b</v>
      </c>
      <c r="D6" t="str">
        <v>20EC118-ST3-1c</v>
      </c>
      <c r="E6" t="str">
        <v>20EC118-ST3-1d</v>
      </c>
      <c r="F6" t="str">
        <v>20EC118-ST3-1e</v>
      </c>
      <c r="G6" t="str">
        <v>20EC118-ST3-Q2</v>
      </c>
      <c r="H6" t="str">
        <v>20EC118-ST3-Q3</v>
      </c>
      <c r="I6" t="str">
        <v>Unattempted</v>
      </c>
      <c r="J6" t="str">
        <v>Unattempted</v>
      </c>
      <c r="K6" t="str">
        <v>Unattempted</v>
      </c>
      <c r="L6" t="str">
        <v>Unattempted</v>
      </c>
      <c r="M6" t="str">
        <v>Unattempted</v>
      </c>
      <c r="N6" t="str">
        <v>Unattempted</v>
      </c>
      <c r="O6" t="str">
        <v>Unattempted</v>
      </c>
      <c r="P6" t="str">
        <v>Unattempted</v>
      </c>
      <c r="Q6" t="str">
        <v>20EC118-ST3-Q12</v>
      </c>
      <c r="R6" t="str">
        <v>Unattempted</v>
      </c>
      <c r="S6" t="str">
        <v>Unattempted</v>
      </c>
      <c r="T6" t="str">
        <v>Unattempted</v>
      </c>
      <c r="U6" t="str">
        <v>Unattempted</v>
      </c>
      <c r="V6" t="str">
        <v>Unattempted</v>
      </c>
      <c r="W6" t="str">
        <v>Unattempted</v>
      </c>
      <c r="X6" t="str">
        <v>Unattempted</v>
      </c>
    </row>
    <row r="7" spans="1:24" x14ac:dyDescent="0.3">
      <c r="A7" t="str">
        <v>2010992008 </v>
      </c>
      <c r="B7" t="str">
        <v>20EC118-ST3-1a</v>
      </c>
      <c r="C7" t="str">
        <v>20EC118-ST3-1b</v>
      </c>
      <c r="D7" t="str">
        <v>20EC118-ST3-1c</v>
      </c>
      <c r="E7" t="str">
        <v>20EC118-ST3-1d</v>
      </c>
      <c r="F7" t="str">
        <v>20EC118-ST3-1e</v>
      </c>
      <c r="G7" t="str">
        <v>Unattempted</v>
      </c>
      <c r="H7" t="str">
        <v>Unattempted</v>
      </c>
      <c r="I7" t="str">
        <v>20EC118-ST3-Q4</v>
      </c>
      <c r="J7" t="str">
        <v>20EC118-ST3-Q5</v>
      </c>
      <c r="K7" t="str">
        <v>20EC118-ST3-Q6</v>
      </c>
      <c r="L7" t="str">
        <v>20EC118-ST3-Q7</v>
      </c>
      <c r="M7" t="str">
        <v>Unattempted</v>
      </c>
      <c r="N7" t="str">
        <v>Unattempted</v>
      </c>
      <c r="O7" t="str">
        <v>Unattempted</v>
      </c>
      <c r="P7" t="str">
        <v>Unattempted</v>
      </c>
      <c r="Q7" t="str">
        <v>20EC118-ST3-Q12</v>
      </c>
      <c r="R7" t="str">
        <v>Unattempted</v>
      </c>
      <c r="S7" t="str">
        <v>Unattempted</v>
      </c>
      <c r="T7" t="str">
        <v>Unattempted</v>
      </c>
      <c r="U7" t="str">
        <v>Unattempted</v>
      </c>
      <c r="V7" t="str">
        <v>Unattempted</v>
      </c>
      <c r="W7" t="str">
        <v>Unattempted</v>
      </c>
      <c r="X7" t="str">
        <v>Unattempted</v>
      </c>
    </row>
    <row r="8" spans="1:24" x14ac:dyDescent="0.3">
      <c r="A8" t="str">
        <v>2010992009 </v>
      </c>
      <c r="B8" t="str">
        <v>Unattempted</v>
      </c>
      <c r="C8" t="str">
        <v>Unattempted</v>
      </c>
      <c r="D8" t="str">
        <v>Unattempted</v>
      </c>
      <c r="E8" t="str">
        <v>Unattempted</v>
      </c>
      <c r="F8" t="str">
        <v>Unattempted</v>
      </c>
      <c r="G8" t="str">
        <v>Unattempted</v>
      </c>
      <c r="H8" t="str">
        <v>Unattempted</v>
      </c>
      <c r="I8" t="str">
        <v>Unattempted</v>
      </c>
      <c r="J8" t="str">
        <v>Unattempted</v>
      </c>
      <c r="K8" t="str">
        <v>Unattempted</v>
      </c>
      <c r="L8" t="str">
        <v>Unattempted</v>
      </c>
      <c r="M8" t="str">
        <v>Unattempted</v>
      </c>
      <c r="N8" t="str">
        <v>Unattempted</v>
      </c>
      <c r="O8" t="str">
        <v>Unattempted</v>
      </c>
      <c r="P8" t="str">
        <v>Unattempted</v>
      </c>
      <c r="Q8" t="str">
        <v>Unattempted</v>
      </c>
      <c r="R8" t="str">
        <v>Unattempted</v>
      </c>
      <c r="S8" t="str">
        <v>Unattempted</v>
      </c>
      <c r="T8" t="str">
        <v>Unattempted</v>
      </c>
      <c r="U8" t="str">
        <v>Unattempted</v>
      </c>
      <c r="V8" t="str">
        <v>Unattempted</v>
      </c>
      <c r="W8" t="str">
        <v>Unattempted</v>
      </c>
      <c r="X8" t="str">
        <v>Unattempted</v>
      </c>
    </row>
    <row r="9" spans="1:24" x14ac:dyDescent="0.3">
      <c r="A9" t="str">
        <v>2010992010 </v>
      </c>
      <c r="B9" t="str">
        <v>20EC118-ST3-1a</v>
      </c>
      <c r="C9" t="str">
        <v>20EC118-ST3-1b</v>
      </c>
      <c r="D9" t="str">
        <v>20EC118-ST3-1c</v>
      </c>
      <c r="E9" t="str">
        <v>20EC118-ST3-1d</v>
      </c>
      <c r="F9" t="str">
        <v>20EC118-ST3-1e</v>
      </c>
      <c r="G9" t="str">
        <v>20EC118-ST3-Q2</v>
      </c>
      <c r="H9" t="str">
        <v>Unattempted</v>
      </c>
      <c r="I9" t="str">
        <v>Unattempted</v>
      </c>
      <c r="J9" t="str">
        <v>Unattempted</v>
      </c>
      <c r="K9" t="str">
        <v>20EC118-ST3-Q6</v>
      </c>
      <c r="L9" t="str">
        <v>20EC118-ST3-Q7</v>
      </c>
      <c r="M9" t="str">
        <v>Unattempted</v>
      </c>
      <c r="N9" t="str">
        <v>Unattempted</v>
      </c>
      <c r="O9" t="str">
        <v>Unattempted</v>
      </c>
      <c r="P9" t="str">
        <v>Unattempted</v>
      </c>
      <c r="Q9" t="str">
        <v>20EC118-ST3-Q12</v>
      </c>
      <c r="R9" t="str">
        <v>Unattempted</v>
      </c>
      <c r="S9" t="str">
        <v>Unattempted</v>
      </c>
      <c r="T9" t="str">
        <v>Unattempted</v>
      </c>
      <c r="U9" t="str">
        <v>Unattempted</v>
      </c>
      <c r="V9" t="str">
        <v>Unattempted</v>
      </c>
      <c r="W9" t="str">
        <v>Unattempted</v>
      </c>
      <c r="X9" t="str">
        <v>Unattempted</v>
      </c>
    </row>
    <row r="10" spans="1:24" x14ac:dyDescent="0.3">
      <c r="A10" t="str">
        <v>2010992011 </v>
      </c>
      <c r="B10" t="str">
        <v>20EC118-ST3-1a</v>
      </c>
      <c r="C10" t="str">
        <v>20EC118-ST3-1b</v>
      </c>
      <c r="D10" t="str">
        <v>20EC118-ST3-1c</v>
      </c>
      <c r="E10" t="str">
        <v>20EC118-ST3-1d</v>
      </c>
      <c r="F10" t="str">
        <v>20EC118-ST3-1e</v>
      </c>
      <c r="G10" t="str">
        <v>Unattempted</v>
      </c>
      <c r="H10" t="str">
        <v>20EC118-ST3-Q3</v>
      </c>
      <c r="I10" t="str">
        <v>20EC118-ST3-Q4</v>
      </c>
      <c r="J10" t="str">
        <v>20EC118-ST3-Q5</v>
      </c>
      <c r="K10" t="str">
        <v>20EC118-ST3-Q6</v>
      </c>
      <c r="L10" t="str">
        <v>20EC118-ST3-Q7</v>
      </c>
      <c r="M10" t="str">
        <v>Unattempted</v>
      </c>
      <c r="N10" t="str">
        <v>Unattempted</v>
      </c>
      <c r="O10" t="str">
        <v>Unattempted</v>
      </c>
      <c r="P10" t="str">
        <v>Unattempted</v>
      </c>
      <c r="Q10" t="str">
        <v>Unattempted</v>
      </c>
      <c r="R10" t="str">
        <v>20EC118-ST3-Q13</v>
      </c>
      <c r="S10" t="str">
        <v>Unattempted</v>
      </c>
      <c r="T10" t="str">
        <v>Unattempted</v>
      </c>
      <c r="U10" t="str">
        <v>Unattempted</v>
      </c>
      <c r="V10" t="str">
        <v>Unattempted</v>
      </c>
      <c r="W10" t="str">
        <v>Unattempted</v>
      </c>
      <c r="X10" t="str">
        <v>Unattempted</v>
      </c>
    </row>
    <row r="11" spans="1:24" x14ac:dyDescent="0.3">
      <c r="A11" t="str">
        <v>2010992012 </v>
      </c>
      <c r="B11" t="str">
        <v>20EC118-ST3-1a</v>
      </c>
      <c r="C11" t="str">
        <v>20EC118-ST3-1b</v>
      </c>
      <c r="D11" t="str">
        <v>20EC118-ST3-1c</v>
      </c>
      <c r="E11" t="str">
        <v>20EC118-ST3-1d</v>
      </c>
      <c r="F11" t="str">
        <v>20EC118-ST3-1e</v>
      </c>
      <c r="G11" t="str">
        <v>Unattempted</v>
      </c>
      <c r="H11" t="str">
        <v>Unattempted</v>
      </c>
      <c r="I11" t="str">
        <v>20EC118-ST3-Q4</v>
      </c>
      <c r="J11" t="str">
        <v>20EC118-ST3-Q5</v>
      </c>
      <c r="K11" t="str">
        <v>Unattempted</v>
      </c>
      <c r="L11" t="str">
        <v>20EC118-ST3-Q7</v>
      </c>
      <c r="M11" t="str">
        <v>Unattempted</v>
      </c>
      <c r="N11" t="str">
        <v>Unattempted</v>
      </c>
      <c r="O11" t="str">
        <v>Unattempted</v>
      </c>
      <c r="P11" t="str">
        <v>Unattempted</v>
      </c>
      <c r="Q11" t="str">
        <v>20EC118-ST3-Q12</v>
      </c>
      <c r="R11" t="str">
        <v>Unattempted</v>
      </c>
      <c r="S11" t="str">
        <v>Unattempted</v>
      </c>
      <c r="T11" t="str">
        <v>Unattempted</v>
      </c>
      <c r="U11" t="str">
        <v>Unattempted</v>
      </c>
      <c r="V11" t="str">
        <v>Unattempted</v>
      </c>
      <c r="W11" t="str">
        <v>Unattempted</v>
      </c>
      <c r="X11" t="str">
        <v>Unattempted</v>
      </c>
    </row>
    <row r="12" spans="1:24" x14ac:dyDescent="0.3">
      <c r="A12" t="str">
        <v>2010992014 </v>
      </c>
      <c r="B12" t="str">
        <v>20EC118-ST3-1a</v>
      </c>
      <c r="C12" t="str">
        <v>20EC118-ST3-1b</v>
      </c>
      <c r="D12" t="str">
        <v>20EC118-ST3-1c</v>
      </c>
      <c r="E12" t="str">
        <v>20EC118-ST3-1d</v>
      </c>
      <c r="F12" t="str">
        <v>20EC118-ST3-1e</v>
      </c>
      <c r="G12" t="str">
        <v>Unattempted</v>
      </c>
      <c r="H12" t="str">
        <v>Unattempted</v>
      </c>
      <c r="I12" t="str">
        <v>Unattempted</v>
      </c>
      <c r="J12" t="str">
        <v>20EC118-ST3-Q5</v>
      </c>
      <c r="K12" t="str">
        <v>Unattempted</v>
      </c>
      <c r="L12" t="str">
        <v>Unattempted</v>
      </c>
      <c r="M12" t="str">
        <v>Unattempted</v>
      </c>
      <c r="N12" t="str">
        <v>Unattempted</v>
      </c>
      <c r="O12" t="str">
        <v>Unattempted</v>
      </c>
      <c r="P12" t="str">
        <v>Unattempted</v>
      </c>
      <c r="Q12" t="str">
        <v>20EC118-ST3-Q12</v>
      </c>
      <c r="R12" t="str">
        <v>Unattempted</v>
      </c>
      <c r="S12" t="str">
        <v>Unattempted</v>
      </c>
      <c r="T12" t="str">
        <v>Unattempted</v>
      </c>
      <c r="U12" t="str">
        <v>Unattempted</v>
      </c>
      <c r="V12" t="str">
        <v>Unattempted</v>
      </c>
      <c r="W12" t="str">
        <v>Unattempted</v>
      </c>
      <c r="X12" t="str">
        <v>Unattempted</v>
      </c>
    </row>
    <row r="13" spans="1:24" x14ac:dyDescent="0.3">
      <c r="A13" t="str">
        <v>2010992015 </v>
      </c>
      <c r="B13" t="str">
        <v>20EC118-ST3-1a</v>
      </c>
      <c r="C13" t="str">
        <v>20EC118-ST3-1b</v>
      </c>
      <c r="D13" t="str">
        <v>20EC118-ST3-1c</v>
      </c>
      <c r="E13" t="str">
        <v>20EC118-ST3-1d</v>
      </c>
      <c r="F13" t="str">
        <v>20EC118-ST3-1e</v>
      </c>
      <c r="G13" t="str">
        <v>20EC118-ST3-Q2</v>
      </c>
      <c r="H13" t="str">
        <v>Unattempted</v>
      </c>
      <c r="I13" t="str">
        <v>20EC118-ST3-Q4</v>
      </c>
      <c r="J13" t="str">
        <v>20EC118-ST3-Q5</v>
      </c>
      <c r="K13" t="str">
        <v>20EC118-ST3-Q6</v>
      </c>
      <c r="L13" t="str">
        <v>20EC118-ST3-Q7</v>
      </c>
      <c r="M13" t="str">
        <v>20EC118-ST3-Q8</v>
      </c>
      <c r="N13" t="str">
        <v>Unattempted</v>
      </c>
      <c r="O13" t="str">
        <v>Unattempted</v>
      </c>
      <c r="P13" t="str">
        <v>Unattempted</v>
      </c>
      <c r="Q13" t="str">
        <v>Unattempted</v>
      </c>
      <c r="R13" t="str">
        <v>20EC118-ST3-Q13</v>
      </c>
      <c r="S13" t="str">
        <v>Unattempted</v>
      </c>
      <c r="T13" t="str">
        <v>Unattempted</v>
      </c>
      <c r="U13" t="str">
        <v>Unattempted</v>
      </c>
      <c r="V13" t="str">
        <v>Unattempted</v>
      </c>
      <c r="W13" t="str">
        <v>Unattempted</v>
      </c>
      <c r="X13" t="str">
        <v>Unattempted</v>
      </c>
    </row>
    <row r="14" spans="1:24" x14ac:dyDescent="0.3">
      <c r="A14" t="str">
        <v>2010992016 </v>
      </c>
      <c r="B14" t="str">
        <v>20EC118-ST3-1a</v>
      </c>
      <c r="C14" t="str">
        <v>20EC118-ST3-1b</v>
      </c>
      <c r="D14" t="str">
        <v>20EC118-ST3-1c</v>
      </c>
      <c r="E14" t="str">
        <v>20EC118-ST3-1d</v>
      </c>
      <c r="F14" t="str">
        <v>20EC118-ST3-1e</v>
      </c>
      <c r="G14" t="str">
        <v>20EC118-ST3-Q2</v>
      </c>
      <c r="H14" t="str">
        <v>20EC118-ST3-Q3</v>
      </c>
      <c r="I14" t="str">
        <v>20EC118-ST3-Q4</v>
      </c>
      <c r="J14" t="str">
        <v>Unattempted</v>
      </c>
      <c r="K14" t="str">
        <v>20EC118-ST3-Q6</v>
      </c>
      <c r="L14" t="str">
        <v>20EC118-ST3-Q7</v>
      </c>
      <c r="M14" t="str">
        <v>20EC118-ST3-Q8</v>
      </c>
      <c r="N14" t="str">
        <v>Unattempted</v>
      </c>
      <c r="O14" t="str">
        <v>20EC118-ST3-Q10</v>
      </c>
      <c r="P14" t="str">
        <v>20EC118-ST3-Q11</v>
      </c>
      <c r="Q14" t="str">
        <v>20EC118-ST3-Q12</v>
      </c>
      <c r="R14" t="str">
        <v>Unattempted</v>
      </c>
      <c r="S14" t="str">
        <v>Unattempted</v>
      </c>
      <c r="T14" t="str">
        <v>Unattempted</v>
      </c>
      <c r="U14" t="str">
        <v>Unattempted</v>
      </c>
      <c r="V14" t="str">
        <v>Unattempted</v>
      </c>
      <c r="W14" t="str">
        <v>Unattempted</v>
      </c>
      <c r="X14" t="str">
        <v>Unattempted</v>
      </c>
    </row>
    <row r="15" spans="1:24" x14ac:dyDescent="0.3">
      <c r="A15" t="str">
        <v>2010992017 </v>
      </c>
      <c r="B15" t="str">
        <v>20EC118-ST3-1a</v>
      </c>
      <c r="C15" t="str">
        <v>20EC118-ST3-1b</v>
      </c>
      <c r="D15" t="str">
        <v>20EC118-ST3-1c</v>
      </c>
      <c r="E15" t="str">
        <v>20EC118-ST3-1d</v>
      </c>
      <c r="F15" t="str">
        <v>20EC118-ST3-1e</v>
      </c>
      <c r="G15" t="str">
        <v>20EC118-ST3-Q2</v>
      </c>
      <c r="H15" t="str">
        <v>20EC118-ST3-Q3</v>
      </c>
      <c r="I15" t="str">
        <v>Unattempted</v>
      </c>
      <c r="J15" t="str">
        <v>Unattempted</v>
      </c>
      <c r="K15" t="str">
        <v>Unattempted</v>
      </c>
      <c r="L15" t="str">
        <v>20EC118-ST3-Q7</v>
      </c>
      <c r="M15" t="str">
        <v>Unattempted</v>
      </c>
      <c r="N15" t="str">
        <v>Unattempted</v>
      </c>
      <c r="O15" t="str">
        <v>Unattempted</v>
      </c>
      <c r="P15" t="str">
        <v>Unattempted</v>
      </c>
      <c r="Q15" t="str">
        <v>20EC118-ST3-Q12</v>
      </c>
      <c r="R15" t="str">
        <v>Unattempted</v>
      </c>
      <c r="S15" t="str">
        <v>Unattempted</v>
      </c>
      <c r="T15" t="str">
        <v>Unattempted</v>
      </c>
      <c r="U15" t="str">
        <v>Unattempted</v>
      </c>
      <c r="V15" t="str">
        <v>Unattempted</v>
      </c>
      <c r="W15" t="str">
        <v>Unattempted</v>
      </c>
      <c r="X15" t="str">
        <v>Unattempted</v>
      </c>
    </row>
    <row r="16" spans="1:24" x14ac:dyDescent="0.3">
      <c r="A16" t="str">
        <v>2010992018 </v>
      </c>
      <c r="B16" t="str">
        <v>20EC118-ST3-1a</v>
      </c>
      <c r="C16" t="str">
        <v>20EC118-ST3-1b</v>
      </c>
      <c r="D16" t="str">
        <v>20EC118-ST3-1c</v>
      </c>
      <c r="E16" t="str">
        <v>20EC118-ST3-1d</v>
      </c>
      <c r="F16" t="str">
        <v>20EC118-ST3-1e</v>
      </c>
      <c r="G16" t="str">
        <v>20EC118-ST3-Q2</v>
      </c>
      <c r="H16" t="str">
        <v>20EC118-ST3-Q3</v>
      </c>
      <c r="I16" t="str">
        <v>20EC118-ST3-Q4</v>
      </c>
      <c r="J16" t="str">
        <v>20EC118-ST3-Q5</v>
      </c>
      <c r="K16" t="str">
        <v>Unattempted</v>
      </c>
      <c r="L16" t="str">
        <v>20EC118-ST3-Q7</v>
      </c>
      <c r="M16" t="str">
        <v>20EC118-ST3-Q8</v>
      </c>
      <c r="N16" t="str">
        <v>20EC118-ST3-Q9</v>
      </c>
      <c r="O16" t="str">
        <v>Unattempted</v>
      </c>
      <c r="P16" t="str">
        <v>Unattempted</v>
      </c>
      <c r="Q16" t="str">
        <v>Unattempted</v>
      </c>
      <c r="R16" t="str">
        <v>20EC118-ST3-Q13</v>
      </c>
      <c r="S16" t="str">
        <v>Unattempted</v>
      </c>
      <c r="T16" t="str">
        <v>Unattempted</v>
      </c>
      <c r="U16" t="str">
        <v>Unattempted</v>
      </c>
      <c r="V16" t="str">
        <v>Unattempted</v>
      </c>
      <c r="W16" t="str">
        <v>Unattempted</v>
      </c>
      <c r="X16" t="str">
        <v>Unattempted</v>
      </c>
    </row>
    <row r="17" spans="1:24" x14ac:dyDescent="0.3">
      <c r="A17" t="str">
        <v>2010992163 </v>
      </c>
      <c r="B17" t="str">
        <v>Unattempted</v>
      </c>
      <c r="C17" t="str">
        <v>Unattempted</v>
      </c>
      <c r="D17" t="str">
        <v>Unattempted</v>
      </c>
      <c r="E17" t="str">
        <v>Unattempted</v>
      </c>
      <c r="F17" t="str">
        <v>Unattempted</v>
      </c>
      <c r="G17" t="str">
        <v>Unattempted</v>
      </c>
      <c r="H17" t="str">
        <v>Unattempted</v>
      </c>
      <c r="I17" t="str">
        <v>Unattempted</v>
      </c>
      <c r="J17" t="str">
        <v>Unattempted</v>
      </c>
      <c r="K17" t="str">
        <v>Unattempted</v>
      </c>
      <c r="L17" t="str">
        <v>Unattempted</v>
      </c>
      <c r="M17" t="str">
        <v>Unattempted</v>
      </c>
      <c r="N17" t="str">
        <v>Unattempted</v>
      </c>
      <c r="O17" t="str">
        <v>Unattempted</v>
      </c>
      <c r="P17" t="str">
        <v>Unattempted</v>
      </c>
      <c r="Q17" t="str">
        <v>Unattempted</v>
      </c>
      <c r="R17" t="str">
        <v>Unattempted</v>
      </c>
      <c r="S17" t="str">
        <v>Unattempted</v>
      </c>
      <c r="T17" t="str">
        <v>Unattempted</v>
      </c>
      <c r="U17" t="str">
        <v>Unattempted</v>
      </c>
      <c r="V17" t="str">
        <v>Unattempted</v>
      </c>
      <c r="W17" t="str">
        <v>Unattempted</v>
      </c>
      <c r="X17" t="str">
        <v>Unattempted</v>
      </c>
    </row>
    <row r="18" spans="1:24" x14ac:dyDescent="0.3">
      <c r="A18" t="str">
        <v>2010992202 </v>
      </c>
      <c r="B18" t="str">
        <v>20EC118-ST3-1a</v>
      </c>
      <c r="C18" t="str">
        <v>20EC118-ST3-1b</v>
      </c>
      <c r="D18" t="str">
        <v>20EC118-ST3-1c</v>
      </c>
      <c r="E18" t="str">
        <v>20EC118-ST3-1d</v>
      </c>
      <c r="F18" t="str">
        <v>20EC118-ST3-1e</v>
      </c>
      <c r="G18" t="str">
        <v>20EC118-ST3-Q2</v>
      </c>
      <c r="H18" t="str">
        <v>20EC118-ST3-Q3</v>
      </c>
      <c r="I18" t="str">
        <v>20EC118-ST3-Q4</v>
      </c>
      <c r="J18" t="str">
        <v>20EC118-ST3-Q5</v>
      </c>
      <c r="K18" t="str">
        <v>Unattempted</v>
      </c>
      <c r="L18" t="str">
        <v>20EC118-ST3-Q7</v>
      </c>
      <c r="M18" t="str">
        <v>Unattempted</v>
      </c>
      <c r="N18" t="str">
        <v>Unattempted</v>
      </c>
      <c r="O18" t="str">
        <v>20EC118-ST3-Q10</v>
      </c>
      <c r="P18" t="str">
        <v>Unattempted</v>
      </c>
      <c r="Q18" t="str">
        <v>Unattempted</v>
      </c>
      <c r="R18" t="str">
        <v>20EC118-ST3-Q13</v>
      </c>
      <c r="S18" t="str">
        <v>Unattempted</v>
      </c>
      <c r="T18" t="str">
        <v>Unattempted</v>
      </c>
      <c r="U18" t="str">
        <v>Unattempted</v>
      </c>
      <c r="V18" t="str">
        <v>Unattempted</v>
      </c>
      <c r="W18" t="str">
        <v>Unattempted</v>
      </c>
      <c r="X18" t="str">
        <v>Unattempted</v>
      </c>
    </row>
    <row r="19" spans="1:24" x14ac:dyDescent="0.3">
      <c r="A19" t="str">
        <v>2010992203 </v>
      </c>
      <c r="B19" t="str">
        <v>20EC118-ST3-1a</v>
      </c>
      <c r="C19" t="str">
        <v>20EC118-ST3-1b</v>
      </c>
      <c r="D19" t="str">
        <v>20EC118-ST3-1c</v>
      </c>
      <c r="E19" t="str">
        <v>20EC118-ST3-1d</v>
      </c>
      <c r="F19" t="str">
        <v>20EC118-ST3-1e</v>
      </c>
      <c r="G19" t="str">
        <v>20EC118-ST3-Q2</v>
      </c>
      <c r="H19" t="str">
        <v>20EC118-ST3-Q3</v>
      </c>
      <c r="I19" t="str">
        <v>Unattempted</v>
      </c>
      <c r="J19" t="str">
        <v>Unattempted</v>
      </c>
      <c r="K19" t="str">
        <v>20EC118-ST3-Q6</v>
      </c>
      <c r="L19" t="str">
        <v>20EC118-ST3-Q7</v>
      </c>
      <c r="M19" t="str">
        <v>Unattempted</v>
      </c>
      <c r="N19" t="str">
        <v>Unattempted</v>
      </c>
      <c r="O19" t="str">
        <v>Unattempted</v>
      </c>
      <c r="P19" t="str">
        <v>Unattempted</v>
      </c>
      <c r="Q19" t="str">
        <v>Unattempted</v>
      </c>
      <c r="R19" t="str">
        <v>20EC118-ST3-Q13</v>
      </c>
      <c r="S19" t="str">
        <v>Unattempted</v>
      </c>
      <c r="T19" t="str">
        <v>Unattempted</v>
      </c>
      <c r="U19" t="str">
        <v>Unattempted</v>
      </c>
      <c r="V19" t="str">
        <v>Unattempted</v>
      </c>
      <c r="W19" t="str">
        <v>Unattempted</v>
      </c>
      <c r="X19" t="str">
        <v>Unattempted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FA7BE-945A-45B0-B254-327ACA3B5B8E}">
  <sheetPr codeName="Sheet26">
    <tabColor rgb="FFFFFF00"/>
  </sheetPr>
  <dimension ref="A1:G19"/>
  <sheetViews>
    <sheetView workbookViewId="0"/>
  </sheetViews>
  <sheetFormatPr defaultRowHeight="14.4" x14ac:dyDescent="0.3"/>
  <cols>
    <col min="1" max="1" width="21" bestFit="1" customWidth="1"/>
    <col min="2" max="7" width="10.5546875" bestFit="1" customWidth="1"/>
  </cols>
  <sheetData>
    <row r="1" spans="1:7" x14ac:dyDescent="0.3">
      <c r="A1" t="str" cm="1">
        <f t="array" ref="A1:A19">INDEX('ST3 Result'!B:B, 1):INDEX('ST3 Result'!B:B, COUNTA('ST3 Result'!B:B))</f>
        <v>Admission No. (Roll No.)</v>
      </c>
      <c r="B1" t="str" cm="1">
        <f t="array" ref="B1:G1">'ST3 CO Question Map'!C1:H1</f>
        <v>EC118_CO1</v>
      </c>
      <c r="C1" t="str">
        <v>EC118_CO2</v>
      </c>
      <c r="D1" t="str">
        <v>EC118_CO3</v>
      </c>
      <c r="E1" t="str">
        <v>EC118_CO4</v>
      </c>
      <c r="F1" t="str">
        <v>EC118_CO5</v>
      </c>
      <c r="G1" t="str">
        <v>EC118_CO6</v>
      </c>
    </row>
    <row r="2" spans="1:7" x14ac:dyDescent="0.3">
      <c r="A2" t="str">
        <v>2010990089 </v>
      </c>
      <c r="B2" cm="1">
        <f t="array" ref="B2:B19">_xlfn.BYROW($A2:INDEX($A:$A,COUNTA($A:$A)),_xlfn.LAMBDA(_xlpm.studentID,SUM(IFERROR( _xlfn.XLOOKUP(IF(_xlfn.XLOOKUP(B$1,'ST3 CO Question Map'!$C$1:$H$1,
          'ST3 CO Question Map'!$C$2:$H$24)= TRUE,TRANSPOSE(_xlfn.XLOOKUP(_xlpm.studentID,'ST3 Question Map'!$A$2:INDEX('ST3 Question Map'!$A:$A, COUNTA('ST3 Question Map'!$A:$A)),'ST3 Question Map'!$B$2:INDEX('ST3 Question Map'!$X:$X, COUNTA('ST3 Question Map'!$X:$X))))), 'ST3 CO Question Map'!$A$2:$A$24,'ST3 CO Question Map'!$B$2:$B$24),0))))</f>
        <v>5</v>
      </c>
      <c r="C2" cm="1">
        <f t="array" ref="C2:C19">_xlfn.BYROW($A2:INDEX($A:$A,COUNTA($A:$A)),_xlfn.LAMBDA(_xlpm.studentID,SUM(IFERROR( _xlfn.XLOOKUP(IF(_xlfn.XLOOKUP(C$1,'ST3 CO Question Map'!$C$1:$H$1,
          'ST3 CO Question Map'!$C$2:$H$24)= TRUE,TRANSPOSE(_xlfn.XLOOKUP(_xlpm.studentID,'ST3 Question Map'!$A$2:INDEX('ST3 Question Map'!$A:$A, COUNTA('ST3 Question Map'!$A:$A)),'ST3 Question Map'!$B$2:INDEX('ST3 Question Map'!$X:$X, COUNTA('ST3 Question Map'!$X:$X))))), 'ST3 CO Question Map'!$A$2:$A$24,'ST3 CO Question Map'!$B$2:$B$24),0))))</f>
        <v>0</v>
      </c>
      <c r="D2" cm="1">
        <f t="array" ref="D2:D19">_xlfn.BYROW($A2:INDEX($A:$A,COUNTA($A:$A)),_xlfn.LAMBDA(_xlpm.studentID,SUM(IFERROR( _xlfn.XLOOKUP(IF(_xlfn.XLOOKUP(D$1,'ST3 CO Question Map'!$C$1:$H$1,
          'ST3 CO Question Map'!$C$2:$H$24)= TRUE,TRANSPOSE(_xlfn.XLOOKUP(_xlpm.studentID,'ST3 Question Map'!$A$2:INDEX('ST3 Question Map'!$A:$A, COUNTA('ST3 Question Map'!$A:$A)),'ST3 Question Map'!$B$2:INDEX('ST3 Question Map'!$X:$X, COUNTA('ST3 Question Map'!$X:$X))))), 'ST3 CO Question Map'!$A$2:$A$24,'ST3 CO Question Map'!$B$2:$B$24),0))))</f>
        <v>5</v>
      </c>
      <c r="E2" cm="1">
        <f t="array" ref="E2:E19">_xlfn.BYROW($A2:INDEX($A:$A,COUNTA($A:$A)),_xlfn.LAMBDA(_xlpm.studentID,SUM(IFERROR( _xlfn.XLOOKUP(IF(_xlfn.XLOOKUP(E$1,'ST3 CO Question Map'!$C$1:$H$1,
          'ST3 CO Question Map'!$C$2:$H$24)= TRUE,TRANSPOSE(_xlfn.XLOOKUP(_xlpm.studentID,'ST3 Question Map'!$A$2:INDEX('ST3 Question Map'!$A:$A, COUNTA('ST3 Question Map'!$A:$A)),'ST3 Question Map'!$B$2:INDEX('ST3 Question Map'!$X:$X, COUNTA('ST3 Question Map'!$X:$X))))), 'ST3 CO Question Map'!$A$2:$A$24,'ST3 CO Question Map'!$B$2:$B$24),0))))</f>
        <v>0</v>
      </c>
      <c r="F2" cm="1">
        <f t="array" ref="F2:F19">_xlfn.BYROW($A2:INDEX($A:$A,COUNTA($A:$A)),_xlfn.LAMBDA(_xlpm.studentID,SUM(IFERROR( _xlfn.XLOOKUP(IF(_xlfn.XLOOKUP(F$1,'ST3 CO Question Map'!$C$1:$H$1,
          'ST3 CO Question Map'!$C$2:$H$24)= TRUE,TRANSPOSE(_xlfn.XLOOKUP(_xlpm.studentID,'ST3 Question Map'!$A$2:INDEX('ST3 Question Map'!$A:$A, COUNTA('ST3 Question Map'!$A:$A)),'ST3 Question Map'!$B$2:INDEX('ST3 Question Map'!$X:$X, COUNTA('ST3 Question Map'!$X:$X))))), 'ST3 CO Question Map'!$A$2:$A$24,'ST3 CO Question Map'!$B$2:$B$24),0))))</f>
        <v>0</v>
      </c>
      <c r="G2" cm="1">
        <f t="array" ref="G2:G19">_xlfn.BYROW($A2:INDEX($A:$A,COUNTA($A:$A)),_xlfn.LAMBDA(_xlpm.studentID,SUM(IFERROR( _xlfn.XLOOKUP(IF(_xlfn.XLOOKUP(G$1,'ST3 CO Question Map'!$C$1:$H$1,
          'ST3 CO Question Map'!$C$2:$H$24)= TRUE,TRANSPOSE(_xlfn.XLOOKUP(_xlpm.studentID,'ST3 Question Map'!$A$2:INDEX('ST3 Question Map'!$A:$A, COUNTA('ST3 Question Map'!$A:$A)),'ST3 Question Map'!$B$2:INDEX('ST3 Question Map'!$X:$X, COUNTA('ST3 Question Map'!$X:$X))))), 'ST3 CO Question Map'!$A$2:$A$24,'ST3 CO Question Map'!$B$2:$B$24),0))))</f>
        <v>0</v>
      </c>
    </row>
    <row r="3" spans="1:7" x14ac:dyDescent="0.3">
      <c r="A3" t="str">
        <v>2010992002 </v>
      </c>
      <c r="B3">
        <v>19</v>
      </c>
      <c r="C3">
        <v>14</v>
      </c>
      <c r="D3">
        <v>2</v>
      </c>
      <c r="E3">
        <v>0</v>
      </c>
      <c r="F3">
        <v>0</v>
      </c>
      <c r="G3">
        <v>0</v>
      </c>
    </row>
    <row r="4" spans="1:7" x14ac:dyDescent="0.3">
      <c r="A4" t="str">
        <v>2010992004 </v>
      </c>
      <c r="B4">
        <v>14</v>
      </c>
      <c r="C4">
        <v>9</v>
      </c>
      <c r="D4">
        <v>2</v>
      </c>
      <c r="E4">
        <v>0</v>
      </c>
      <c r="F4">
        <v>0</v>
      </c>
      <c r="G4">
        <v>0</v>
      </c>
    </row>
    <row r="5" spans="1:7" x14ac:dyDescent="0.3">
      <c r="A5" t="str">
        <v>2010992005 </v>
      </c>
      <c r="B5">
        <v>7</v>
      </c>
      <c r="C5">
        <v>2</v>
      </c>
      <c r="D5">
        <v>5</v>
      </c>
      <c r="E5">
        <v>0</v>
      </c>
      <c r="F5">
        <v>0</v>
      </c>
      <c r="G5">
        <v>0</v>
      </c>
    </row>
    <row r="6" spans="1:7" x14ac:dyDescent="0.3">
      <c r="A6" t="str">
        <v>2010992006 </v>
      </c>
      <c r="B6">
        <v>14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">
      <c r="A7" t="str">
        <v>2010992008 </v>
      </c>
      <c r="B7">
        <v>10</v>
      </c>
      <c r="C7">
        <v>6</v>
      </c>
      <c r="D7">
        <v>2</v>
      </c>
      <c r="E7">
        <v>0</v>
      </c>
      <c r="F7">
        <v>0</v>
      </c>
      <c r="G7">
        <v>0</v>
      </c>
    </row>
    <row r="8" spans="1:7" x14ac:dyDescent="0.3">
      <c r="A8" t="str">
        <v>2010992009 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">
      <c r="A9" t="str">
        <v>2010992010 </v>
      </c>
      <c r="B9">
        <v>12</v>
      </c>
      <c r="C9">
        <v>2</v>
      </c>
      <c r="D9">
        <v>2</v>
      </c>
      <c r="E9">
        <v>0</v>
      </c>
      <c r="F9">
        <v>0</v>
      </c>
      <c r="G9">
        <v>0</v>
      </c>
    </row>
    <row r="10" spans="1:7" x14ac:dyDescent="0.3">
      <c r="A10" t="str">
        <v>2010992011 </v>
      </c>
      <c r="B10">
        <v>7</v>
      </c>
      <c r="C10">
        <v>6</v>
      </c>
      <c r="D10">
        <v>7</v>
      </c>
      <c r="E10">
        <v>0</v>
      </c>
      <c r="F10">
        <v>0</v>
      </c>
      <c r="G10">
        <v>0</v>
      </c>
    </row>
    <row r="11" spans="1:7" x14ac:dyDescent="0.3">
      <c r="A11" t="str">
        <v>2010992012 </v>
      </c>
      <c r="B11">
        <v>10</v>
      </c>
      <c r="C11">
        <v>6</v>
      </c>
      <c r="D11">
        <v>0</v>
      </c>
      <c r="E11">
        <v>0</v>
      </c>
      <c r="F11">
        <v>0</v>
      </c>
      <c r="G11">
        <v>0</v>
      </c>
    </row>
    <row r="12" spans="1:7" x14ac:dyDescent="0.3">
      <c r="A12" t="str">
        <v>2010992014 </v>
      </c>
      <c r="B12">
        <v>10</v>
      </c>
      <c r="C12">
        <v>2</v>
      </c>
      <c r="D12">
        <v>0</v>
      </c>
      <c r="E12">
        <v>0</v>
      </c>
      <c r="F12">
        <v>0</v>
      </c>
      <c r="G12">
        <v>0</v>
      </c>
    </row>
    <row r="13" spans="1:7" x14ac:dyDescent="0.3">
      <c r="A13" t="str">
        <v>2010992015 </v>
      </c>
      <c r="B13">
        <v>12</v>
      </c>
      <c r="C13">
        <v>6</v>
      </c>
      <c r="D13">
        <v>7</v>
      </c>
      <c r="E13">
        <v>0</v>
      </c>
      <c r="F13">
        <v>0</v>
      </c>
      <c r="G13">
        <v>0</v>
      </c>
    </row>
    <row r="14" spans="1:7" x14ac:dyDescent="0.3">
      <c r="A14" t="str">
        <v>2010992016 </v>
      </c>
      <c r="B14">
        <v>19</v>
      </c>
      <c r="C14">
        <v>14</v>
      </c>
      <c r="D14">
        <v>2</v>
      </c>
      <c r="E14">
        <v>0</v>
      </c>
      <c r="F14">
        <v>0</v>
      </c>
      <c r="G14">
        <v>0</v>
      </c>
    </row>
    <row r="15" spans="1:7" x14ac:dyDescent="0.3">
      <c r="A15" t="str">
        <v>2010992017 </v>
      </c>
      <c r="B15">
        <v>14</v>
      </c>
      <c r="C15">
        <v>2</v>
      </c>
      <c r="D15">
        <v>0</v>
      </c>
      <c r="E15">
        <v>0</v>
      </c>
      <c r="F15">
        <v>0</v>
      </c>
      <c r="G15">
        <v>0</v>
      </c>
    </row>
    <row r="16" spans="1:7" x14ac:dyDescent="0.3">
      <c r="A16" t="str">
        <v>2010992018 </v>
      </c>
      <c r="B16">
        <v>14</v>
      </c>
      <c r="C16">
        <v>11</v>
      </c>
      <c r="D16">
        <v>5</v>
      </c>
      <c r="E16">
        <v>0</v>
      </c>
      <c r="F16">
        <v>0</v>
      </c>
      <c r="G16">
        <v>0</v>
      </c>
    </row>
    <row r="17" spans="1:7" x14ac:dyDescent="0.3">
      <c r="A17" t="str">
        <v>2010992163 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">
      <c r="A18" t="str">
        <v>2010992202 </v>
      </c>
      <c r="B18">
        <v>9</v>
      </c>
      <c r="C18">
        <v>11</v>
      </c>
      <c r="D18">
        <v>5</v>
      </c>
      <c r="E18">
        <v>0</v>
      </c>
      <c r="F18">
        <v>0</v>
      </c>
      <c r="G18">
        <v>0</v>
      </c>
    </row>
    <row r="19" spans="1:7" x14ac:dyDescent="0.3">
      <c r="A19" t="str">
        <v>2010992203 </v>
      </c>
      <c r="B19">
        <v>9</v>
      </c>
      <c r="C19">
        <v>2</v>
      </c>
      <c r="D19">
        <v>7</v>
      </c>
      <c r="E19">
        <v>0</v>
      </c>
      <c r="F19">
        <v>0</v>
      </c>
      <c r="G19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41DD-2D17-4410-892A-77F5B57B5D07}">
  <sheetPr codeName="Sheet27">
    <tabColor rgb="FFFFFF00"/>
  </sheetPr>
  <dimension ref="A1:G19"/>
  <sheetViews>
    <sheetView workbookViewId="0"/>
  </sheetViews>
  <sheetFormatPr defaultRowHeight="14.4" x14ac:dyDescent="0.3"/>
  <cols>
    <col min="1" max="1" width="21" bestFit="1" customWidth="1"/>
    <col min="2" max="7" width="10.5546875" bestFit="1" customWidth="1"/>
  </cols>
  <sheetData>
    <row r="1" spans="1:7" x14ac:dyDescent="0.3">
      <c r="A1" t="str" cm="1">
        <f t="array" ref="A1:A19">INDEX('ST3 Result'!B:B, 1):INDEX('ST3 Result'!B:B, COUNTA('ST3 Result'!B:B))</f>
        <v>Admission No. (Roll No.)</v>
      </c>
      <c r="B1" t="str" cm="1">
        <f t="array" ref="B1:G1">'ST3 CO Question Map'!C1:H1</f>
        <v>EC118_CO1</v>
      </c>
      <c r="C1" t="str">
        <v>EC118_CO2</v>
      </c>
      <c r="D1" t="str">
        <v>EC118_CO3</v>
      </c>
      <c r="E1" t="str">
        <v>EC118_CO4</v>
      </c>
      <c r="F1" t="str">
        <v>EC118_CO5</v>
      </c>
      <c r="G1" t="str">
        <v>EC118_CO6</v>
      </c>
    </row>
    <row r="2" spans="1:7" x14ac:dyDescent="0.3">
      <c r="A2" t="str">
        <v>2010990089 </v>
      </c>
      <c r="B2" cm="1">
        <f t="array" ref="B2:B19">_xlfn.BYROW($A2:INDEX($A:$A,COUNTA($A:$A)),_xlfn.LAMBDA(_xlpm.studentID,SUM(IFERROR(_xlfn.XLOOKUP(IF(_xlfn.XLOOKUP(B$1,'ST3 CO Question Map'!$C$1:$H$1,
'ST3 CO Question Map'!$C$2:$H$24)=TRUE,TRANSPOSE(_xlfn.XLOOKUP(_xlpm.studentID,'ST3 Question Map'!$A$2:INDEX('ST3 Question Map'!$A:$A,COUNTA('ST3 Question Map'!$A:$A)),
'ST3 Question Map'!$B$2:INDEX('ST3 Question Map'!$X:$X,COUNTA('ST3 Question Map'!$X:$X))))),'ST3 Student Marks'!$B$1:$X$1,_xlfn.XLOOKUP(_xlpm.studentID,'ST3 Student Marks'!$A$1:INDEX('ST3 Student Marks'!$A:$A,COUNTA('ST3 Student Marks'!$A:$A)),
'ST3 Student Marks'!$B$1:INDEX('ST3 Student Marks'!$X:$X,COUNTA('ST3 Student Marks'!$X:$X)))),0))))</f>
        <v>5</v>
      </c>
      <c r="C2" cm="1">
        <f t="array" ref="C2:C19">_xlfn.BYROW($A2:INDEX($A:$A,COUNTA($A:$A)),_xlfn.LAMBDA(_xlpm.studentID,SUM(IFERROR(_xlfn.XLOOKUP(IF(_xlfn.XLOOKUP(C$1,'ST3 CO Question Map'!$C$1:$H$1,
'ST3 CO Question Map'!$C$2:$H$24)=TRUE,TRANSPOSE(_xlfn.XLOOKUP(_xlpm.studentID,'ST3 Question Map'!$A$2:INDEX('ST3 Question Map'!$A:$A,COUNTA('ST3 Question Map'!$A:$A)),
'ST3 Question Map'!$B$2:INDEX('ST3 Question Map'!$X:$X,COUNTA('ST3 Question Map'!$X:$X))))),'ST3 Student Marks'!$B$1:$X$1,_xlfn.XLOOKUP(_xlpm.studentID,'ST3 Student Marks'!$A$1:INDEX('ST3 Student Marks'!$A:$A,COUNTA('ST3 Student Marks'!$A:$A)),
'ST3 Student Marks'!$B$1:INDEX('ST3 Student Marks'!$X:$X,COUNTA('ST3 Student Marks'!$X:$X)))),0))))</f>
        <v>0</v>
      </c>
      <c r="D2" cm="1">
        <f t="array" ref="D2:D19">_xlfn.BYROW($A2:INDEX($A:$A,COUNTA($A:$A)),_xlfn.LAMBDA(_xlpm.studentID,SUM(IFERROR(_xlfn.XLOOKUP(IF(_xlfn.XLOOKUP(D$1,'ST3 CO Question Map'!$C$1:$H$1,
'ST3 CO Question Map'!$C$2:$H$24)=TRUE,TRANSPOSE(_xlfn.XLOOKUP(_xlpm.studentID,'ST3 Question Map'!$A$2:INDEX('ST3 Question Map'!$A:$A,COUNTA('ST3 Question Map'!$A:$A)),
'ST3 Question Map'!$B$2:INDEX('ST3 Question Map'!$X:$X,COUNTA('ST3 Question Map'!$X:$X))))),'ST3 Student Marks'!$B$1:$X$1,_xlfn.XLOOKUP(_xlpm.studentID,'ST3 Student Marks'!$A$1:INDEX('ST3 Student Marks'!$A:$A,COUNTA('ST3 Student Marks'!$A:$A)),
'ST3 Student Marks'!$B$1:INDEX('ST3 Student Marks'!$X:$X,COUNTA('ST3 Student Marks'!$X:$X)))),0))))</f>
        <v>1</v>
      </c>
      <c r="E2" cm="1">
        <f t="array" ref="E2:E19">_xlfn.BYROW($A2:INDEX($A:$A,COUNTA($A:$A)),_xlfn.LAMBDA(_xlpm.studentID,SUM(IFERROR(_xlfn.XLOOKUP(IF(_xlfn.XLOOKUP(E$1,'ST3 CO Question Map'!$C$1:$H$1,
'ST3 CO Question Map'!$C$2:$H$24)=TRUE,TRANSPOSE(_xlfn.XLOOKUP(_xlpm.studentID,'ST3 Question Map'!$A$2:INDEX('ST3 Question Map'!$A:$A,COUNTA('ST3 Question Map'!$A:$A)),
'ST3 Question Map'!$B$2:INDEX('ST3 Question Map'!$X:$X,COUNTA('ST3 Question Map'!$X:$X))))),'ST3 Student Marks'!$B$1:$X$1,_xlfn.XLOOKUP(_xlpm.studentID,'ST3 Student Marks'!$A$1:INDEX('ST3 Student Marks'!$A:$A,COUNTA('ST3 Student Marks'!$A:$A)),
'ST3 Student Marks'!$B$1:INDEX('ST3 Student Marks'!$X:$X,COUNTA('ST3 Student Marks'!$X:$X)))),0))))</f>
        <v>0</v>
      </c>
      <c r="F2" cm="1">
        <f t="array" ref="F2:F19">_xlfn.BYROW($A2:INDEX($A:$A,COUNTA($A:$A)),_xlfn.LAMBDA(_xlpm.studentID,SUM(IFERROR(_xlfn.XLOOKUP(IF(_xlfn.XLOOKUP(F$1,'ST3 CO Question Map'!$C$1:$H$1,
'ST3 CO Question Map'!$C$2:$H$24)=TRUE,TRANSPOSE(_xlfn.XLOOKUP(_xlpm.studentID,'ST3 Question Map'!$A$2:INDEX('ST3 Question Map'!$A:$A,COUNTA('ST3 Question Map'!$A:$A)),
'ST3 Question Map'!$B$2:INDEX('ST3 Question Map'!$X:$X,COUNTA('ST3 Question Map'!$X:$X))))),'ST3 Student Marks'!$B$1:$X$1,_xlfn.XLOOKUP(_xlpm.studentID,'ST3 Student Marks'!$A$1:INDEX('ST3 Student Marks'!$A:$A,COUNTA('ST3 Student Marks'!$A:$A)),
'ST3 Student Marks'!$B$1:INDEX('ST3 Student Marks'!$X:$X,COUNTA('ST3 Student Marks'!$X:$X)))),0))))</f>
        <v>0</v>
      </c>
      <c r="G2" cm="1">
        <f t="array" ref="G2:G19">_xlfn.BYROW($A2:INDEX($A:$A,COUNTA($A:$A)),_xlfn.LAMBDA(_xlpm.studentID,SUM(IFERROR(_xlfn.XLOOKUP(IF(_xlfn.XLOOKUP(G$1,'ST3 CO Question Map'!$C$1:$H$1,
'ST3 CO Question Map'!$C$2:$H$24)=TRUE,TRANSPOSE(_xlfn.XLOOKUP(_xlpm.studentID,'ST3 Question Map'!$A$2:INDEX('ST3 Question Map'!$A:$A,COUNTA('ST3 Question Map'!$A:$A)),
'ST3 Question Map'!$B$2:INDEX('ST3 Question Map'!$X:$X,COUNTA('ST3 Question Map'!$X:$X))))),'ST3 Student Marks'!$B$1:$X$1,_xlfn.XLOOKUP(_xlpm.studentID,'ST3 Student Marks'!$A$1:INDEX('ST3 Student Marks'!$A:$A,COUNTA('ST3 Student Marks'!$A:$A)),
'ST3 Student Marks'!$B$1:INDEX('ST3 Student Marks'!$X:$X,COUNTA('ST3 Student Marks'!$X:$X)))),0))))</f>
        <v>0</v>
      </c>
    </row>
    <row r="3" spans="1:7" x14ac:dyDescent="0.3">
      <c r="A3" t="str">
        <v>2010992002 </v>
      </c>
      <c r="B3">
        <v>19</v>
      </c>
      <c r="C3">
        <v>14</v>
      </c>
      <c r="D3">
        <v>2</v>
      </c>
      <c r="E3">
        <v>0</v>
      </c>
      <c r="F3">
        <v>0</v>
      </c>
      <c r="G3">
        <v>0</v>
      </c>
    </row>
    <row r="4" spans="1:7" x14ac:dyDescent="0.3">
      <c r="A4" t="str">
        <v>2010992004 </v>
      </c>
      <c r="B4">
        <v>10</v>
      </c>
      <c r="C4">
        <v>5</v>
      </c>
      <c r="D4">
        <v>2</v>
      </c>
      <c r="E4">
        <v>0</v>
      </c>
      <c r="F4">
        <v>0</v>
      </c>
      <c r="G4">
        <v>0</v>
      </c>
    </row>
    <row r="5" spans="1:7" x14ac:dyDescent="0.3">
      <c r="A5" t="str">
        <v>2010992005 </v>
      </c>
      <c r="B5">
        <v>6</v>
      </c>
      <c r="C5">
        <v>2</v>
      </c>
      <c r="D5">
        <v>1</v>
      </c>
      <c r="E5">
        <v>0</v>
      </c>
      <c r="F5">
        <v>0</v>
      </c>
      <c r="G5">
        <v>0</v>
      </c>
    </row>
    <row r="6" spans="1:7" x14ac:dyDescent="0.3">
      <c r="A6" t="str">
        <v>2010992006 </v>
      </c>
      <c r="B6">
        <v>9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">
      <c r="A7" t="str">
        <v>2010992008 </v>
      </c>
      <c r="B7">
        <v>6</v>
      </c>
      <c r="C7">
        <v>5</v>
      </c>
      <c r="D7">
        <v>2</v>
      </c>
      <c r="E7">
        <v>0</v>
      </c>
      <c r="F7">
        <v>0</v>
      </c>
      <c r="G7">
        <v>0</v>
      </c>
    </row>
    <row r="8" spans="1:7" x14ac:dyDescent="0.3">
      <c r="A8" t="str">
        <v>2010992009 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">
      <c r="A9" t="str">
        <v>2010992010 </v>
      </c>
      <c r="B9">
        <v>7</v>
      </c>
      <c r="C9">
        <v>2</v>
      </c>
      <c r="D9">
        <v>2</v>
      </c>
      <c r="E9">
        <v>0</v>
      </c>
      <c r="F9">
        <v>0</v>
      </c>
      <c r="G9">
        <v>0</v>
      </c>
    </row>
    <row r="10" spans="1:7" x14ac:dyDescent="0.3">
      <c r="A10" t="str">
        <v>2010992011 </v>
      </c>
      <c r="B10">
        <v>6</v>
      </c>
      <c r="C10">
        <v>6</v>
      </c>
      <c r="D10">
        <v>3</v>
      </c>
      <c r="E10">
        <v>0</v>
      </c>
      <c r="F10">
        <v>0</v>
      </c>
      <c r="G10">
        <v>0</v>
      </c>
    </row>
    <row r="11" spans="1:7" x14ac:dyDescent="0.3">
      <c r="A11" t="str">
        <v>2010992012 </v>
      </c>
      <c r="B11">
        <v>6</v>
      </c>
      <c r="C11">
        <v>4</v>
      </c>
      <c r="D11">
        <v>0</v>
      </c>
      <c r="E11">
        <v>0</v>
      </c>
      <c r="F11">
        <v>0</v>
      </c>
      <c r="G11">
        <v>0</v>
      </c>
    </row>
    <row r="12" spans="1:7" x14ac:dyDescent="0.3">
      <c r="A12" t="str">
        <v>2010992014 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</row>
    <row r="13" spans="1:7" x14ac:dyDescent="0.3">
      <c r="A13" t="str">
        <v>2010992015 </v>
      </c>
      <c r="B13">
        <v>10</v>
      </c>
      <c r="C13">
        <v>6</v>
      </c>
      <c r="D13">
        <v>3</v>
      </c>
      <c r="E13">
        <v>0</v>
      </c>
      <c r="F13">
        <v>0</v>
      </c>
      <c r="G13">
        <v>0</v>
      </c>
    </row>
    <row r="14" spans="1:7" x14ac:dyDescent="0.3">
      <c r="A14" t="str">
        <v>2010992016 </v>
      </c>
      <c r="B14">
        <v>19</v>
      </c>
      <c r="C14">
        <v>14</v>
      </c>
      <c r="D14">
        <v>2</v>
      </c>
      <c r="E14">
        <v>0</v>
      </c>
      <c r="F14">
        <v>0</v>
      </c>
      <c r="G14">
        <v>0</v>
      </c>
    </row>
    <row r="15" spans="1:7" x14ac:dyDescent="0.3">
      <c r="A15" t="str">
        <v>2010992017 </v>
      </c>
      <c r="B15">
        <v>9</v>
      </c>
      <c r="C15">
        <v>2</v>
      </c>
      <c r="D15">
        <v>0</v>
      </c>
      <c r="E15">
        <v>0</v>
      </c>
      <c r="F15">
        <v>0</v>
      </c>
      <c r="G15">
        <v>0</v>
      </c>
    </row>
    <row r="16" spans="1:7" x14ac:dyDescent="0.3">
      <c r="A16" t="str">
        <v>2010992018 </v>
      </c>
      <c r="B16">
        <v>10</v>
      </c>
      <c r="C16">
        <v>11</v>
      </c>
      <c r="D16">
        <v>1</v>
      </c>
      <c r="E16">
        <v>0</v>
      </c>
      <c r="F16">
        <v>0</v>
      </c>
      <c r="G16">
        <v>0</v>
      </c>
    </row>
    <row r="17" spans="1:7" x14ac:dyDescent="0.3">
      <c r="A17" t="str">
        <v>2010992163 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">
      <c r="A18" t="str">
        <v>2010992202 </v>
      </c>
      <c r="B18">
        <v>8</v>
      </c>
      <c r="C18">
        <v>7</v>
      </c>
      <c r="D18">
        <v>1</v>
      </c>
      <c r="E18">
        <v>0</v>
      </c>
      <c r="F18">
        <v>0</v>
      </c>
      <c r="G18">
        <v>0</v>
      </c>
    </row>
    <row r="19" spans="1:7" x14ac:dyDescent="0.3">
      <c r="A19" t="str">
        <v>2010992203 </v>
      </c>
      <c r="B19">
        <v>7</v>
      </c>
      <c r="C19">
        <v>2</v>
      </c>
      <c r="D19">
        <v>3</v>
      </c>
      <c r="E19">
        <v>0</v>
      </c>
      <c r="F19">
        <v>0</v>
      </c>
      <c r="G19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D94F-6240-45D5-BE04-9BA95F0F73E7}">
  <sheetPr codeName="Sheet28">
    <tabColor rgb="FFFFFF00"/>
  </sheetPr>
  <dimension ref="A1:G19"/>
  <sheetViews>
    <sheetView workbookViewId="0"/>
  </sheetViews>
  <sheetFormatPr defaultRowHeight="14.4" x14ac:dyDescent="0.3"/>
  <cols>
    <col min="1" max="1" width="21" bestFit="1" customWidth="1"/>
    <col min="2" max="4" width="12" bestFit="1" customWidth="1"/>
    <col min="5" max="7" width="10.5546875" bestFit="1" customWidth="1"/>
  </cols>
  <sheetData>
    <row r="1" spans="1:7" x14ac:dyDescent="0.3">
      <c r="A1" t="str" cm="1">
        <f t="array" ref="A1:A19">INDEX('ST3 Result'!B:B, 1):INDEX('ST3 Result'!B:B, COUNTA('ST3 Result'!B:B))</f>
        <v>Admission No. (Roll No.)</v>
      </c>
      <c r="B1" t="str" cm="1">
        <f t="array" ref="B1:G1">'ST3 CO Question Map'!C1:H1</f>
        <v>EC118_CO1</v>
      </c>
      <c r="C1" t="str">
        <v>EC118_CO2</v>
      </c>
      <c r="D1" t="str">
        <v>EC118_CO3</v>
      </c>
      <c r="E1" t="str">
        <v>EC118_CO4</v>
      </c>
      <c r="F1" t="str">
        <v>EC118_CO5</v>
      </c>
      <c r="G1" t="str">
        <v>EC118_CO6</v>
      </c>
    </row>
    <row r="2" spans="1:7" x14ac:dyDescent="0.3">
      <c r="A2" t="str">
        <v>2010990089 </v>
      </c>
      <c r="B2" cm="1">
        <f t="array" ref="B2:B19">_xlfn.BYROW($A2:INDEX($A:$A,COUNTA($A:$A)),_xlfn.LAMBDA(_xlpm.studentID,IFERROR(_xlfn.XLOOKUP(_xlpm.studentID,'ST3 Student Attained CO Score'!$A:$A,'ST3 Student Attained CO Score'!B:B) /
 _xlfn.XLOOKUP(_xlpm.studentID,'ST3 Student MO CO Score'!$A:$A,
'ST3 Student MO CO Score'!B:B)*100,"NA")))</f>
        <v>100</v>
      </c>
      <c r="C2" t="str" cm="1">
        <f t="array" ref="C2:C19">_xlfn.BYROW($A2:INDEX($A:$A,COUNTA($A:$A)),_xlfn.LAMBDA(_xlpm.studentID,IFERROR(_xlfn.XLOOKUP(_xlpm.studentID,'ST3 Student Attained CO Score'!$A:$A,'ST3 Student Attained CO Score'!C:C) /
 _xlfn.XLOOKUP(_xlpm.studentID,'ST3 Student MO CO Score'!$A:$A,
'ST3 Student MO CO Score'!C:C)*100,"NA")))</f>
        <v>NA</v>
      </c>
      <c r="D2" cm="1">
        <f t="array" ref="D2:D19">_xlfn.BYROW($A2:INDEX($A:$A,COUNTA($A:$A)),_xlfn.LAMBDA(_xlpm.studentID,IFERROR(_xlfn.XLOOKUP(_xlpm.studentID,'ST3 Student Attained CO Score'!$A:$A,'ST3 Student Attained CO Score'!D:D) /
 _xlfn.XLOOKUP(_xlpm.studentID,'ST3 Student MO CO Score'!$A:$A,
'ST3 Student MO CO Score'!D:D)*100,"NA")))</f>
        <v>20</v>
      </c>
      <c r="E2" t="str" cm="1">
        <f t="array" ref="E2:E19">_xlfn.BYROW($A2:INDEX($A:$A,COUNTA($A:$A)),_xlfn.LAMBDA(_xlpm.studentID,IFERROR(_xlfn.XLOOKUP(_xlpm.studentID,'ST3 Student Attained CO Score'!$A:$A,'ST3 Student Attained CO Score'!E:E) /
 _xlfn.XLOOKUP(_xlpm.studentID,'ST3 Student MO CO Score'!$A:$A,
'ST3 Student MO CO Score'!E:E)*100,"NA")))</f>
        <v>NA</v>
      </c>
      <c r="F2" t="str" cm="1">
        <f t="array" ref="F2:F19">_xlfn.BYROW($A2:INDEX($A:$A,COUNTA($A:$A)),_xlfn.LAMBDA(_xlpm.studentID,IFERROR(_xlfn.XLOOKUP(_xlpm.studentID,'ST3 Student Attained CO Score'!$A:$A,'ST3 Student Attained CO Score'!F:F) /
 _xlfn.XLOOKUP(_xlpm.studentID,'ST3 Student MO CO Score'!$A:$A,
'ST3 Student MO CO Score'!F:F)*100,"NA")))</f>
        <v>NA</v>
      </c>
      <c r="G2" t="str" cm="1">
        <f t="array" ref="G2:G19">_xlfn.BYROW($A2:INDEX($A:$A,COUNTA($A:$A)),_xlfn.LAMBDA(_xlpm.studentID,IFERROR(_xlfn.XLOOKUP(_xlpm.studentID,'ST3 Student Attained CO Score'!$A:$A,'ST3 Student Attained CO Score'!G:G) /
 _xlfn.XLOOKUP(_xlpm.studentID,'ST3 Student MO CO Score'!$A:$A,
'ST3 Student MO CO Score'!G:G)*100,"NA")))</f>
        <v>NA</v>
      </c>
    </row>
    <row r="3" spans="1:7" x14ac:dyDescent="0.3">
      <c r="A3" t="str">
        <v>2010992002 </v>
      </c>
      <c r="B3">
        <v>100</v>
      </c>
      <c r="C3">
        <v>100</v>
      </c>
      <c r="D3">
        <v>100</v>
      </c>
      <c r="E3" t="str">
        <v>NA</v>
      </c>
      <c r="F3" t="str">
        <v>NA</v>
      </c>
      <c r="G3" t="str">
        <v>NA</v>
      </c>
    </row>
    <row r="4" spans="1:7" x14ac:dyDescent="0.3">
      <c r="A4" t="str">
        <v>2010992004 </v>
      </c>
      <c r="B4">
        <v>71.428571428571431</v>
      </c>
      <c r="C4">
        <v>55.555555555555557</v>
      </c>
      <c r="D4">
        <v>100</v>
      </c>
      <c r="E4" t="str">
        <v>NA</v>
      </c>
      <c r="F4" t="str">
        <v>NA</v>
      </c>
      <c r="G4" t="str">
        <v>NA</v>
      </c>
    </row>
    <row r="5" spans="1:7" x14ac:dyDescent="0.3">
      <c r="A5" t="str">
        <v>2010992005 </v>
      </c>
      <c r="B5">
        <v>85.714285714285708</v>
      </c>
      <c r="C5">
        <v>100</v>
      </c>
      <c r="D5">
        <v>20</v>
      </c>
      <c r="E5" t="str">
        <v>NA</v>
      </c>
      <c r="F5" t="str">
        <v>NA</v>
      </c>
      <c r="G5" t="str">
        <v>NA</v>
      </c>
    </row>
    <row r="6" spans="1:7" x14ac:dyDescent="0.3">
      <c r="A6" t="str">
        <v>2010992006 </v>
      </c>
      <c r="B6">
        <v>64.285714285714292</v>
      </c>
      <c r="C6" t="str">
        <v>NA</v>
      </c>
      <c r="D6" t="str">
        <v>NA</v>
      </c>
      <c r="E6" t="str">
        <v>NA</v>
      </c>
      <c r="F6" t="str">
        <v>NA</v>
      </c>
      <c r="G6" t="str">
        <v>NA</v>
      </c>
    </row>
    <row r="7" spans="1:7" x14ac:dyDescent="0.3">
      <c r="A7" t="str">
        <v>2010992008 </v>
      </c>
      <c r="B7">
        <v>60</v>
      </c>
      <c r="C7">
        <v>83.333333333333343</v>
      </c>
      <c r="D7">
        <v>100</v>
      </c>
      <c r="E7" t="str">
        <v>NA</v>
      </c>
      <c r="F7" t="str">
        <v>NA</v>
      </c>
      <c r="G7" t="str">
        <v>NA</v>
      </c>
    </row>
    <row r="8" spans="1:7" x14ac:dyDescent="0.3">
      <c r="A8" t="str">
        <v>2010992009 </v>
      </c>
      <c r="B8" t="str">
        <v>NA</v>
      </c>
      <c r="C8" t="str">
        <v>NA</v>
      </c>
      <c r="D8" t="str">
        <v>NA</v>
      </c>
      <c r="E8" t="str">
        <v>NA</v>
      </c>
      <c r="F8" t="str">
        <v>NA</v>
      </c>
      <c r="G8" t="str">
        <v>NA</v>
      </c>
    </row>
    <row r="9" spans="1:7" x14ac:dyDescent="0.3">
      <c r="A9" t="str">
        <v>2010992010 </v>
      </c>
      <c r="B9">
        <v>58.333333333333336</v>
      </c>
      <c r="C9">
        <v>100</v>
      </c>
      <c r="D9">
        <v>100</v>
      </c>
      <c r="E9" t="str">
        <v>NA</v>
      </c>
      <c r="F9" t="str">
        <v>NA</v>
      </c>
      <c r="G9" t="str">
        <v>NA</v>
      </c>
    </row>
    <row r="10" spans="1:7" x14ac:dyDescent="0.3">
      <c r="A10" t="str">
        <v>2010992011 </v>
      </c>
      <c r="B10">
        <v>85.714285714285708</v>
      </c>
      <c r="C10">
        <v>100</v>
      </c>
      <c r="D10">
        <v>42.857142857142854</v>
      </c>
      <c r="E10" t="str">
        <v>NA</v>
      </c>
      <c r="F10" t="str">
        <v>NA</v>
      </c>
      <c r="G10" t="str">
        <v>NA</v>
      </c>
    </row>
    <row r="11" spans="1:7" x14ac:dyDescent="0.3">
      <c r="A11" t="str">
        <v>2010992012 </v>
      </c>
      <c r="B11">
        <v>60</v>
      </c>
      <c r="C11">
        <v>66.666666666666657</v>
      </c>
      <c r="D11" t="str">
        <v>NA</v>
      </c>
      <c r="E11" t="str">
        <v>NA</v>
      </c>
      <c r="F11" t="str">
        <v>NA</v>
      </c>
      <c r="G11" t="str">
        <v>NA</v>
      </c>
    </row>
    <row r="12" spans="1:7" x14ac:dyDescent="0.3">
      <c r="A12" t="str">
        <v>2010992014 </v>
      </c>
      <c r="B12">
        <v>60</v>
      </c>
      <c r="C12">
        <v>50</v>
      </c>
      <c r="D12" t="str">
        <v>NA</v>
      </c>
      <c r="E12" t="str">
        <v>NA</v>
      </c>
      <c r="F12" t="str">
        <v>NA</v>
      </c>
      <c r="G12" t="str">
        <v>NA</v>
      </c>
    </row>
    <row r="13" spans="1:7" x14ac:dyDescent="0.3">
      <c r="A13" t="str">
        <v>2010992015 </v>
      </c>
      <c r="B13">
        <v>83.333333333333343</v>
      </c>
      <c r="C13">
        <v>100</v>
      </c>
      <c r="D13">
        <v>42.857142857142854</v>
      </c>
      <c r="E13" t="str">
        <v>NA</v>
      </c>
      <c r="F13" t="str">
        <v>NA</v>
      </c>
      <c r="G13" t="str">
        <v>NA</v>
      </c>
    </row>
    <row r="14" spans="1:7" x14ac:dyDescent="0.3">
      <c r="A14" t="str">
        <v>2010992016 </v>
      </c>
      <c r="B14">
        <v>100</v>
      </c>
      <c r="C14">
        <v>100</v>
      </c>
      <c r="D14">
        <v>100</v>
      </c>
      <c r="E14" t="str">
        <v>NA</v>
      </c>
      <c r="F14" t="str">
        <v>NA</v>
      </c>
      <c r="G14" t="str">
        <v>NA</v>
      </c>
    </row>
    <row r="15" spans="1:7" x14ac:dyDescent="0.3">
      <c r="A15" t="str">
        <v>2010992017 </v>
      </c>
      <c r="B15">
        <v>64.285714285714292</v>
      </c>
      <c r="C15">
        <v>100</v>
      </c>
      <c r="D15" t="str">
        <v>NA</v>
      </c>
      <c r="E15" t="str">
        <v>NA</v>
      </c>
      <c r="F15" t="str">
        <v>NA</v>
      </c>
      <c r="G15" t="str">
        <v>NA</v>
      </c>
    </row>
    <row r="16" spans="1:7" x14ac:dyDescent="0.3">
      <c r="A16" t="str">
        <v>2010992018 </v>
      </c>
      <c r="B16">
        <v>71.428571428571431</v>
      </c>
      <c r="C16">
        <v>100</v>
      </c>
      <c r="D16">
        <v>20</v>
      </c>
      <c r="E16" t="str">
        <v>NA</v>
      </c>
      <c r="F16" t="str">
        <v>NA</v>
      </c>
      <c r="G16" t="str">
        <v>NA</v>
      </c>
    </row>
    <row r="17" spans="1:7" x14ac:dyDescent="0.3">
      <c r="A17" t="str">
        <v>2010992163 </v>
      </c>
      <c r="B17" t="str">
        <v>NA</v>
      </c>
      <c r="C17" t="str">
        <v>NA</v>
      </c>
      <c r="D17" t="str">
        <v>NA</v>
      </c>
      <c r="E17" t="str">
        <v>NA</v>
      </c>
      <c r="F17" t="str">
        <v>NA</v>
      </c>
      <c r="G17" t="str">
        <v>NA</v>
      </c>
    </row>
    <row r="18" spans="1:7" x14ac:dyDescent="0.3">
      <c r="A18" t="str">
        <v>2010992202 </v>
      </c>
      <c r="B18">
        <v>88.888888888888886</v>
      </c>
      <c r="C18">
        <v>63.636363636363633</v>
      </c>
      <c r="D18">
        <v>20</v>
      </c>
      <c r="E18" t="str">
        <v>NA</v>
      </c>
      <c r="F18" t="str">
        <v>NA</v>
      </c>
      <c r="G18" t="str">
        <v>NA</v>
      </c>
    </row>
    <row r="19" spans="1:7" x14ac:dyDescent="0.3">
      <c r="A19" t="str">
        <v>2010992203 </v>
      </c>
      <c r="B19">
        <v>77.777777777777786</v>
      </c>
      <c r="C19">
        <v>100</v>
      </c>
      <c r="D19">
        <v>42.857142857142854</v>
      </c>
      <c r="E19" t="str">
        <v>NA</v>
      </c>
      <c r="F19" t="str">
        <v>NA</v>
      </c>
      <c r="G19" t="str">
        <v>NA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4A290-1721-4055-9669-8AE2E4556E6D}">
  <sheetPr codeName="Sheet29">
    <tabColor rgb="FFFFFF00"/>
  </sheetPr>
  <dimension ref="A1:G19"/>
  <sheetViews>
    <sheetView workbookViewId="0"/>
  </sheetViews>
  <sheetFormatPr defaultRowHeight="14.4" x14ac:dyDescent="0.3"/>
  <cols>
    <col min="1" max="1" width="21" bestFit="1" customWidth="1"/>
    <col min="2" max="7" width="10.5546875" bestFit="1" customWidth="1"/>
  </cols>
  <sheetData>
    <row r="1" spans="1:7" x14ac:dyDescent="0.3">
      <c r="A1" t="str" cm="1">
        <f t="array" ref="A1:A19">INDEX('ST3 Result'!B:B, 1):INDEX('ST3 Result'!B:B, COUNTA('ST3 Result'!B:B))</f>
        <v>Admission No. (Roll No.)</v>
      </c>
      <c r="B1" t="str" cm="1">
        <f t="array" ref="B1:G1">'ST3 CO Question Map'!C1:H1</f>
        <v>EC118_CO1</v>
      </c>
      <c r="C1" t="str">
        <v>EC118_CO2</v>
      </c>
      <c r="D1" t="str">
        <v>EC118_CO3</v>
      </c>
      <c r="E1" t="str">
        <v>EC118_CO4</v>
      </c>
      <c r="F1" t="str">
        <v>EC118_CO5</v>
      </c>
      <c r="G1" t="str">
        <v>EC118_CO6</v>
      </c>
    </row>
    <row r="2" spans="1:7" x14ac:dyDescent="0.3">
      <c r="A2" t="str">
        <v>2010990089 </v>
      </c>
      <c r="B2" cm="1">
        <f t="array" ref="B2:B19">_xlfn.BYROW('ST3 Student Attainment percent'!B2:INDEX('ST3 Student Attainment percent'!B:B,COUNTA('ST3 Student Attainment percent'!B:B)),_xlfn.LAMBDA(_xlpm.score,_xlfn.IFS(_xlpm.score="NA","NA",_xlpm.score&gt;'OBE Details'!$B$2-1,3,_xlpm.score&gt;'OBE Details'!$B$3-1,2,_xlpm.score&gt;'OBE Details'!$B$4-1,1,_xlpm.score&lt;'OBE Details'!$B$4,0)))</f>
        <v>3</v>
      </c>
      <c r="C2" t="str" cm="1">
        <f t="array" ref="C2:C19">_xlfn.BYROW('ST3 Student Attainment percent'!C2:INDEX('ST3 Student Attainment percent'!C:C,COUNTA('ST3 Student Attainment percent'!C:C)),_xlfn.LAMBDA(_xlpm.score,_xlfn.IFS(_xlpm.score="NA","NA",_xlpm.score&gt;'OBE Details'!$B$2-1,3,_xlpm.score&gt;'OBE Details'!$B$3-1,2,_xlpm.score&gt;'OBE Details'!$B$4-1,1,_xlpm.score&lt;'OBE Details'!$B$4,0)))</f>
        <v>NA</v>
      </c>
      <c r="D2" cm="1">
        <f t="array" ref="D2:D19">_xlfn.BYROW('ST3 Student Attainment percent'!D2:INDEX('ST3 Student Attainment percent'!D:D,COUNTA('ST3 Student Attainment percent'!D:D)),_xlfn.LAMBDA(_xlpm.score,_xlfn.IFS(_xlpm.score="NA","NA",_xlpm.score&gt;'OBE Details'!$B$2-1,3,_xlpm.score&gt;'OBE Details'!$B$3-1,2,_xlpm.score&gt;'OBE Details'!$B$4-1,1,_xlpm.score&lt;'OBE Details'!$B$4,0)))</f>
        <v>0</v>
      </c>
      <c r="E2" t="str" cm="1">
        <f t="array" ref="E2:E19">_xlfn.BYROW('ST3 Student Attainment percent'!E2:INDEX('ST3 Student Attainment percent'!E:E,COUNTA('ST3 Student Attainment percent'!E:E)),_xlfn.LAMBDA(_xlpm.score,_xlfn.IFS(_xlpm.score="NA","NA",_xlpm.score&gt;'OBE Details'!$B$2-1,3,_xlpm.score&gt;'OBE Details'!$B$3-1,2,_xlpm.score&gt;'OBE Details'!$B$4-1,1,_xlpm.score&lt;'OBE Details'!$B$4,0)))</f>
        <v>NA</v>
      </c>
      <c r="F2" t="str" cm="1">
        <f t="array" ref="F2:F19">_xlfn.BYROW('ST3 Student Attainment percent'!F2:INDEX('ST3 Student Attainment percent'!F:F,COUNTA('ST3 Student Attainment percent'!F:F)),_xlfn.LAMBDA(_xlpm.score,_xlfn.IFS(_xlpm.score="NA","NA",_xlpm.score&gt;'OBE Details'!$B$2-1,3,_xlpm.score&gt;'OBE Details'!$B$3-1,2,_xlpm.score&gt;'OBE Details'!$B$4-1,1,_xlpm.score&lt;'OBE Details'!$B$4,0)))</f>
        <v>NA</v>
      </c>
      <c r="G2" t="str" cm="1">
        <f t="array" ref="G2:G19">_xlfn.BYROW('ST3 Student Attainment percent'!G2:INDEX('ST3 Student Attainment percent'!G:G,COUNTA('ST3 Student Attainment percent'!G:G)),_xlfn.LAMBDA(_xlpm.score,_xlfn.IFS(_xlpm.score="NA","NA",_xlpm.score&gt;'OBE Details'!$B$2-1,3,_xlpm.score&gt;'OBE Details'!$B$3-1,2,_xlpm.score&gt;'OBE Details'!$B$4-1,1,_xlpm.score&lt;'OBE Details'!$B$4,0)))</f>
        <v>NA</v>
      </c>
    </row>
    <row r="3" spans="1:7" x14ac:dyDescent="0.3">
      <c r="A3" t="str">
        <v>2010992002 </v>
      </c>
      <c r="B3">
        <v>3</v>
      </c>
      <c r="C3">
        <v>3</v>
      </c>
      <c r="D3">
        <v>3</v>
      </c>
      <c r="E3" t="str">
        <v>NA</v>
      </c>
      <c r="F3" t="str">
        <v>NA</v>
      </c>
      <c r="G3" t="str">
        <v>NA</v>
      </c>
    </row>
    <row r="4" spans="1:7" x14ac:dyDescent="0.3">
      <c r="A4" t="str">
        <v>2010992004 </v>
      </c>
      <c r="B4">
        <v>3</v>
      </c>
      <c r="C4">
        <v>0</v>
      </c>
      <c r="D4">
        <v>3</v>
      </c>
      <c r="E4" t="str">
        <v>NA</v>
      </c>
      <c r="F4" t="str">
        <v>NA</v>
      </c>
      <c r="G4" t="str">
        <v>NA</v>
      </c>
    </row>
    <row r="5" spans="1:7" x14ac:dyDescent="0.3">
      <c r="A5" t="str">
        <v>2010992005 </v>
      </c>
      <c r="B5">
        <v>3</v>
      </c>
      <c r="C5">
        <v>3</v>
      </c>
      <c r="D5">
        <v>0</v>
      </c>
      <c r="E5" t="str">
        <v>NA</v>
      </c>
      <c r="F5" t="str">
        <v>NA</v>
      </c>
      <c r="G5" t="str">
        <v>NA</v>
      </c>
    </row>
    <row r="6" spans="1:7" x14ac:dyDescent="0.3">
      <c r="A6" t="str">
        <v>2010992006 </v>
      </c>
      <c r="B6">
        <v>3</v>
      </c>
      <c r="C6" t="str">
        <v>NA</v>
      </c>
      <c r="D6" t="str">
        <v>NA</v>
      </c>
      <c r="E6" t="str">
        <v>NA</v>
      </c>
      <c r="F6" t="str">
        <v>NA</v>
      </c>
      <c r="G6" t="str">
        <v>NA</v>
      </c>
    </row>
    <row r="7" spans="1:7" x14ac:dyDescent="0.3">
      <c r="A7" t="str">
        <v>2010992008 </v>
      </c>
      <c r="B7">
        <v>3</v>
      </c>
      <c r="C7">
        <v>3</v>
      </c>
      <c r="D7">
        <v>3</v>
      </c>
      <c r="E7" t="str">
        <v>NA</v>
      </c>
      <c r="F7" t="str">
        <v>NA</v>
      </c>
      <c r="G7" t="str">
        <v>NA</v>
      </c>
    </row>
    <row r="8" spans="1:7" x14ac:dyDescent="0.3">
      <c r="A8" t="str">
        <v>2010992009 </v>
      </c>
      <c r="B8" t="str">
        <v>NA</v>
      </c>
      <c r="C8" t="str">
        <v>NA</v>
      </c>
      <c r="D8" t="str">
        <v>NA</v>
      </c>
      <c r="E8" t="str">
        <v>NA</v>
      </c>
      <c r="F8" t="str">
        <v>NA</v>
      </c>
      <c r="G8" t="str">
        <v>NA</v>
      </c>
    </row>
    <row r="9" spans="1:7" x14ac:dyDescent="0.3">
      <c r="A9" t="str">
        <v>2010992010 </v>
      </c>
      <c r="B9">
        <v>0</v>
      </c>
      <c r="C9">
        <v>3</v>
      </c>
      <c r="D9">
        <v>3</v>
      </c>
      <c r="E9" t="str">
        <v>NA</v>
      </c>
      <c r="F9" t="str">
        <v>NA</v>
      </c>
      <c r="G9" t="str">
        <v>NA</v>
      </c>
    </row>
    <row r="10" spans="1:7" x14ac:dyDescent="0.3">
      <c r="A10" t="str">
        <v>2010992011 </v>
      </c>
      <c r="B10">
        <v>3</v>
      </c>
      <c r="C10">
        <v>3</v>
      </c>
      <c r="D10">
        <v>0</v>
      </c>
      <c r="E10" t="str">
        <v>NA</v>
      </c>
      <c r="F10" t="str">
        <v>NA</v>
      </c>
      <c r="G10" t="str">
        <v>NA</v>
      </c>
    </row>
    <row r="11" spans="1:7" x14ac:dyDescent="0.3">
      <c r="A11" t="str">
        <v>2010992012 </v>
      </c>
      <c r="B11">
        <v>3</v>
      </c>
      <c r="C11">
        <v>3</v>
      </c>
      <c r="D11" t="str">
        <v>NA</v>
      </c>
      <c r="E11" t="str">
        <v>NA</v>
      </c>
      <c r="F11" t="str">
        <v>NA</v>
      </c>
      <c r="G11" t="str">
        <v>NA</v>
      </c>
    </row>
    <row r="12" spans="1:7" x14ac:dyDescent="0.3">
      <c r="A12" t="str">
        <v>2010992014 </v>
      </c>
      <c r="B12">
        <v>3</v>
      </c>
      <c r="C12">
        <v>0</v>
      </c>
      <c r="D12" t="str">
        <v>NA</v>
      </c>
      <c r="E12" t="str">
        <v>NA</v>
      </c>
      <c r="F12" t="str">
        <v>NA</v>
      </c>
      <c r="G12" t="str">
        <v>NA</v>
      </c>
    </row>
    <row r="13" spans="1:7" x14ac:dyDescent="0.3">
      <c r="A13" t="str">
        <v>2010992015 </v>
      </c>
      <c r="B13">
        <v>3</v>
      </c>
      <c r="C13">
        <v>3</v>
      </c>
      <c r="D13">
        <v>0</v>
      </c>
      <c r="E13" t="str">
        <v>NA</v>
      </c>
      <c r="F13" t="str">
        <v>NA</v>
      </c>
      <c r="G13" t="str">
        <v>NA</v>
      </c>
    </row>
    <row r="14" spans="1:7" x14ac:dyDescent="0.3">
      <c r="A14" t="str">
        <v>2010992016 </v>
      </c>
      <c r="B14">
        <v>3</v>
      </c>
      <c r="C14">
        <v>3</v>
      </c>
      <c r="D14">
        <v>3</v>
      </c>
      <c r="E14" t="str">
        <v>NA</v>
      </c>
      <c r="F14" t="str">
        <v>NA</v>
      </c>
      <c r="G14" t="str">
        <v>NA</v>
      </c>
    </row>
    <row r="15" spans="1:7" x14ac:dyDescent="0.3">
      <c r="A15" t="str">
        <v>2010992017 </v>
      </c>
      <c r="B15">
        <v>3</v>
      </c>
      <c r="C15">
        <v>3</v>
      </c>
      <c r="D15" t="str">
        <v>NA</v>
      </c>
      <c r="E15" t="str">
        <v>NA</v>
      </c>
      <c r="F15" t="str">
        <v>NA</v>
      </c>
      <c r="G15" t="str">
        <v>NA</v>
      </c>
    </row>
    <row r="16" spans="1:7" x14ac:dyDescent="0.3">
      <c r="A16" t="str">
        <v>2010992018 </v>
      </c>
      <c r="B16">
        <v>3</v>
      </c>
      <c r="C16">
        <v>3</v>
      </c>
      <c r="D16">
        <v>0</v>
      </c>
      <c r="E16" t="str">
        <v>NA</v>
      </c>
      <c r="F16" t="str">
        <v>NA</v>
      </c>
      <c r="G16" t="str">
        <v>NA</v>
      </c>
    </row>
    <row r="17" spans="1:7" x14ac:dyDescent="0.3">
      <c r="A17" t="str">
        <v>2010992163 </v>
      </c>
      <c r="B17" t="str">
        <v>NA</v>
      </c>
      <c r="C17" t="str">
        <v>NA</v>
      </c>
      <c r="D17" t="str">
        <v>NA</v>
      </c>
      <c r="E17" t="str">
        <v>NA</v>
      </c>
      <c r="F17" t="str">
        <v>NA</v>
      </c>
      <c r="G17" t="str">
        <v>NA</v>
      </c>
    </row>
    <row r="18" spans="1:7" x14ac:dyDescent="0.3">
      <c r="A18" t="str">
        <v>2010992202 </v>
      </c>
      <c r="B18">
        <v>3</v>
      </c>
      <c r="C18">
        <v>3</v>
      </c>
      <c r="D18">
        <v>0</v>
      </c>
      <c r="E18" t="str">
        <v>NA</v>
      </c>
      <c r="F18" t="str">
        <v>NA</v>
      </c>
      <c r="G18" t="str">
        <v>NA</v>
      </c>
    </row>
    <row r="19" spans="1:7" x14ac:dyDescent="0.3">
      <c r="A19" t="str">
        <v>2010992203 </v>
      </c>
      <c r="B19">
        <v>3</v>
      </c>
      <c r="C19">
        <v>3</v>
      </c>
      <c r="D19">
        <v>0</v>
      </c>
      <c r="E19" t="str">
        <v>NA</v>
      </c>
      <c r="F19" t="str">
        <v>NA</v>
      </c>
      <c r="G19" t="str">
        <v>NA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1451A-E917-4D6B-9343-D8CFC829F4B5}">
  <sheetPr codeName="Sheet30">
    <tabColor rgb="FFFFFF00"/>
  </sheetPr>
  <dimension ref="A1:G19"/>
  <sheetViews>
    <sheetView workbookViewId="0"/>
  </sheetViews>
  <sheetFormatPr defaultRowHeight="14.4" x14ac:dyDescent="0.3"/>
  <cols>
    <col min="1" max="1" width="21" bestFit="1" customWidth="1"/>
    <col min="2" max="7" width="10.5546875" bestFit="1" customWidth="1"/>
  </cols>
  <sheetData>
    <row r="1" spans="1:7" x14ac:dyDescent="0.3">
      <c r="A1" t="str" cm="1">
        <f t="array" ref="A1:A19">INDEX('ST3 Result'!B:B, 1):INDEX('ST3 Result'!B:B, COUNTA('ST3 Result'!B:B))</f>
        <v>Admission No. (Roll No.)</v>
      </c>
      <c r="B1" t="str" cm="1">
        <f t="array" ref="B1:G1">'ST3 CO Question Map'!C1:H1</f>
        <v>EC118_CO1</v>
      </c>
      <c r="C1" t="str">
        <v>EC118_CO2</v>
      </c>
      <c r="D1" t="str">
        <v>EC118_CO3</v>
      </c>
      <c r="E1" t="str">
        <v>EC118_CO4</v>
      </c>
      <c r="F1" t="str">
        <v>EC118_CO5</v>
      </c>
      <c r="G1" t="str">
        <v>EC118_CO6</v>
      </c>
    </row>
    <row r="2" spans="1:7" x14ac:dyDescent="0.3">
      <c r="A2" t="str">
        <v>2010990089 </v>
      </c>
      <c r="B2" t="str" cm="1">
        <f t="array" ref="B2:B19">_xlfn.BYROW('ST3 Student Attainment percent'!B2:INDEX('ST3 Student Attainment percent'!B:B,COUNTA('ST3 Student Attainment percent'!B:B)),_xlfn.LAMBDA(_xlpm.score,_xlfn.IFS(_xlpm.score="NA","NA",_xlpm.score&gt;='OBE Details'!$B$5,"Y",_xlpm.score&lt;'OBE Details'!$B$5,"N")))</f>
        <v>Y</v>
      </c>
      <c r="C2" t="str" cm="1">
        <f t="array" ref="C2:C19">_xlfn.BYROW('ST3 Student Attainment percent'!C2:INDEX('ST3 Student Attainment percent'!C:C,COUNTA('ST3 Student Attainment percent'!C:C)),_xlfn.LAMBDA(_xlpm.score,_xlfn.IFS(_xlpm.score="NA","NA",_xlpm.score&gt;='OBE Details'!$B$5,"Y",_xlpm.score&lt;'OBE Details'!$B$5,"N")))</f>
        <v>NA</v>
      </c>
      <c r="D2" t="str" cm="1">
        <f t="array" ref="D2:D19">_xlfn.BYROW('ST3 Student Attainment percent'!D2:INDEX('ST3 Student Attainment percent'!D:D,COUNTA('ST3 Student Attainment percent'!D:D)),_xlfn.LAMBDA(_xlpm.score,_xlfn.IFS(_xlpm.score="NA","NA",_xlpm.score&gt;='OBE Details'!$B$5,"Y",_xlpm.score&lt;'OBE Details'!$B$5,"N")))</f>
        <v>N</v>
      </c>
      <c r="E2" t="str" cm="1">
        <f t="array" ref="E2:E19">_xlfn.BYROW('ST3 Student Attainment percent'!E2:INDEX('ST3 Student Attainment percent'!E:E,COUNTA('ST3 Student Attainment percent'!E:E)),_xlfn.LAMBDA(_xlpm.score,_xlfn.IFS(_xlpm.score="NA","NA",_xlpm.score&gt;='OBE Details'!$B$5,"Y",_xlpm.score&lt;'OBE Details'!$B$5,"N")))</f>
        <v>NA</v>
      </c>
      <c r="F2" t="str" cm="1">
        <f t="array" ref="F2:F19">_xlfn.BYROW('ST3 Student Attainment percent'!F2:INDEX('ST3 Student Attainment percent'!F:F,COUNTA('ST3 Student Attainment percent'!F:F)),_xlfn.LAMBDA(_xlpm.score,_xlfn.IFS(_xlpm.score="NA","NA",_xlpm.score&gt;='OBE Details'!$B$5,"Y",_xlpm.score&lt;'OBE Details'!$B$5,"N")))</f>
        <v>NA</v>
      </c>
      <c r="G2" t="str" cm="1">
        <f t="array" ref="G2:G19">_xlfn.BYROW('ST3 Student Attainment percent'!G2:INDEX('ST3 Student Attainment percent'!G:G,COUNTA('ST3 Student Attainment percent'!G:G)),_xlfn.LAMBDA(_xlpm.score,_xlfn.IFS(_xlpm.score="NA","NA",_xlpm.score&gt;='OBE Details'!$B$5,"Y",_xlpm.score&lt;'OBE Details'!$B$5,"N")))</f>
        <v>NA</v>
      </c>
    </row>
    <row r="3" spans="1:7" x14ac:dyDescent="0.3">
      <c r="A3" t="str">
        <v>2010992002 </v>
      </c>
      <c r="B3" t="str">
        <v>Y</v>
      </c>
      <c r="C3" t="str">
        <v>Y</v>
      </c>
      <c r="D3" t="str">
        <v>Y</v>
      </c>
      <c r="E3" t="str">
        <v>NA</v>
      </c>
      <c r="F3" t="str">
        <v>NA</v>
      </c>
      <c r="G3" t="str">
        <v>NA</v>
      </c>
    </row>
    <row r="4" spans="1:7" x14ac:dyDescent="0.3">
      <c r="A4" t="str">
        <v>2010992004 </v>
      </c>
      <c r="B4" t="str">
        <v>Y</v>
      </c>
      <c r="C4" t="str">
        <v>N</v>
      </c>
      <c r="D4" t="str">
        <v>Y</v>
      </c>
      <c r="E4" t="str">
        <v>NA</v>
      </c>
      <c r="F4" t="str">
        <v>NA</v>
      </c>
      <c r="G4" t="str">
        <v>NA</v>
      </c>
    </row>
    <row r="5" spans="1:7" x14ac:dyDescent="0.3">
      <c r="A5" t="str">
        <v>2010992005 </v>
      </c>
      <c r="B5" t="str">
        <v>Y</v>
      </c>
      <c r="C5" t="str">
        <v>Y</v>
      </c>
      <c r="D5" t="str">
        <v>N</v>
      </c>
      <c r="E5" t="str">
        <v>NA</v>
      </c>
      <c r="F5" t="str">
        <v>NA</v>
      </c>
      <c r="G5" t="str">
        <v>NA</v>
      </c>
    </row>
    <row r="6" spans="1:7" x14ac:dyDescent="0.3">
      <c r="A6" t="str">
        <v>2010992006 </v>
      </c>
      <c r="B6" t="str">
        <v>Y</v>
      </c>
      <c r="C6" t="str">
        <v>NA</v>
      </c>
      <c r="D6" t="str">
        <v>NA</v>
      </c>
      <c r="E6" t="str">
        <v>NA</v>
      </c>
      <c r="F6" t="str">
        <v>NA</v>
      </c>
      <c r="G6" t="str">
        <v>NA</v>
      </c>
    </row>
    <row r="7" spans="1:7" x14ac:dyDescent="0.3">
      <c r="A7" t="str">
        <v>2010992008 </v>
      </c>
      <c r="B7" t="str">
        <v>Y</v>
      </c>
      <c r="C7" t="str">
        <v>Y</v>
      </c>
      <c r="D7" t="str">
        <v>Y</v>
      </c>
      <c r="E7" t="str">
        <v>NA</v>
      </c>
      <c r="F7" t="str">
        <v>NA</v>
      </c>
      <c r="G7" t="str">
        <v>NA</v>
      </c>
    </row>
    <row r="8" spans="1:7" x14ac:dyDescent="0.3">
      <c r="A8" t="str">
        <v>2010992009 </v>
      </c>
      <c r="B8" t="str">
        <v>NA</v>
      </c>
      <c r="C8" t="str">
        <v>NA</v>
      </c>
      <c r="D8" t="str">
        <v>NA</v>
      </c>
      <c r="E8" t="str">
        <v>NA</v>
      </c>
      <c r="F8" t="str">
        <v>NA</v>
      </c>
      <c r="G8" t="str">
        <v>NA</v>
      </c>
    </row>
    <row r="9" spans="1:7" x14ac:dyDescent="0.3">
      <c r="A9" t="str">
        <v>2010992010 </v>
      </c>
      <c r="B9" t="str">
        <v>N</v>
      </c>
      <c r="C9" t="str">
        <v>Y</v>
      </c>
      <c r="D9" t="str">
        <v>Y</v>
      </c>
      <c r="E9" t="str">
        <v>NA</v>
      </c>
      <c r="F9" t="str">
        <v>NA</v>
      </c>
      <c r="G9" t="str">
        <v>NA</v>
      </c>
    </row>
    <row r="10" spans="1:7" x14ac:dyDescent="0.3">
      <c r="A10" t="str">
        <v>2010992011 </v>
      </c>
      <c r="B10" t="str">
        <v>Y</v>
      </c>
      <c r="C10" t="str">
        <v>Y</v>
      </c>
      <c r="D10" t="str">
        <v>N</v>
      </c>
      <c r="E10" t="str">
        <v>NA</v>
      </c>
      <c r="F10" t="str">
        <v>NA</v>
      </c>
      <c r="G10" t="str">
        <v>NA</v>
      </c>
    </row>
    <row r="11" spans="1:7" x14ac:dyDescent="0.3">
      <c r="A11" t="str">
        <v>2010992012 </v>
      </c>
      <c r="B11" t="str">
        <v>Y</v>
      </c>
      <c r="C11" t="str">
        <v>Y</v>
      </c>
      <c r="D11" t="str">
        <v>NA</v>
      </c>
      <c r="E11" t="str">
        <v>NA</v>
      </c>
      <c r="F11" t="str">
        <v>NA</v>
      </c>
      <c r="G11" t="str">
        <v>NA</v>
      </c>
    </row>
    <row r="12" spans="1:7" x14ac:dyDescent="0.3">
      <c r="A12" t="str">
        <v>2010992014 </v>
      </c>
      <c r="B12" t="str">
        <v>Y</v>
      </c>
      <c r="C12" t="str">
        <v>N</v>
      </c>
      <c r="D12" t="str">
        <v>NA</v>
      </c>
      <c r="E12" t="str">
        <v>NA</v>
      </c>
      <c r="F12" t="str">
        <v>NA</v>
      </c>
      <c r="G12" t="str">
        <v>NA</v>
      </c>
    </row>
    <row r="13" spans="1:7" x14ac:dyDescent="0.3">
      <c r="A13" t="str">
        <v>2010992015 </v>
      </c>
      <c r="B13" t="str">
        <v>Y</v>
      </c>
      <c r="C13" t="str">
        <v>Y</v>
      </c>
      <c r="D13" t="str">
        <v>N</v>
      </c>
      <c r="E13" t="str">
        <v>NA</v>
      </c>
      <c r="F13" t="str">
        <v>NA</v>
      </c>
      <c r="G13" t="str">
        <v>NA</v>
      </c>
    </row>
    <row r="14" spans="1:7" x14ac:dyDescent="0.3">
      <c r="A14" t="str">
        <v>2010992016 </v>
      </c>
      <c r="B14" t="str">
        <v>Y</v>
      </c>
      <c r="C14" t="str">
        <v>Y</v>
      </c>
      <c r="D14" t="str">
        <v>Y</v>
      </c>
      <c r="E14" t="str">
        <v>NA</v>
      </c>
      <c r="F14" t="str">
        <v>NA</v>
      </c>
      <c r="G14" t="str">
        <v>NA</v>
      </c>
    </row>
    <row r="15" spans="1:7" x14ac:dyDescent="0.3">
      <c r="A15" t="str">
        <v>2010992017 </v>
      </c>
      <c r="B15" t="str">
        <v>Y</v>
      </c>
      <c r="C15" t="str">
        <v>Y</v>
      </c>
      <c r="D15" t="str">
        <v>NA</v>
      </c>
      <c r="E15" t="str">
        <v>NA</v>
      </c>
      <c r="F15" t="str">
        <v>NA</v>
      </c>
      <c r="G15" t="str">
        <v>NA</v>
      </c>
    </row>
    <row r="16" spans="1:7" x14ac:dyDescent="0.3">
      <c r="A16" t="str">
        <v>2010992018 </v>
      </c>
      <c r="B16" t="str">
        <v>Y</v>
      </c>
      <c r="C16" t="str">
        <v>Y</v>
      </c>
      <c r="D16" t="str">
        <v>N</v>
      </c>
      <c r="E16" t="str">
        <v>NA</v>
      </c>
      <c r="F16" t="str">
        <v>NA</v>
      </c>
      <c r="G16" t="str">
        <v>NA</v>
      </c>
    </row>
    <row r="17" spans="1:7" x14ac:dyDescent="0.3">
      <c r="A17" t="str">
        <v>2010992163 </v>
      </c>
      <c r="B17" t="str">
        <v>NA</v>
      </c>
      <c r="C17" t="str">
        <v>NA</v>
      </c>
      <c r="D17" t="str">
        <v>NA</v>
      </c>
      <c r="E17" t="str">
        <v>NA</v>
      </c>
      <c r="F17" t="str">
        <v>NA</v>
      </c>
      <c r="G17" t="str">
        <v>NA</v>
      </c>
    </row>
    <row r="18" spans="1:7" x14ac:dyDescent="0.3">
      <c r="A18" t="str">
        <v>2010992202 </v>
      </c>
      <c r="B18" t="str">
        <v>Y</v>
      </c>
      <c r="C18" t="str">
        <v>Y</v>
      </c>
      <c r="D18" t="str">
        <v>N</v>
      </c>
      <c r="E18" t="str">
        <v>NA</v>
      </c>
      <c r="F18" t="str">
        <v>NA</v>
      </c>
      <c r="G18" t="str">
        <v>NA</v>
      </c>
    </row>
    <row r="19" spans="1:7" x14ac:dyDescent="0.3">
      <c r="A19" t="str">
        <v>2010992203 </v>
      </c>
      <c r="B19" t="str">
        <v>Y</v>
      </c>
      <c r="C19" t="str">
        <v>Y</v>
      </c>
      <c r="D19" t="str">
        <v>N</v>
      </c>
      <c r="E19" t="str">
        <v>NA</v>
      </c>
      <c r="F19" t="str">
        <v>NA</v>
      </c>
      <c r="G19" t="str">
        <v>NA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BA2D6-B2D7-4B4A-A273-2A58C60E34C4}">
  <sheetPr codeName="Sheet31">
    <tabColor rgb="FFFFFF00"/>
  </sheetPr>
  <dimension ref="A1:X19"/>
  <sheetViews>
    <sheetView workbookViewId="0">
      <selection activeCell="D25" sqref="D25"/>
    </sheetView>
  </sheetViews>
  <sheetFormatPr defaultRowHeight="14.4" x14ac:dyDescent="0.3"/>
  <cols>
    <col min="1" max="1" width="21" bestFit="1" customWidth="1"/>
    <col min="2" max="3" width="17.5546875" bestFit="1" customWidth="1"/>
    <col min="4" max="4" width="17.44140625" bestFit="1" customWidth="1"/>
    <col min="5" max="6" width="17.5546875" bestFit="1" customWidth="1"/>
    <col min="7" max="14" width="17.88671875" bestFit="1" customWidth="1"/>
    <col min="15" max="21" width="18.88671875" bestFit="1" customWidth="1"/>
    <col min="22" max="22" width="24.88671875" bestFit="1" customWidth="1"/>
    <col min="23" max="24" width="18.5546875" bestFit="1" customWidth="1"/>
  </cols>
  <sheetData>
    <row r="1" spans="1:24" x14ac:dyDescent="0.3">
      <c r="A1" t="str" cm="1">
        <f t="array" ref="A1:A19">INDEX('ETE Result'!B:B, 1):INDEX('ETE Result'!B:B, COUNTA('ETE Result'!B:B))</f>
        <v>Admission No. (Roll No.)</v>
      </c>
      <c r="B1" t="str" cm="1">
        <f t="array" ref="B1:B19">INDEX('ETE Result'!M:M, 1):INDEX('ETE Result'!M:M, COUNTA('ETE Result'!M:M) )</f>
        <v>20EC118-ETE-1a</v>
      </c>
      <c r="C1" t="str" cm="1">
        <f t="array" ref="C1:C19">INDEX('ETE Result'!N:N, 1):INDEX('ETE Result'!N:N, COUNTA('ETE Result'!N:N) )</f>
        <v>20EC118-ETE-1b</v>
      </c>
      <c r="D1" t="str" cm="1">
        <f t="array" ref="D1:D19">INDEX('ETE Result'!O:O, 1):INDEX('ETE Result'!O:O, COUNTA('ETE Result'!O:O) )</f>
        <v>20EC118-ETE-1c</v>
      </c>
      <c r="E1" t="str" cm="1">
        <f t="array" ref="E1:E19">INDEX('ETE Result'!P:P, 1):INDEX('ETE Result'!P:P, COUNTA('ETE Result'!P:P) )</f>
        <v>20EC118-ETE-1d</v>
      </c>
      <c r="F1" t="str" cm="1">
        <f t="array" ref="F1:F19">INDEX('ETE Result'!Q:Q, 1):INDEX('ETE Result'!Q:Q, COUNTA('ETE Result'!Q:Q) )</f>
        <v>20EC118-ETE-1e</v>
      </c>
      <c r="G1" t="str" cm="1">
        <f t="array" ref="G1:G19">INDEX('ETE Result'!R:R, 1):INDEX('ETE Result'!R:R, COUNTA('ETE Result'!R:R) )</f>
        <v>20EC118-ETE-Q2</v>
      </c>
      <c r="H1" t="str" cm="1">
        <f t="array" ref="H1:H19">INDEX('ETE Result'!S:S, 1):INDEX('ETE Result'!S:S, COUNTA('ETE Result'!S:S) )</f>
        <v>20EC118-ETE-Q3</v>
      </c>
      <c r="I1" t="str" cm="1">
        <f t="array" ref="I1:I19">INDEX('ETE Result'!T:T, 1):INDEX('ETE Result'!T:T, COUNTA('ETE Result'!T:T) )</f>
        <v>20EC118-ETE-Q4</v>
      </c>
      <c r="J1" t="str" cm="1">
        <f t="array" ref="J1:J19">INDEX('ETE Result'!U:U, 1):INDEX('ETE Result'!U:U, COUNTA('ETE Result'!U:U) )</f>
        <v>20EC118-ETE-Q5</v>
      </c>
      <c r="K1" t="str" cm="1">
        <f t="array" ref="K1:K19">INDEX('ETE Result'!V:V, 1):INDEX('ETE Result'!V:V, COUNTA('ETE Result'!V:V) )</f>
        <v>20EC118-ETE-Q6</v>
      </c>
      <c r="L1" t="str" cm="1">
        <f t="array" ref="L1:L19">INDEX('ETE Result'!W:W, 1):INDEX('ETE Result'!W:W, COUNTA('ETE Result'!W:W) )</f>
        <v>20EC118-ETE-Q7</v>
      </c>
      <c r="M1" t="str" cm="1">
        <f t="array" ref="M1:M19">INDEX('ETE Result'!X:X, 1):INDEX('ETE Result'!X:X, COUNTA('ETE Result'!X:X) )</f>
        <v>20EC118-ETE-Q8</v>
      </c>
      <c r="N1" t="str" cm="1">
        <f t="array" ref="N1:N19">INDEX('ETE Result'!Y:Y, 1):INDEX('ETE Result'!Y:Y, COUNTA('ETE Result'!Y:Y) )</f>
        <v>20EC118-ETE-Q9</v>
      </c>
      <c r="O1" t="str" cm="1">
        <f t="array" ref="O1:O19">INDEX('ETE Result'!Z:Z, 1):INDEX('ETE Result'!Z:Z, COUNTA('ETE Result'!Z:Z) )</f>
        <v>20EC118-ETE-Q10</v>
      </c>
      <c r="P1" t="str" cm="1">
        <f t="array" ref="P1:P19">INDEX('ETE Result'!AA:AA, 1):INDEX('ETE Result'!AA:AA, COUNTA('ETE Result'!AA:AA) )</f>
        <v>20EC118-ETE-Q11</v>
      </c>
      <c r="Q1" t="str" cm="1">
        <f t="array" ref="Q1:Q19">INDEX('ETE Result'!AB:AB, 1):INDEX('ETE Result'!AB:AB, COUNTA('ETE Result'!AB:AB) )</f>
        <v>20EC118-ETE-Q12</v>
      </c>
      <c r="R1" t="str" cm="1">
        <f t="array" ref="R1:R19">INDEX('ETE Result'!AC:AC, 1):INDEX('ETE Result'!AC:AC, COUNTA('ETE Result'!AC:AC) )</f>
        <v>20EC118-ETE-Q13</v>
      </c>
      <c r="S1" t="str" cm="1">
        <f t="array" ref="S1:S19">INDEX('ETE Result'!AD:AD, 1):INDEX('ETE Result'!AD:AD, COUNTA('ETE Result'!AD:AD) )</f>
        <v>20EC118-ETE-Q14</v>
      </c>
      <c r="T1" t="str" cm="1">
        <f t="array" ref="T1:T19">INDEX('ETE Result'!AE:AE, 1):INDEX('ETE Result'!AE:AE, COUNTA('ETE Result'!AE:AE) )</f>
        <v>20EC118-ETE-Q15</v>
      </c>
      <c r="U1" t="str" cm="1">
        <f t="array" ref="U1:U19">INDEX('ETE Result'!AF:AF, 1):INDEX('ETE Result'!AF:AF, COUNTA('ETE Result'!AF:AF) )</f>
        <v>20EC118-ETE-Q16</v>
      </c>
      <c r="V1" t="str" cm="1">
        <f t="array" ref="V1:V19">INDEX('ETE Result'!AG:AG, 1):INDEX('ETE Result'!AG:AG, COUNTA('ETE Result'!AG:AG) )</f>
        <v>20EC118-ETE-Assignment</v>
      </c>
      <c r="W1" t="str" cm="1">
        <f t="array" ref="W1:W19">INDEX('ETE Result'!AH:AH, 1):INDEX('ETE Result'!AH:AH, COUNTA('ETE Result'!AH:AH) )</f>
        <v>20EC118-ETE-FA1</v>
      </c>
      <c r="X1" t="str" cm="1">
        <f t="array" ref="X1:X19">INDEX('ETE Result'!AI:AI, 1):INDEX('ETE Result'!AI:AI, COUNTA('ETE Result'!AI:AI) )</f>
        <v>20EC118-ETE-FA2</v>
      </c>
    </row>
    <row r="2" spans="1:24" x14ac:dyDescent="0.3">
      <c r="A2" t="str">
        <v>2010990089 </v>
      </c>
      <c r="B2">
        <v>1</v>
      </c>
      <c r="C2">
        <v>1</v>
      </c>
      <c r="D2">
        <v>1</v>
      </c>
      <c r="E2">
        <v>1</v>
      </c>
      <c r="F2">
        <v>1</v>
      </c>
      <c r="G2">
        <v>2</v>
      </c>
      <c r="H2">
        <v>2</v>
      </c>
      <c r="I2" t="str">
        <v>U</v>
      </c>
      <c r="J2" t="str">
        <v>U</v>
      </c>
      <c r="K2">
        <v>2</v>
      </c>
      <c r="L2">
        <v>2</v>
      </c>
      <c r="M2">
        <v>3</v>
      </c>
      <c r="N2" t="str">
        <v>U</v>
      </c>
      <c r="O2">
        <v>5</v>
      </c>
      <c r="P2">
        <v>5</v>
      </c>
      <c r="Q2">
        <v>5</v>
      </c>
      <c r="R2" t="str">
        <v>U</v>
      </c>
      <c r="S2" t="str">
        <v>U</v>
      </c>
      <c r="T2" t="str">
        <v>U</v>
      </c>
      <c r="U2">
        <v>2</v>
      </c>
      <c r="V2" t="str">
        <v>U</v>
      </c>
      <c r="W2" t="str">
        <v>U</v>
      </c>
      <c r="X2" t="str">
        <v>U</v>
      </c>
    </row>
    <row r="3" spans="1:24" x14ac:dyDescent="0.3">
      <c r="A3" t="str">
        <v>2010992002 </v>
      </c>
      <c r="B3">
        <v>1</v>
      </c>
      <c r="C3">
        <v>1</v>
      </c>
      <c r="D3">
        <v>1</v>
      </c>
      <c r="E3">
        <v>1</v>
      </c>
      <c r="F3">
        <v>1</v>
      </c>
      <c r="G3">
        <v>2</v>
      </c>
      <c r="H3">
        <v>2</v>
      </c>
      <c r="I3">
        <v>2</v>
      </c>
      <c r="J3">
        <v>2</v>
      </c>
      <c r="K3" t="str">
        <v>U</v>
      </c>
      <c r="L3">
        <v>2</v>
      </c>
      <c r="M3">
        <v>5</v>
      </c>
      <c r="N3">
        <v>5</v>
      </c>
      <c r="O3">
        <v>5</v>
      </c>
      <c r="P3">
        <v>5</v>
      </c>
      <c r="Q3" t="str">
        <v>U</v>
      </c>
      <c r="R3">
        <v>5</v>
      </c>
      <c r="S3" t="str">
        <v>U</v>
      </c>
      <c r="T3">
        <v>5</v>
      </c>
      <c r="U3">
        <v>10</v>
      </c>
      <c r="V3" t="str">
        <v>U</v>
      </c>
      <c r="W3" t="str">
        <v>U</v>
      </c>
      <c r="X3" t="str">
        <v>U</v>
      </c>
    </row>
    <row r="4" spans="1:24" x14ac:dyDescent="0.3">
      <c r="A4" t="str">
        <v>2010992004 </v>
      </c>
      <c r="B4">
        <v>1</v>
      </c>
      <c r="C4">
        <v>1</v>
      </c>
      <c r="D4">
        <v>1</v>
      </c>
      <c r="E4">
        <v>1</v>
      </c>
      <c r="F4">
        <v>1</v>
      </c>
      <c r="G4">
        <v>2</v>
      </c>
      <c r="H4">
        <v>2</v>
      </c>
      <c r="I4" t="str">
        <v>U</v>
      </c>
      <c r="J4" t="str">
        <v>U</v>
      </c>
      <c r="K4">
        <v>2</v>
      </c>
      <c r="L4">
        <v>2</v>
      </c>
      <c r="M4">
        <v>4</v>
      </c>
      <c r="N4">
        <v>5</v>
      </c>
      <c r="O4" t="str">
        <v>U</v>
      </c>
      <c r="P4" t="str">
        <v>U</v>
      </c>
      <c r="Q4" t="str">
        <v>U</v>
      </c>
      <c r="R4" t="str">
        <v>U</v>
      </c>
      <c r="S4" t="str">
        <v>U</v>
      </c>
      <c r="T4">
        <v>2</v>
      </c>
      <c r="U4" t="str">
        <v>U</v>
      </c>
      <c r="V4" t="str">
        <v>U</v>
      </c>
      <c r="W4" t="str">
        <v>U</v>
      </c>
      <c r="X4" t="str">
        <v>U</v>
      </c>
    </row>
    <row r="5" spans="1:24" x14ac:dyDescent="0.3">
      <c r="A5" t="str">
        <v>2010992005 </v>
      </c>
      <c r="B5">
        <v>1</v>
      </c>
      <c r="C5">
        <v>1</v>
      </c>
      <c r="D5">
        <v>1</v>
      </c>
      <c r="E5">
        <v>1</v>
      </c>
      <c r="F5">
        <v>1</v>
      </c>
      <c r="G5" t="str">
        <v>U</v>
      </c>
      <c r="H5" t="str">
        <v>U</v>
      </c>
      <c r="I5" t="str">
        <v>U</v>
      </c>
      <c r="J5" t="str">
        <v>U</v>
      </c>
      <c r="K5" t="str">
        <v>U</v>
      </c>
      <c r="L5" t="str">
        <v>U</v>
      </c>
      <c r="M5" t="str">
        <v>U</v>
      </c>
      <c r="N5" t="str">
        <v>U</v>
      </c>
      <c r="O5" t="str">
        <v>U</v>
      </c>
      <c r="P5" t="str">
        <v>U</v>
      </c>
      <c r="Q5" t="str">
        <v>U</v>
      </c>
      <c r="R5" t="str">
        <v>U</v>
      </c>
      <c r="S5">
        <v>1</v>
      </c>
      <c r="T5" t="str">
        <v>U</v>
      </c>
      <c r="U5" t="str">
        <v>U</v>
      </c>
      <c r="V5" t="str">
        <v>U</v>
      </c>
      <c r="W5" t="str">
        <v>U</v>
      </c>
      <c r="X5" t="str">
        <v>U</v>
      </c>
    </row>
    <row r="6" spans="1:24" x14ac:dyDescent="0.3">
      <c r="A6" t="str">
        <v>2010992006 </v>
      </c>
      <c r="B6">
        <v>1</v>
      </c>
      <c r="C6">
        <v>1</v>
      </c>
      <c r="D6">
        <v>1</v>
      </c>
      <c r="E6">
        <v>1</v>
      </c>
      <c r="F6">
        <v>1</v>
      </c>
      <c r="G6">
        <v>2</v>
      </c>
      <c r="H6">
        <v>2</v>
      </c>
      <c r="I6">
        <v>2</v>
      </c>
      <c r="J6">
        <v>2</v>
      </c>
      <c r="K6" t="str">
        <v>U</v>
      </c>
      <c r="L6" t="str">
        <v>U</v>
      </c>
      <c r="M6">
        <v>5</v>
      </c>
      <c r="N6">
        <v>3</v>
      </c>
      <c r="O6" t="str">
        <v>U</v>
      </c>
      <c r="P6" t="str">
        <v>U</v>
      </c>
      <c r="Q6" t="str">
        <v>U</v>
      </c>
      <c r="R6">
        <v>5</v>
      </c>
      <c r="S6">
        <v>2</v>
      </c>
      <c r="T6" t="str">
        <v>U</v>
      </c>
      <c r="U6" t="str">
        <v>U</v>
      </c>
      <c r="V6" t="str">
        <v>U</v>
      </c>
      <c r="W6" t="str">
        <v>U</v>
      </c>
      <c r="X6" t="str">
        <v>U</v>
      </c>
    </row>
    <row r="7" spans="1:24" x14ac:dyDescent="0.3">
      <c r="A7" t="str">
        <v>2010992008 </v>
      </c>
      <c r="B7">
        <v>1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  <c r="I7">
        <v>2</v>
      </c>
      <c r="J7" t="str">
        <v>U</v>
      </c>
      <c r="K7">
        <v>2</v>
      </c>
      <c r="L7" t="str">
        <v>U</v>
      </c>
      <c r="M7">
        <v>5</v>
      </c>
      <c r="N7" t="str">
        <v>U</v>
      </c>
      <c r="O7" t="str">
        <v>U</v>
      </c>
      <c r="P7" t="str">
        <v>U</v>
      </c>
      <c r="Q7">
        <v>5</v>
      </c>
      <c r="R7" t="str">
        <v>U</v>
      </c>
      <c r="S7">
        <v>2</v>
      </c>
      <c r="T7" t="str">
        <v>U</v>
      </c>
      <c r="U7" t="str">
        <v>U</v>
      </c>
      <c r="V7" t="str">
        <v>U</v>
      </c>
      <c r="W7" t="str">
        <v>U</v>
      </c>
      <c r="X7" t="str">
        <v>U</v>
      </c>
    </row>
    <row r="8" spans="1:24" x14ac:dyDescent="0.3">
      <c r="A8" t="str">
        <v>2010992009 </v>
      </c>
      <c r="B8">
        <v>1</v>
      </c>
      <c r="C8">
        <v>1</v>
      </c>
      <c r="D8">
        <v>1</v>
      </c>
      <c r="E8">
        <v>1</v>
      </c>
      <c r="F8">
        <v>1</v>
      </c>
      <c r="G8">
        <v>2</v>
      </c>
      <c r="H8">
        <v>2</v>
      </c>
      <c r="I8" t="str">
        <v>U</v>
      </c>
      <c r="J8">
        <v>2</v>
      </c>
      <c r="K8">
        <v>2</v>
      </c>
      <c r="L8">
        <v>2</v>
      </c>
      <c r="M8">
        <v>5</v>
      </c>
      <c r="N8">
        <v>5</v>
      </c>
      <c r="O8">
        <v>5</v>
      </c>
      <c r="P8">
        <v>5</v>
      </c>
      <c r="Q8">
        <v>5</v>
      </c>
      <c r="R8" t="str">
        <v>U</v>
      </c>
      <c r="S8">
        <v>7</v>
      </c>
      <c r="T8">
        <v>10</v>
      </c>
      <c r="U8" t="str">
        <v>U</v>
      </c>
      <c r="V8" t="str">
        <v>U</v>
      </c>
      <c r="W8" t="str">
        <v>U</v>
      </c>
      <c r="X8" t="str">
        <v>U</v>
      </c>
    </row>
    <row r="9" spans="1:24" x14ac:dyDescent="0.3">
      <c r="A9" t="str">
        <v>2010992010 </v>
      </c>
      <c r="B9">
        <v>1</v>
      </c>
      <c r="C9">
        <v>1</v>
      </c>
      <c r="D9">
        <v>1</v>
      </c>
      <c r="E9">
        <v>1</v>
      </c>
      <c r="F9">
        <v>1</v>
      </c>
      <c r="G9">
        <v>2</v>
      </c>
      <c r="H9">
        <v>2</v>
      </c>
      <c r="I9" t="str">
        <v>U</v>
      </c>
      <c r="J9">
        <v>2</v>
      </c>
      <c r="K9" t="str">
        <v>U</v>
      </c>
      <c r="L9">
        <v>2</v>
      </c>
      <c r="M9" t="str">
        <v>U</v>
      </c>
      <c r="N9">
        <v>4</v>
      </c>
      <c r="O9" t="str">
        <v>U</v>
      </c>
      <c r="P9" t="str">
        <v>U</v>
      </c>
      <c r="Q9" t="str">
        <v>U</v>
      </c>
      <c r="R9">
        <v>5</v>
      </c>
      <c r="S9" t="str">
        <v>U</v>
      </c>
      <c r="T9" t="str">
        <v>U</v>
      </c>
      <c r="U9">
        <v>2</v>
      </c>
      <c r="V9" t="str">
        <v>U</v>
      </c>
      <c r="W9" t="str">
        <v>U</v>
      </c>
      <c r="X9" t="str">
        <v>U</v>
      </c>
    </row>
    <row r="10" spans="1:24" x14ac:dyDescent="0.3">
      <c r="A10" t="str">
        <v>2010992011 </v>
      </c>
      <c r="B10">
        <v>1</v>
      </c>
      <c r="C10">
        <v>1</v>
      </c>
      <c r="D10">
        <v>1</v>
      </c>
      <c r="E10">
        <v>1</v>
      </c>
      <c r="F10">
        <v>1</v>
      </c>
      <c r="G10">
        <v>2</v>
      </c>
      <c r="H10" t="str">
        <v>U</v>
      </c>
      <c r="I10">
        <v>2</v>
      </c>
      <c r="J10" t="str">
        <v>U</v>
      </c>
      <c r="K10">
        <v>2</v>
      </c>
      <c r="L10">
        <v>2</v>
      </c>
      <c r="M10">
        <v>3</v>
      </c>
      <c r="N10">
        <v>5</v>
      </c>
      <c r="O10">
        <v>5</v>
      </c>
      <c r="P10">
        <v>5</v>
      </c>
      <c r="Q10" t="str">
        <v>U</v>
      </c>
      <c r="R10">
        <v>5</v>
      </c>
      <c r="S10" t="str">
        <v>U</v>
      </c>
      <c r="T10" t="str">
        <v>U</v>
      </c>
      <c r="U10">
        <v>2</v>
      </c>
      <c r="V10" t="str">
        <v>U</v>
      </c>
      <c r="W10" t="str">
        <v>U</v>
      </c>
      <c r="X10" t="str">
        <v>U</v>
      </c>
    </row>
    <row r="11" spans="1:24" x14ac:dyDescent="0.3">
      <c r="A11" t="str">
        <v>2010992012 </v>
      </c>
      <c r="B11">
        <v>1</v>
      </c>
      <c r="C11">
        <v>1</v>
      </c>
      <c r="D11">
        <v>1</v>
      </c>
      <c r="E11">
        <v>1</v>
      </c>
      <c r="F11">
        <v>1</v>
      </c>
      <c r="G11">
        <v>2</v>
      </c>
      <c r="H11">
        <v>2</v>
      </c>
      <c r="I11">
        <v>2</v>
      </c>
      <c r="J11" t="str">
        <v>U</v>
      </c>
      <c r="K11">
        <v>2</v>
      </c>
      <c r="L11" t="str">
        <v>U</v>
      </c>
      <c r="M11" t="str">
        <v>U</v>
      </c>
      <c r="N11" t="str">
        <v>U</v>
      </c>
      <c r="O11">
        <v>3</v>
      </c>
      <c r="P11">
        <v>5</v>
      </c>
      <c r="Q11">
        <v>5</v>
      </c>
      <c r="R11">
        <v>5</v>
      </c>
      <c r="S11">
        <v>2</v>
      </c>
      <c r="T11" t="str">
        <v>U</v>
      </c>
      <c r="U11" t="str">
        <v>U</v>
      </c>
      <c r="V11" t="str">
        <v>U</v>
      </c>
      <c r="W11" t="str">
        <v>U</v>
      </c>
      <c r="X11" t="str">
        <v>U</v>
      </c>
    </row>
    <row r="12" spans="1:24" x14ac:dyDescent="0.3">
      <c r="A12" t="str">
        <v>2010992014 </v>
      </c>
      <c r="B12">
        <v>1</v>
      </c>
      <c r="C12">
        <v>1</v>
      </c>
      <c r="D12">
        <v>1</v>
      </c>
      <c r="E12">
        <v>1</v>
      </c>
      <c r="F12">
        <v>1</v>
      </c>
      <c r="G12">
        <v>2</v>
      </c>
      <c r="H12">
        <v>2</v>
      </c>
      <c r="I12" t="str">
        <v>U</v>
      </c>
      <c r="J12">
        <v>2</v>
      </c>
      <c r="K12" t="str">
        <v>U</v>
      </c>
      <c r="L12" t="str">
        <v>U</v>
      </c>
      <c r="M12" t="str">
        <v>U</v>
      </c>
      <c r="N12" t="str">
        <v>U</v>
      </c>
      <c r="O12" t="str">
        <v>U</v>
      </c>
      <c r="P12" t="str">
        <v>U</v>
      </c>
      <c r="Q12" t="str">
        <v>U</v>
      </c>
      <c r="R12" t="str">
        <v>U</v>
      </c>
      <c r="S12" t="str">
        <v>U</v>
      </c>
      <c r="T12" t="str">
        <v>U</v>
      </c>
      <c r="U12">
        <v>2</v>
      </c>
      <c r="V12" t="str">
        <v>U</v>
      </c>
      <c r="W12" t="str">
        <v>U</v>
      </c>
      <c r="X12" t="str">
        <v>U</v>
      </c>
    </row>
    <row r="13" spans="1:24" x14ac:dyDescent="0.3">
      <c r="A13" t="str">
        <v>2010992015 </v>
      </c>
      <c r="B13">
        <v>1</v>
      </c>
      <c r="C13">
        <v>1</v>
      </c>
      <c r="D13">
        <v>1</v>
      </c>
      <c r="E13">
        <v>1</v>
      </c>
      <c r="F13">
        <v>1</v>
      </c>
      <c r="G13">
        <v>2</v>
      </c>
      <c r="H13">
        <v>2</v>
      </c>
      <c r="I13" t="str">
        <v>U</v>
      </c>
      <c r="J13" t="str">
        <v>U</v>
      </c>
      <c r="K13">
        <v>2</v>
      </c>
      <c r="L13">
        <v>2</v>
      </c>
      <c r="M13" t="str">
        <v>U</v>
      </c>
      <c r="N13">
        <v>5</v>
      </c>
      <c r="O13" t="str">
        <v>U</v>
      </c>
      <c r="P13">
        <v>2</v>
      </c>
      <c r="Q13" t="str">
        <v>U</v>
      </c>
      <c r="R13">
        <v>5</v>
      </c>
      <c r="S13" t="str">
        <v>U</v>
      </c>
      <c r="T13">
        <v>2</v>
      </c>
      <c r="U13" t="str">
        <v>U</v>
      </c>
      <c r="V13" t="str">
        <v>U</v>
      </c>
      <c r="W13" t="str">
        <v>U</v>
      </c>
      <c r="X13" t="str">
        <v>U</v>
      </c>
    </row>
    <row r="14" spans="1:24" x14ac:dyDescent="0.3">
      <c r="A14" t="str">
        <v>2010992016 </v>
      </c>
      <c r="B14">
        <v>1</v>
      </c>
      <c r="C14">
        <v>1</v>
      </c>
      <c r="D14">
        <v>1</v>
      </c>
      <c r="E14">
        <v>1</v>
      </c>
      <c r="F14">
        <v>1</v>
      </c>
      <c r="G14">
        <v>2</v>
      </c>
      <c r="H14" t="str">
        <v>U</v>
      </c>
      <c r="I14">
        <v>2</v>
      </c>
      <c r="J14" t="str">
        <v>U</v>
      </c>
      <c r="K14">
        <v>2</v>
      </c>
      <c r="L14">
        <v>2</v>
      </c>
      <c r="M14">
        <v>5</v>
      </c>
      <c r="N14">
        <v>5</v>
      </c>
      <c r="O14">
        <v>5</v>
      </c>
      <c r="P14" t="str">
        <v>U</v>
      </c>
      <c r="Q14">
        <v>5</v>
      </c>
      <c r="R14">
        <v>5</v>
      </c>
      <c r="S14">
        <v>2</v>
      </c>
      <c r="T14" t="str">
        <v>U</v>
      </c>
      <c r="U14">
        <v>2</v>
      </c>
      <c r="V14" t="str">
        <v>U</v>
      </c>
      <c r="W14" t="str">
        <v>U</v>
      </c>
      <c r="X14" t="str">
        <v>U</v>
      </c>
    </row>
    <row r="15" spans="1:24" x14ac:dyDescent="0.3">
      <c r="A15" t="str">
        <v>2010992017 </v>
      </c>
      <c r="B15">
        <v>1</v>
      </c>
      <c r="C15">
        <v>1</v>
      </c>
      <c r="D15">
        <v>1</v>
      </c>
      <c r="E15">
        <v>1</v>
      </c>
      <c r="F15">
        <v>1</v>
      </c>
      <c r="G15" t="str">
        <v>U</v>
      </c>
      <c r="H15">
        <v>2</v>
      </c>
      <c r="I15" t="str">
        <v>U</v>
      </c>
      <c r="J15">
        <v>2</v>
      </c>
      <c r="K15">
        <v>2</v>
      </c>
      <c r="L15">
        <v>2</v>
      </c>
      <c r="M15">
        <v>5</v>
      </c>
      <c r="N15" t="str">
        <v>U</v>
      </c>
      <c r="O15" t="str">
        <v>U</v>
      </c>
      <c r="P15" t="str">
        <v>U</v>
      </c>
      <c r="Q15" t="str">
        <v>U</v>
      </c>
      <c r="R15">
        <v>5</v>
      </c>
      <c r="S15" t="str">
        <v>U</v>
      </c>
      <c r="T15">
        <v>2</v>
      </c>
      <c r="U15" t="str">
        <v>U</v>
      </c>
      <c r="V15" t="str">
        <v>U</v>
      </c>
      <c r="W15" t="str">
        <v>U</v>
      </c>
      <c r="X15" t="str">
        <v>U</v>
      </c>
    </row>
    <row r="16" spans="1:24" x14ac:dyDescent="0.3">
      <c r="A16" t="str">
        <v>2010992018 </v>
      </c>
      <c r="B16">
        <v>1</v>
      </c>
      <c r="C16">
        <v>1</v>
      </c>
      <c r="D16">
        <v>1</v>
      </c>
      <c r="E16">
        <v>1</v>
      </c>
      <c r="F16">
        <v>1</v>
      </c>
      <c r="G16">
        <v>2</v>
      </c>
      <c r="H16">
        <v>2</v>
      </c>
      <c r="I16" t="str">
        <v>U</v>
      </c>
      <c r="J16">
        <v>2</v>
      </c>
      <c r="K16" t="str">
        <v>U</v>
      </c>
      <c r="L16">
        <v>2</v>
      </c>
      <c r="M16">
        <v>5</v>
      </c>
      <c r="N16">
        <v>2</v>
      </c>
      <c r="O16">
        <v>5</v>
      </c>
      <c r="P16" t="str">
        <v>U</v>
      </c>
      <c r="Q16" t="str">
        <v>U</v>
      </c>
      <c r="R16">
        <v>5</v>
      </c>
      <c r="S16" t="str">
        <v>U</v>
      </c>
      <c r="T16">
        <v>2</v>
      </c>
      <c r="U16" t="str">
        <v>U</v>
      </c>
      <c r="V16" t="str">
        <v>U</v>
      </c>
      <c r="W16" t="str">
        <v>U</v>
      </c>
      <c r="X16" t="str">
        <v>U</v>
      </c>
    </row>
    <row r="17" spans="1:24" x14ac:dyDescent="0.3">
      <c r="A17" t="str">
        <v>2010992163 </v>
      </c>
      <c r="B17">
        <v>1</v>
      </c>
      <c r="C17">
        <v>1</v>
      </c>
      <c r="D17">
        <v>1</v>
      </c>
      <c r="E17">
        <v>1</v>
      </c>
      <c r="F17">
        <v>1</v>
      </c>
      <c r="G17">
        <v>2</v>
      </c>
      <c r="H17" t="str">
        <v>U</v>
      </c>
      <c r="I17">
        <v>2</v>
      </c>
      <c r="J17">
        <v>2</v>
      </c>
      <c r="K17" t="str">
        <v>U</v>
      </c>
      <c r="L17">
        <v>2</v>
      </c>
      <c r="M17">
        <v>5</v>
      </c>
      <c r="N17">
        <v>5</v>
      </c>
      <c r="O17">
        <v>5</v>
      </c>
      <c r="P17">
        <v>5</v>
      </c>
      <c r="Q17">
        <v>5</v>
      </c>
      <c r="R17" t="str">
        <v>U</v>
      </c>
      <c r="S17">
        <v>2</v>
      </c>
      <c r="T17" t="str">
        <v>U</v>
      </c>
      <c r="U17">
        <v>8</v>
      </c>
      <c r="V17" t="str">
        <v>U</v>
      </c>
      <c r="W17" t="str">
        <v>U</v>
      </c>
      <c r="X17" t="str">
        <v>U</v>
      </c>
    </row>
    <row r="18" spans="1:24" x14ac:dyDescent="0.3">
      <c r="A18" t="str">
        <v>2010992202 </v>
      </c>
      <c r="B18">
        <v>1</v>
      </c>
      <c r="C18">
        <v>1</v>
      </c>
      <c r="D18">
        <v>1</v>
      </c>
      <c r="E18">
        <v>1</v>
      </c>
      <c r="F18">
        <v>1</v>
      </c>
      <c r="G18">
        <v>2</v>
      </c>
      <c r="H18">
        <v>2</v>
      </c>
      <c r="I18" t="str">
        <v>U</v>
      </c>
      <c r="J18" t="str">
        <v>U</v>
      </c>
      <c r="K18">
        <v>2</v>
      </c>
      <c r="L18">
        <v>2</v>
      </c>
      <c r="M18">
        <v>5</v>
      </c>
      <c r="N18" t="str">
        <v>U</v>
      </c>
      <c r="O18">
        <v>5</v>
      </c>
      <c r="P18">
        <v>5</v>
      </c>
      <c r="Q18">
        <v>5</v>
      </c>
      <c r="R18">
        <v>5</v>
      </c>
      <c r="S18">
        <v>2</v>
      </c>
      <c r="T18" t="str">
        <v>U</v>
      </c>
      <c r="U18">
        <v>1</v>
      </c>
      <c r="V18" t="str">
        <v>U</v>
      </c>
      <c r="W18" t="str">
        <v>U</v>
      </c>
      <c r="X18" t="str">
        <v>U</v>
      </c>
    </row>
    <row r="19" spans="1:24" x14ac:dyDescent="0.3">
      <c r="A19" t="str">
        <v>2010992203 </v>
      </c>
      <c r="B19">
        <v>1</v>
      </c>
      <c r="C19">
        <v>1</v>
      </c>
      <c r="D19">
        <v>1</v>
      </c>
      <c r="E19">
        <v>1</v>
      </c>
      <c r="F19">
        <v>1</v>
      </c>
      <c r="G19">
        <v>2</v>
      </c>
      <c r="H19">
        <v>2</v>
      </c>
      <c r="I19" t="str">
        <v>U</v>
      </c>
      <c r="J19" t="str">
        <v>U</v>
      </c>
      <c r="K19">
        <v>2</v>
      </c>
      <c r="L19">
        <v>2</v>
      </c>
      <c r="M19">
        <v>5</v>
      </c>
      <c r="N19">
        <v>5</v>
      </c>
      <c r="O19">
        <v>1</v>
      </c>
      <c r="P19">
        <v>5</v>
      </c>
      <c r="Q19">
        <v>5</v>
      </c>
      <c r="R19" t="str">
        <v>U</v>
      </c>
      <c r="S19">
        <v>2</v>
      </c>
      <c r="T19" t="str">
        <v>U</v>
      </c>
      <c r="U19" t="str">
        <v>U</v>
      </c>
      <c r="V19" t="str">
        <v>U</v>
      </c>
      <c r="W19" t="str">
        <v>U</v>
      </c>
      <c r="X19" t="str">
        <v>U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19E5-4555-44D5-B445-B3F36DD16477}">
  <sheetPr codeName="Sheet32">
    <tabColor rgb="FFFFFF00"/>
  </sheetPr>
  <dimension ref="A1:X19"/>
  <sheetViews>
    <sheetView zoomScale="70" zoomScaleNormal="70" workbookViewId="0">
      <selection activeCell="B21" sqref="B21"/>
    </sheetView>
  </sheetViews>
  <sheetFormatPr defaultRowHeight="14.4" x14ac:dyDescent="0.3"/>
  <cols>
    <col min="1" max="1" width="21" bestFit="1" customWidth="1"/>
    <col min="2" max="3" width="17.5546875" bestFit="1" customWidth="1"/>
    <col min="4" max="4" width="17.44140625" bestFit="1" customWidth="1"/>
    <col min="5" max="6" width="17.5546875" bestFit="1" customWidth="1"/>
    <col min="7" max="14" width="17.88671875" bestFit="1" customWidth="1"/>
    <col min="15" max="21" width="18.88671875" bestFit="1" customWidth="1"/>
    <col min="22" max="22" width="24.88671875" bestFit="1" customWidth="1"/>
    <col min="23" max="24" width="18.5546875" bestFit="1" customWidth="1"/>
  </cols>
  <sheetData>
    <row r="1" spans="1:24" x14ac:dyDescent="0.3">
      <c r="A1" t="str" cm="1">
        <f t="array" ref="A1:A19">INDEX('ETE Result'!B:B, 1):INDEX('ETE Result'!B:B, COUNTA('ETE Result'!B:B))</f>
        <v>Admission No. (Roll No.)</v>
      </c>
      <c r="B1" t="str" cm="1">
        <f t="array" ref="B1:X1">TRANSPOSE('ETE CO Question Map'!A2:A24)</f>
        <v>20EC118-ETE-1a</v>
      </c>
      <c r="C1" t="str">
        <v>20EC118-ETE-1b</v>
      </c>
      <c r="D1" t="str">
        <v>20EC118-ETE-1c</v>
      </c>
      <c r="E1" t="str">
        <v>20EC118-ETE-1d</v>
      </c>
      <c r="F1" t="str">
        <v>20EC118-ETE-1e</v>
      </c>
      <c r="G1" t="str">
        <v>20EC118-ETE-Q2</v>
      </c>
      <c r="H1" t="str">
        <v>20EC118-ETE-Q3</v>
      </c>
      <c r="I1" t="str">
        <v>20EC118-ETE-Q4</v>
      </c>
      <c r="J1" t="str">
        <v>20EC118-ETE-Q5</v>
      </c>
      <c r="K1" t="str">
        <v>20EC118-ETE-Q6</v>
      </c>
      <c r="L1" t="str">
        <v>20EC118-ETE-Q7</v>
      </c>
      <c r="M1" t="str">
        <v>20EC118-ETE-Q8</v>
      </c>
      <c r="N1" t="str">
        <v>20EC118-ETE-Q9</v>
      </c>
      <c r="O1" t="str">
        <v>20EC118-ETE-Q10</v>
      </c>
      <c r="P1" t="str">
        <v>20EC118-ETE-Q11</v>
      </c>
      <c r="Q1" t="str">
        <v>20EC118-ETE-Q12</v>
      </c>
      <c r="R1" t="str">
        <v>20EC118-ETE-Q13</v>
      </c>
      <c r="S1" t="str">
        <v>20EC118-ETE-Q14</v>
      </c>
      <c r="T1" t="str">
        <v>20EC118-ETE-Q15</v>
      </c>
      <c r="U1" t="str">
        <v>20EC118-ETE-Q16</v>
      </c>
      <c r="V1" t="str">
        <v>20EC118-ETE-Assignment</v>
      </c>
      <c r="W1" t="str">
        <v>20EC118-ETE-FA1</v>
      </c>
      <c r="X1" t="str">
        <v>20EC118-ETE-FA2</v>
      </c>
    </row>
    <row r="2" spans="1:24" x14ac:dyDescent="0.3">
      <c r="A2" t="str">
        <v>2010990089 </v>
      </c>
      <c r="B2" t="str" cm="1">
        <f t="array" ref="B2:B19">IF(_xlfn.XLOOKUP($A2:INDEX($A:$A,COUNTA($A:$A)),'ETE Student Marks'!$A$1:INDEX('ETE Student Marks'!$A:$A,COUNTA('ETE Student Marks'!$A:$A)),'ETE Student Marks'!B$1:INDEX('ETE Student Marks'!B:B,COUNTA('ETE Student Marks'!B:B)))="U","Unattempted",'ETE Student Marks'!B1)</f>
        <v>20EC118-ETE-1a</v>
      </c>
      <c r="C2" t="str" cm="1">
        <f t="array" ref="C2:C19">IF(_xlfn.XLOOKUP($A2:INDEX($A:$A,COUNTA($A:$A)),'ETE Student Marks'!$A$1:INDEX('ETE Student Marks'!$A:$A,COUNTA('ETE Student Marks'!$A:$A)),'ETE Student Marks'!C$1:INDEX('ETE Student Marks'!C:C,COUNTA('ETE Student Marks'!C:C)))="U","Unattempted",'ETE Student Marks'!C1)</f>
        <v>20EC118-ETE-1b</v>
      </c>
      <c r="D2" t="str" cm="1">
        <f t="array" ref="D2:D19">IF(_xlfn.XLOOKUP($A2:INDEX($A:$A,COUNTA($A:$A)),'ETE Student Marks'!$A$1:INDEX('ETE Student Marks'!$A:$A,COUNTA('ETE Student Marks'!$A:$A)),'ETE Student Marks'!D$1:INDEX('ETE Student Marks'!D:D,COUNTA('ETE Student Marks'!D:D)))="U","Unattempted",'ETE Student Marks'!D1)</f>
        <v>20EC118-ETE-1c</v>
      </c>
      <c r="E2" t="str" cm="1">
        <f t="array" ref="E2:E19">IF(_xlfn.XLOOKUP($A2:INDEX($A:$A,COUNTA($A:$A)),'ETE Student Marks'!$A$1:INDEX('ETE Student Marks'!$A:$A,COUNTA('ETE Student Marks'!$A:$A)),'ETE Student Marks'!E$1:INDEX('ETE Student Marks'!E:E,COUNTA('ETE Student Marks'!E:E)))="U","Unattempted",'ETE Student Marks'!E1)</f>
        <v>20EC118-ETE-1d</v>
      </c>
      <c r="F2" t="str" cm="1">
        <f t="array" ref="F2:F19">IF(_xlfn.XLOOKUP($A2:INDEX($A:$A,COUNTA($A:$A)),'ETE Student Marks'!$A$1:INDEX('ETE Student Marks'!$A:$A,COUNTA('ETE Student Marks'!$A:$A)),'ETE Student Marks'!F$1:INDEX('ETE Student Marks'!F:F,COUNTA('ETE Student Marks'!F:F)))="U","Unattempted",'ETE Student Marks'!F1)</f>
        <v>20EC118-ETE-1e</v>
      </c>
      <c r="G2" t="str" cm="1">
        <f t="array" ref="G2:G19">IF(_xlfn.XLOOKUP($A2:INDEX($A:$A,COUNTA($A:$A)),'ETE Student Marks'!$A$1:INDEX('ETE Student Marks'!$A:$A,COUNTA('ETE Student Marks'!$A:$A)),'ETE Student Marks'!G$1:INDEX('ETE Student Marks'!G:G,COUNTA('ETE Student Marks'!G:G)))="U","Unattempted",'ETE Student Marks'!G1)</f>
        <v>20EC118-ETE-Q2</v>
      </c>
      <c r="H2" t="str" cm="1">
        <f t="array" ref="H2:H19">IF(_xlfn.XLOOKUP($A2:INDEX($A:$A,COUNTA($A:$A)),'ETE Student Marks'!$A$1:INDEX('ETE Student Marks'!$A:$A,COUNTA('ETE Student Marks'!$A:$A)),'ETE Student Marks'!H$1:INDEX('ETE Student Marks'!H:H,COUNTA('ETE Student Marks'!H:H)))="U","Unattempted",'ETE Student Marks'!H1)</f>
        <v>20EC118-ETE-Q3</v>
      </c>
      <c r="I2" t="str" cm="1">
        <f t="array" ref="I2:I19">IF(_xlfn.XLOOKUP($A2:INDEX($A:$A,COUNTA($A:$A)),'ETE Student Marks'!$A$1:INDEX('ETE Student Marks'!$A:$A,COUNTA('ETE Student Marks'!$A:$A)),'ETE Student Marks'!I$1:INDEX('ETE Student Marks'!I:I,COUNTA('ETE Student Marks'!I:I)))="U","Unattempted",'ETE Student Marks'!I1)</f>
        <v>Unattempted</v>
      </c>
      <c r="J2" t="str" cm="1">
        <f t="array" ref="J2:J19">IF(_xlfn.XLOOKUP($A2:INDEX($A:$A,COUNTA($A:$A)),'ETE Student Marks'!$A$1:INDEX('ETE Student Marks'!$A:$A,COUNTA('ETE Student Marks'!$A:$A)),'ETE Student Marks'!J$1:INDEX('ETE Student Marks'!J:J,COUNTA('ETE Student Marks'!J:J)))="U","Unattempted",'ETE Student Marks'!J1)</f>
        <v>Unattempted</v>
      </c>
      <c r="K2" t="str" cm="1">
        <f t="array" ref="K2:K19">IF(_xlfn.XLOOKUP($A2:INDEX($A:$A,COUNTA($A:$A)),'ETE Student Marks'!$A$1:INDEX('ETE Student Marks'!$A:$A,COUNTA('ETE Student Marks'!$A:$A)),'ETE Student Marks'!K$1:INDEX('ETE Student Marks'!K:K,COUNTA('ETE Student Marks'!K:K)))="U","Unattempted",'ETE Student Marks'!K1)</f>
        <v>20EC118-ETE-Q6</v>
      </c>
      <c r="L2" t="str" cm="1">
        <f t="array" ref="L2:L19">IF(_xlfn.XLOOKUP($A2:INDEX($A:$A,COUNTA($A:$A)),'ETE Student Marks'!$A$1:INDEX('ETE Student Marks'!$A:$A,COUNTA('ETE Student Marks'!$A:$A)),'ETE Student Marks'!L$1:INDEX('ETE Student Marks'!L:L,COUNTA('ETE Student Marks'!L:L)))="U","Unattempted",'ETE Student Marks'!L1)</f>
        <v>20EC118-ETE-Q7</v>
      </c>
      <c r="M2" t="str" cm="1">
        <f t="array" ref="M2:M19">IF(_xlfn.XLOOKUP($A2:INDEX($A:$A,COUNTA($A:$A)),'ETE Student Marks'!$A$1:INDEX('ETE Student Marks'!$A:$A,COUNTA('ETE Student Marks'!$A:$A)),'ETE Student Marks'!M$1:INDEX('ETE Student Marks'!M:M,COUNTA('ETE Student Marks'!M:M)))="U","Unattempted",'ETE Student Marks'!M1)</f>
        <v>20EC118-ETE-Q8</v>
      </c>
      <c r="N2" t="str" cm="1">
        <f t="array" ref="N2:N19">IF(_xlfn.XLOOKUP($A2:INDEX($A:$A,COUNTA($A:$A)),'ETE Student Marks'!$A$1:INDEX('ETE Student Marks'!$A:$A,COUNTA('ETE Student Marks'!$A:$A)),'ETE Student Marks'!N$1:INDEX('ETE Student Marks'!N:N,COUNTA('ETE Student Marks'!N:N)))="U","Unattempted",'ETE Student Marks'!N1)</f>
        <v>Unattempted</v>
      </c>
      <c r="O2" t="str" cm="1">
        <f t="array" ref="O2:O19">IF(_xlfn.XLOOKUP($A2:INDEX($A:$A,COUNTA($A:$A)),'ETE Student Marks'!$A$1:INDEX('ETE Student Marks'!$A:$A,COUNTA('ETE Student Marks'!$A:$A)),'ETE Student Marks'!O$1:INDEX('ETE Student Marks'!O:O,COUNTA('ETE Student Marks'!O:O)))="U","Unattempted",'ETE Student Marks'!O1)</f>
        <v>20EC118-ETE-Q10</v>
      </c>
      <c r="P2" t="str" cm="1">
        <f t="array" ref="P2:P19">IF(_xlfn.XLOOKUP($A2:INDEX($A:$A,COUNTA($A:$A)),'ETE Student Marks'!$A$1:INDEX('ETE Student Marks'!$A:$A,COUNTA('ETE Student Marks'!$A:$A)),'ETE Student Marks'!P$1:INDEX('ETE Student Marks'!P:P,COUNTA('ETE Student Marks'!P:P)))="U","Unattempted",'ETE Student Marks'!P1)</f>
        <v>20EC118-ETE-Q11</v>
      </c>
      <c r="Q2" t="str" cm="1">
        <f t="array" ref="Q2:Q19">IF(_xlfn.XLOOKUP($A2:INDEX($A:$A,COUNTA($A:$A)),'ETE Student Marks'!$A$1:INDEX('ETE Student Marks'!$A:$A,COUNTA('ETE Student Marks'!$A:$A)),'ETE Student Marks'!Q$1:INDEX('ETE Student Marks'!Q:Q,COUNTA('ETE Student Marks'!Q:Q)))="U","Unattempted",'ETE Student Marks'!Q1)</f>
        <v>20EC118-ETE-Q12</v>
      </c>
      <c r="R2" t="str" cm="1">
        <f t="array" ref="R2:R19">IF(_xlfn.XLOOKUP($A2:INDEX($A:$A,COUNTA($A:$A)),'ETE Student Marks'!$A$1:INDEX('ETE Student Marks'!$A:$A,COUNTA('ETE Student Marks'!$A:$A)),'ETE Student Marks'!R$1:INDEX('ETE Student Marks'!R:R,COUNTA('ETE Student Marks'!R:R)))="U","Unattempted",'ETE Student Marks'!R1)</f>
        <v>Unattempted</v>
      </c>
      <c r="S2" t="str" cm="1">
        <f t="array" ref="S2:S19">IF(_xlfn.XLOOKUP($A2:INDEX($A:$A,COUNTA($A:$A)),'ETE Student Marks'!$A$1:INDEX('ETE Student Marks'!$A:$A,COUNTA('ETE Student Marks'!$A:$A)),'ETE Student Marks'!S$1:INDEX('ETE Student Marks'!S:S,COUNTA('ETE Student Marks'!S:S)))="U","Unattempted",'ETE Student Marks'!S1)</f>
        <v>Unattempted</v>
      </c>
      <c r="T2" t="str" cm="1">
        <f t="array" ref="T2:T19">IF(_xlfn.XLOOKUP($A2:INDEX($A:$A,COUNTA($A:$A)),'ETE Student Marks'!$A$1:INDEX('ETE Student Marks'!$A:$A,COUNTA('ETE Student Marks'!$A:$A)),'ETE Student Marks'!T$1:INDEX('ETE Student Marks'!T:T,COUNTA('ETE Student Marks'!T:T)))="U","Unattempted",'ETE Student Marks'!T1)</f>
        <v>Unattempted</v>
      </c>
      <c r="U2" t="str" cm="1">
        <f t="array" ref="U2:U19">IF(_xlfn.XLOOKUP($A2:INDEX($A:$A,COUNTA($A:$A)),'ETE Student Marks'!$A$1:INDEX('ETE Student Marks'!$A:$A,COUNTA('ETE Student Marks'!$A:$A)),'ETE Student Marks'!U$1:INDEX('ETE Student Marks'!U:U,COUNTA('ETE Student Marks'!U:U)))="U","Unattempted",'ETE Student Marks'!U1)</f>
        <v>20EC118-ETE-Q16</v>
      </c>
      <c r="V2" t="str" cm="1">
        <f t="array" ref="V2:V19">IF(_xlfn.XLOOKUP($A2:INDEX($A:$A,COUNTA($A:$A)),'ETE Student Marks'!$A$1:INDEX('ETE Student Marks'!$A:$A,COUNTA('ETE Student Marks'!$A:$A)),'ETE Student Marks'!V$1:INDEX('ETE Student Marks'!V:V,COUNTA('ETE Student Marks'!V:V)))="U","Unattempted",'ETE Student Marks'!V1)</f>
        <v>Unattempted</v>
      </c>
      <c r="W2" t="str" cm="1">
        <f t="array" ref="W2:W19">IF(_xlfn.XLOOKUP($A2:INDEX($A:$A,COUNTA($A:$A)),'ETE Student Marks'!$A$1:INDEX('ETE Student Marks'!$A:$A,COUNTA('ETE Student Marks'!$A:$A)),'ETE Student Marks'!W$1:INDEX('ETE Student Marks'!W:W,COUNTA('ETE Student Marks'!W:W)))="U","Unattempted",'ETE Student Marks'!W1)</f>
        <v>Unattempted</v>
      </c>
      <c r="X2" t="str" cm="1">
        <f t="array" ref="X2:X19">IF(_xlfn.XLOOKUP($A2:INDEX($A:$A,COUNTA($A:$A)),'ETE Student Marks'!$A$1:INDEX('ETE Student Marks'!$A:$A,COUNTA('ETE Student Marks'!$A:$A)),'ETE Student Marks'!X$1:INDEX('ETE Student Marks'!X:X,COUNTA('ETE Student Marks'!X:X)))="U","Unattempted",'ETE Student Marks'!X1)</f>
        <v>Unattempted</v>
      </c>
    </row>
    <row r="3" spans="1:24" ht="28.8" x14ac:dyDescent="0.3">
      <c r="A3" t="str">
        <v>2010992002 </v>
      </c>
      <c r="B3" t="str">
        <v>20EC118-ETE-1a</v>
      </c>
      <c r="C3" t="str">
        <v>20EC118-ETE-1b</v>
      </c>
      <c r="D3" t="str">
        <v>20EC118-ETE-1c</v>
      </c>
      <c r="E3" t="str">
        <v>20EC118-ETE-1d</v>
      </c>
      <c r="F3" t="str">
        <v>20EC118-ETE-1e</v>
      </c>
      <c r="G3" t="str">
        <v>20EC118-ETE-Q2</v>
      </c>
      <c r="H3" t="str">
        <v>20EC118-ETE-Q3</v>
      </c>
      <c r="I3" t="str">
        <v>20EC118-ETE-Q4</v>
      </c>
      <c r="J3" t="str">
        <v>20EC118-ETE-Q5</v>
      </c>
      <c r="K3" t="str">
        <v>Unattempted</v>
      </c>
      <c r="L3" t="str">
        <v>20EC118-ETE-Q7</v>
      </c>
      <c r="M3" t="str">
        <v>20EC118-ETE-Q8</v>
      </c>
      <c r="N3" t="str">
        <v>20EC118-ETE-Q9</v>
      </c>
      <c r="O3" t="str">
        <v>20EC118-ETE-Q10</v>
      </c>
      <c r="P3" t="str">
        <v>20EC118-ETE-Q11</v>
      </c>
      <c r="Q3" t="str">
        <v>Unattempted</v>
      </c>
      <c r="R3" t="str">
        <v>20EC118-ETE-Q13</v>
      </c>
      <c r="S3" s="1" t="str">
        <v>Unattempted</v>
      </c>
      <c r="T3" t="str">
        <v>20EC118-ETE-Q15</v>
      </c>
      <c r="U3" t="str">
        <v>20EC118-ETE-Q16</v>
      </c>
      <c r="V3" t="str">
        <v>Unattempted</v>
      </c>
      <c r="W3" t="str">
        <v>Unattempted</v>
      </c>
      <c r="X3" t="str">
        <v>Unattempted</v>
      </c>
    </row>
    <row r="4" spans="1:24" x14ac:dyDescent="0.3">
      <c r="A4" t="str">
        <v>2010992004 </v>
      </c>
      <c r="B4" t="str">
        <v>20EC118-ETE-1a</v>
      </c>
      <c r="C4" t="str">
        <v>20EC118-ETE-1b</v>
      </c>
      <c r="D4" t="str">
        <v>20EC118-ETE-1c</v>
      </c>
      <c r="E4" t="str">
        <v>20EC118-ETE-1d</v>
      </c>
      <c r="F4" t="str">
        <v>20EC118-ETE-1e</v>
      </c>
      <c r="G4" t="str">
        <v>20EC118-ETE-Q2</v>
      </c>
      <c r="H4" t="str">
        <v>20EC118-ETE-Q3</v>
      </c>
      <c r="I4" t="str">
        <v>Unattempted</v>
      </c>
      <c r="J4" t="str">
        <v>Unattempted</v>
      </c>
      <c r="K4" t="str">
        <v>20EC118-ETE-Q6</v>
      </c>
      <c r="L4" t="str">
        <v>20EC118-ETE-Q7</v>
      </c>
      <c r="M4" t="str">
        <v>20EC118-ETE-Q8</v>
      </c>
      <c r="N4" t="str">
        <v>20EC118-ETE-Q9</v>
      </c>
      <c r="O4" t="str">
        <v>Unattempted</v>
      </c>
      <c r="P4" t="str">
        <v>Unattempted</v>
      </c>
      <c r="Q4" t="str">
        <v>Unattempted</v>
      </c>
      <c r="R4" t="str">
        <v>Unattempted</v>
      </c>
      <c r="S4" t="str">
        <v>Unattempted</v>
      </c>
      <c r="T4" t="str">
        <v>20EC118-ETE-Q15</v>
      </c>
      <c r="U4" t="str">
        <v>Unattempted</v>
      </c>
      <c r="V4" t="str">
        <v>Unattempted</v>
      </c>
      <c r="W4" t="str">
        <v>Unattempted</v>
      </c>
      <c r="X4" t="str">
        <v>Unattempted</v>
      </c>
    </row>
    <row r="5" spans="1:24" x14ac:dyDescent="0.3">
      <c r="A5" t="str">
        <v>2010992005 </v>
      </c>
      <c r="B5" t="str">
        <v>20EC118-ETE-1a</v>
      </c>
      <c r="C5" t="str">
        <v>20EC118-ETE-1b</v>
      </c>
      <c r="D5" t="str">
        <v>20EC118-ETE-1c</v>
      </c>
      <c r="E5" t="str">
        <v>20EC118-ETE-1d</v>
      </c>
      <c r="F5" t="str">
        <v>20EC118-ETE-1e</v>
      </c>
      <c r="G5" t="str">
        <v>Unattempted</v>
      </c>
      <c r="H5" t="str">
        <v>Unattempted</v>
      </c>
      <c r="I5" t="str">
        <v>Unattempted</v>
      </c>
      <c r="J5" t="str">
        <v>Unattempted</v>
      </c>
      <c r="K5" t="str">
        <v>Unattempted</v>
      </c>
      <c r="L5" t="str">
        <v>Unattempted</v>
      </c>
      <c r="M5" t="str">
        <v>Unattempted</v>
      </c>
      <c r="N5" t="str">
        <v>Unattempted</v>
      </c>
      <c r="O5" t="str">
        <v>Unattempted</v>
      </c>
      <c r="P5" t="str">
        <v>Unattempted</v>
      </c>
      <c r="Q5" t="str">
        <v>Unattempted</v>
      </c>
      <c r="R5" t="str">
        <v>Unattempted</v>
      </c>
      <c r="S5" t="str">
        <v>20EC118-ETE-Q14</v>
      </c>
      <c r="T5" t="str">
        <v>Unattempted</v>
      </c>
      <c r="U5" t="str">
        <v>Unattempted</v>
      </c>
      <c r="V5" t="str">
        <v>Unattempted</v>
      </c>
      <c r="W5" t="str">
        <v>Unattempted</v>
      </c>
      <c r="X5" t="str">
        <v>Unattempted</v>
      </c>
    </row>
    <row r="6" spans="1:24" x14ac:dyDescent="0.3">
      <c r="A6" t="str">
        <v>2010992006 </v>
      </c>
      <c r="B6" t="str">
        <v>20EC118-ETE-1a</v>
      </c>
      <c r="C6" t="str">
        <v>20EC118-ETE-1b</v>
      </c>
      <c r="D6" t="str">
        <v>20EC118-ETE-1c</v>
      </c>
      <c r="E6" t="str">
        <v>20EC118-ETE-1d</v>
      </c>
      <c r="F6" t="str">
        <v>20EC118-ETE-1e</v>
      </c>
      <c r="G6" t="str">
        <v>20EC118-ETE-Q2</v>
      </c>
      <c r="H6" t="str">
        <v>20EC118-ETE-Q3</v>
      </c>
      <c r="I6" t="str">
        <v>20EC118-ETE-Q4</v>
      </c>
      <c r="J6" t="str">
        <v>20EC118-ETE-Q5</v>
      </c>
      <c r="K6" t="str">
        <v>Unattempted</v>
      </c>
      <c r="L6" t="str">
        <v>Unattempted</v>
      </c>
      <c r="M6" t="str">
        <v>20EC118-ETE-Q8</v>
      </c>
      <c r="N6" t="str">
        <v>20EC118-ETE-Q9</v>
      </c>
      <c r="O6" t="str">
        <v>Unattempted</v>
      </c>
      <c r="P6" t="str">
        <v>Unattempted</v>
      </c>
      <c r="Q6" t="str">
        <v>Unattempted</v>
      </c>
      <c r="R6" t="str">
        <v>20EC118-ETE-Q13</v>
      </c>
      <c r="S6" t="str">
        <v>20EC118-ETE-Q14</v>
      </c>
      <c r="T6" t="str">
        <v>Unattempted</v>
      </c>
      <c r="U6" t="str">
        <v>Unattempted</v>
      </c>
      <c r="V6" t="str">
        <v>Unattempted</v>
      </c>
      <c r="W6" t="str">
        <v>Unattempted</v>
      </c>
      <c r="X6" t="str">
        <v>Unattempted</v>
      </c>
    </row>
    <row r="7" spans="1:24" x14ac:dyDescent="0.3">
      <c r="A7" t="str">
        <v>2010992008 </v>
      </c>
      <c r="B7" t="str">
        <v>20EC118-ETE-1a</v>
      </c>
      <c r="C7" t="str">
        <v>20EC118-ETE-1b</v>
      </c>
      <c r="D7" t="str">
        <v>20EC118-ETE-1c</v>
      </c>
      <c r="E7" t="str">
        <v>20EC118-ETE-1d</v>
      </c>
      <c r="F7" t="str">
        <v>20EC118-ETE-1e</v>
      </c>
      <c r="G7" t="str">
        <v>20EC118-ETE-Q2</v>
      </c>
      <c r="H7" t="str">
        <v>20EC118-ETE-Q3</v>
      </c>
      <c r="I7" t="str">
        <v>20EC118-ETE-Q4</v>
      </c>
      <c r="J7" t="str">
        <v>Unattempted</v>
      </c>
      <c r="K7" t="str">
        <v>20EC118-ETE-Q6</v>
      </c>
      <c r="L7" t="str">
        <v>Unattempted</v>
      </c>
      <c r="M7" t="str">
        <v>20EC118-ETE-Q8</v>
      </c>
      <c r="N7" t="str">
        <v>Unattempted</v>
      </c>
      <c r="O7" t="str">
        <v>Unattempted</v>
      </c>
      <c r="P7" t="str">
        <v>Unattempted</v>
      </c>
      <c r="Q7" t="str">
        <v>20EC118-ETE-Q12</v>
      </c>
      <c r="R7" t="str">
        <v>Unattempted</v>
      </c>
      <c r="S7" t="str">
        <v>20EC118-ETE-Q14</v>
      </c>
      <c r="T7" t="str">
        <v>Unattempted</v>
      </c>
      <c r="U7" t="str">
        <v>Unattempted</v>
      </c>
      <c r="V7" t="str">
        <v>Unattempted</v>
      </c>
      <c r="W7" t="str">
        <v>Unattempted</v>
      </c>
      <c r="X7" t="str">
        <v>Unattempted</v>
      </c>
    </row>
    <row r="8" spans="1:24" x14ac:dyDescent="0.3">
      <c r="A8" t="str">
        <v>2010992009 </v>
      </c>
      <c r="B8" t="str">
        <v>20EC118-ETE-1a</v>
      </c>
      <c r="C8" t="str">
        <v>20EC118-ETE-1b</v>
      </c>
      <c r="D8" t="str">
        <v>20EC118-ETE-1c</v>
      </c>
      <c r="E8" t="str">
        <v>20EC118-ETE-1d</v>
      </c>
      <c r="F8" t="str">
        <v>20EC118-ETE-1e</v>
      </c>
      <c r="G8" t="str">
        <v>20EC118-ETE-Q2</v>
      </c>
      <c r="H8" t="str">
        <v>20EC118-ETE-Q3</v>
      </c>
      <c r="I8" t="str">
        <v>Unattempted</v>
      </c>
      <c r="J8" t="str">
        <v>20EC118-ETE-Q5</v>
      </c>
      <c r="K8" t="str">
        <v>20EC118-ETE-Q6</v>
      </c>
      <c r="L8" t="str">
        <v>20EC118-ETE-Q7</v>
      </c>
      <c r="M8" t="str">
        <v>20EC118-ETE-Q8</v>
      </c>
      <c r="N8" t="str">
        <v>20EC118-ETE-Q9</v>
      </c>
      <c r="O8" t="str">
        <v>20EC118-ETE-Q10</v>
      </c>
      <c r="P8" t="str">
        <v>20EC118-ETE-Q11</v>
      </c>
      <c r="Q8" t="str">
        <v>20EC118-ETE-Q12</v>
      </c>
      <c r="R8" t="str">
        <v>Unattempted</v>
      </c>
      <c r="S8" t="str">
        <v>20EC118-ETE-Q14</v>
      </c>
      <c r="T8" t="str">
        <v>20EC118-ETE-Q15</v>
      </c>
      <c r="U8" t="str">
        <v>Unattempted</v>
      </c>
      <c r="V8" t="str">
        <v>Unattempted</v>
      </c>
      <c r="W8" t="str">
        <v>Unattempted</v>
      </c>
      <c r="X8" t="str">
        <v>Unattempted</v>
      </c>
    </row>
    <row r="9" spans="1:24" x14ac:dyDescent="0.3">
      <c r="A9" t="str">
        <v>2010992010 </v>
      </c>
      <c r="B9" t="str">
        <v>20EC118-ETE-1a</v>
      </c>
      <c r="C9" t="str">
        <v>20EC118-ETE-1b</v>
      </c>
      <c r="D9" t="str">
        <v>20EC118-ETE-1c</v>
      </c>
      <c r="E9" t="str">
        <v>20EC118-ETE-1d</v>
      </c>
      <c r="F9" t="str">
        <v>20EC118-ETE-1e</v>
      </c>
      <c r="G9" t="str">
        <v>20EC118-ETE-Q2</v>
      </c>
      <c r="H9" t="str">
        <v>20EC118-ETE-Q3</v>
      </c>
      <c r="I9" t="str">
        <v>Unattempted</v>
      </c>
      <c r="J9" t="str">
        <v>20EC118-ETE-Q5</v>
      </c>
      <c r="K9" t="str">
        <v>Unattempted</v>
      </c>
      <c r="L9" t="str">
        <v>20EC118-ETE-Q7</v>
      </c>
      <c r="M9" t="str">
        <v>Unattempted</v>
      </c>
      <c r="N9" t="str">
        <v>20EC118-ETE-Q9</v>
      </c>
      <c r="O9" t="str">
        <v>Unattempted</v>
      </c>
      <c r="P9" t="str">
        <v>Unattempted</v>
      </c>
      <c r="Q9" t="str">
        <v>Unattempted</v>
      </c>
      <c r="R9" t="str">
        <v>20EC118-ETE-Q13</v>
      </c>
      <c r="S9" t="str">
        <v>Unattempted</v>
      </c>
      <c r="T9" t="str">
        <v>Unattempted</v>
      </c>
      <c r="U9" t="str">
        <v>20EC118-ETE-Q16</v>
      </c>
      <c r="V9" t="str">
        <v>Unattempted</v>
      </c>
      <c r="W9" t="str">
        <v>Unattempted</v>
      </c>
      <c r="X9" t="str">
        <v>Unattempted</v>
      </c>
    </row>
    <row r="10" spans="1:24" x14ac:dyDescent="0.3">
      <c r="A10" t="str">
        <v>2010992011 </v>
      </c>
      <c r="B10" t="str">
        <v>20EC118-ETE-1a</v>
      </c>
      <c r="C10" t="str">
        <v>20EC118-ETE-1b</v>
      </c>
      <c r="D10" t="str">
        <v>20EC118-ETE-1c</v>
      </c>
      <c r="E10" t="str">
        <v>20EC118-ETE-1d</v>
      </c>
      <c r="F10" t="str">
        <v>20EC118-ETE-1e</v>
      </c>
      <c r="G10" t="str">
        <v>20EC118-ETE-Q2</v>
      </c>
      <c r="H10" t="str">
        <v>Unattempted</v>
      </c>
      <c r="I10" t="str">
        <v>20EC118-ETE-Q4</v>
      </c>
      <c r="J10" t="str">
        <v>Unattempted</v>
      </c>
      <c r="K10" t="str">
        <v>20EC118-ETE-Q6</v>
      </c>
      <c r="L10" t="str">
        <v>20EC118-ETE-Q7</v>
      </c>
      <c r="M10" t="str">
        <v>20EC118-ETE-Q8</v>
      </c>
      <c r="N10" t="str">
        <v>20EC118-ETE-Q9</v>
      </c>
      <c r="O10" t="str">
        <v>20EC118-ETE-Q10</v>
      </c>
      <c r="P10" t="str">
        <v>20EC118-ETE-Q11</v>
      </c>
      <c r="Q10" t="str">
        <v>Unattempted</v>
      </c>
      <c r="R10" t="str">
        <v>20EC118-ETE-Q13</v>
      </c>
      <c r="S10" t="str">
        <v>Unattempted</v>
      </c>
      <c r="T10" t="str">
        <v>Unattempted</v>
      </c>
      <c r="U10" t="str">
        <v>20EC118-ETE-Q16</v>
      </c>
      <c r="V10" t="str">
        <v>Unattempted</v>
      </c>
      <c r="W10" t="str">
        <v>Unattempted</v>
      </c>
      <c r="X10" t="str">
        <v>Unattempted</v>
      </c>
    </row>
    <row r="11" spans="1:24" x14ac:dyDescent="0.3">
      <c r="A11" t="str">
        <v>2010992012 </v>
      </c>
      <c r="B11" t="str">
        <v>20EC118-ETE-1a</v>
      </c>
      <c r="C11" t="str">
        <v>20EC118-ETE-1b</v>
      </c>
      <c r="D11" t="str">
        <v>20EC118-ETE-1c</v>
      </c>
      <c r="E11" t="str">
        <v>20EC118-ETE-1d</v>
      </c>
      <c r="F11" t="str">
        <v>20EC118-ETE-1e</v>
      </c>
      <c r="G11" t="str">
        <v>20EC118-ETE-Q2</v>
      </c>
      <c r="H11" t="str">
        <v>20EC118-ETE-Q3</v>
      </c>
      <c r="I11" t="str">
        <v>20EC118-ETE-Q4</v>
      </c>
      <c r="J11" t="str">
        <v>Unattempted</v>
      </c>
      <c r="K11" t="str">
        <v>20EC118-ETE-Q6</v>
      </c>
      <c r="L11" t="str">
        <v>Unattempted</v>
      </c>
      <c r="M11" t="str">
        <v>Unattempted</v>
      </c>
      <c r="N11" t="str">
        <v>Unattempted</v>
      </c>
      <c r="O11" t="str">
        <v>20EC118-ETE-Q10</v>
      </c>
      <c r="P11" t="str">
        <v>20EC118-ETE-Q11</v>
      </c>
      <c r="Q11" t="str">
        <v>20EC118-ETE-Q12</v>
      </c>
      <c r="R11" t="str">
        <v>20EC118-ETE-Q13</v>
      </c>
      <c r="S11" t="str">
        <v>20EC118-ETE-Q14</v>
      </c>
      <c r="T11" t="str">
        <v>Unattempted</v>
      </c>
      <c r="U11" t="str">
        <v>Unattempted</v>
      </c>
      <c r="V11" t="str">
        <v>Unattempted</v>
      </c>
      <c r="W11" t="str">
        <v>Unattempted</v>
      </c>
      <c r="X11" t="str">
        <v>Unattempted</v>
      </c>
    </row>
    <row r="12" spans="1:24" x14ac:dyDescent="0.3">
      <c r="A12" t="str">
        <v>2010992014 </v>
      </c>
      <c r="B12" t="str">
        <v>20EC118-ETE-1a</v>
      </c>
      <c r="C12" t="str">
        <v>20EC118-ETE-1b</v>
      </c>
      <c r="D12" t="str">
        <v>20EC118-ETE-1c</v>
      </c>
      <c r="E12" t="str">
        <v>20EC118-ETE-1d</v>
      </c>
      <c r="F12" t="str">
        <v>20EC118-ETE-1e</v>
      </c>
      <c r="G12" t="str">
        <v>20EC118-ETE-Q2</v>
      </c>
      <c r="H12" t="str">
        <v>20EC118-ETE-Q3</v>
      </c>
      <c r="I12" t="str">
        <v>Unattempted</v>
      </c>
      <c r="J12" t="str">
        <v>20EC118-ETE-Q5</v>
      </c>
      <c r="K12" t="str">
        <v>Unattempted</v>
      </c>
      <c r="L12" t="str">
        <v>Unattempted</v>
      </c>
      <c r="M12" t="str">
        <v>Unattempted</v>
      </c>
      <c r="N12" t="str">
        <v>Unattempted</v>
      </c>
      <c r="O12" t="str">
        <v>Unattempted</v>
      </c>
      <c r="P12" t="str">
        <v>Unattempted</v>
      </c>
      <c r="Q12" t="str">
        <v>Unattempted</v>
      </c>
      <c r="R12" t="str">
        <v>Unattempted</v>
      </c>
      <c r="S12" t="str">
        <v>Unattempted</v>
      </c>
      <c r="T12" t="str">
        <v>Unattempted</v>
      </c>
      <c r="U12" t="str">
        <v>20EC118-ETE-Q16</v>
      </c>
      <c r="V12" t="str">
        <v>Unattempted</v>
      </c>
      <c r="W12" t="str">
        <v>Unattempted</v>
      </c>
      <c r="X12" t="str">
        <v>Unattempted</v>
      </c>
    </row>
    <row r="13" spans="1:24" x14ac:dyDescent="0.3">
      <c r="A13" t="str">
        <v>2010992015 </v>
      </c>
      <c r="B13" t="str">
        <v>20EC118-ETE-1a</v>
      </c>
      <c r="C13" t="str">
        <v>20EC118-ETE-1b</v>
      </c>
      <c r="D13" t="str">
        <v>20EC118-ETE-1c</v>
      </c>
      <c r="E13" t="str">
        <v>20EC118-ETE-1d</v>
      </c>
      <c r="F13" t="str">
        <v>20EC118-ETE-1e</v>
      </c>
      <c r="G13" t="str">
        <v>20EC118-ETE-Q2</v>
      </c>
      <c r="H13" t="str">
        <v>20EC118-ETE-Q3</v>
      </c>
      <c r="I13" t="str">
        <v>Unattempted</v>
      </c>
      <c r="J13" t="str">
        <v>Unattempted</v>
      </c>
      <c r="K13" t="str">
        <v>20EC118-ETE-Q6</v>
      </c>
      <c r="L13" t="str">
        <v>20EC118-ETE-Q7</v>
      </c>
      <c r="M13" t="str">
        <v>Unattempted</v>
      </c>
      <c r="N13" t="str">
        <v>20EC118-ETE-Q9</v>
      </c>
      <c r="O13" t="str">
        <v>Unattempted</v>
      </c>
      <c r="P13" t="str">
        <v>20EC118-ETE-Q11</v>
      </c>
      <c r="Q13" t="str">
        <v>Unattempted</v>
      </c>
      <c r="R13" t="str">
        <v>20EC118-ETE-Q13</v>
      </c>
      <c r="S13" t="str">
        <v>Unattempted</v>
      </c>
      <c r="T13" t="str">
        <v>20EC118-ETE-Q15</v>
      </c>
      <c r="U13" t="str">
        <v>Unattempted</v>
      </c>
      <c r="V13" t="str">
        <v>Unattempted</v>
      </c>
      <c r="W13" t="str">
        <v>Unattempted</v>
      </c>
      <c r="X13" t="str">
        <v>Unattempted</v>
      </c>
    </row>
    <row r="14" spans="1:24" x14ac:dyDescent="0.3">
      <c r="A14" t="str">
        <v>2010992016 </v>
      </c>
      <c r="B14" t="str">
        <v>20EC118-ETE-1a</v>
      </c>
      <c r="C14" t="str">
        <v>20EC118-ETE-1b</v>
      </c>
      <c r="D14" t="str">
        <v>20EC118-ETE-1c</v>
      </c>
      <c r="E14" t="str">
        <v>20EC118-ETE-1d</v>
      </c>
      <c r="F14" t="str">
        <v>20EC118-ETE-1e</v>
      </c>
      <c r="G14" t="str">
        <v>20EC118-ETE-Q2</v>
      </c>
      <c r="H14" t="str">
        <v>Unattempted</v>
      </c>
      <c r="I14" t="str">
        <v>20EC118-ETE-Q4</v>
      </c>
      <c r="J14" t="str">
        <v>Unattempted</v>
      </c>
      <c r="K14" t="str">
        <v>20EC118-ETE-Q6</v>
      </c>
      <c r="L14" t="str">
        <v>20EC118-ETE-Q7</v>
      </c>
      <c r="M14" t="str">
        <v>20EC118-ETE-Q8</v>
      </c>
      <c r="N14" t="str">
        <v>20EC118-ETE-Q9</v>
      </c>
      <c r="O14" t="str">
        <v>20EC118-ETE-Q10</v>
      </c>
      <c r="P14" t="str">
        <v>Unattempted</v>
      </c>
      <c r="Q14" t="str">
        <v>20EC118-ETE-Q12</v>
      </c>
      <c r="R14" t="str">
        <v>20EC118-ETE-Q13</v>
      </c>
      <c r="S14" t="str">
        <v>20EC118-ETE-Q14</v>
      </c>
      <c r="T14" t="str">
        <v>Unattempted</v>
      </c>
      <c r="U14" t="str">
        <v>20EC118-ETE-Q16</v>
      </c>
      <c r="V14" t="str">
        <v>Unattempted</v>
      </c>
      <c r="W14" t="str">
        <v>Unattempted</v>
      </c>
      <c r="X14" t="str">
        <v>Unattempted</v>
      </c>
    </row>
    <row r="15" spans="1:24" x14ac:dyDescent="0.3">
      <c r="A15" t="str">
        <v>2010992017 </v>
      </c>
      <c r="B15" t="str">
        <v>20EC118-ETE-1a</v>
      </c>
      <c r="C15" t="str">
        <v>20EC118-ETE-1b</v>
      </c>
      <c r="D15" t="str">
        <v>20EC118-ETE-1c</v>
      </c>
      <c r="E15" t="str">
        <v>20EC118-ETE-1d</v>
      </c>
      <c r="F15" t="str">
        <v>20EC118-ETE-1e</v>
      </c>
      <c r="G15" t="str">
        <v>Unattempted</v>
      </c>
      <c r="H15" t="str">
        <v>20EC118-ETE-Q3</v>
      </c>
      <c r="I15" t="str">
        <v>Unattempted</v>
      </c>
      <c r="J15" t="str">
        <v>20EC118-ETE-Q5</v>
      </c>
      <c r="K15" t="str">
        <v>20EC118-ETE-Q6</v>
      </c>
      <c r="L15" t="str">
        <v>20EC118-ETE-Q7</v>
      </c>
      <c r="M15" t="str">
        <v>20EC118-ETE-Q8</v>
      </c>
      <c r="N15" t="str">
        <v>Unattempted</v>
      </c>
      <c r="O15" t="str">
        <v>Unattempted</v>
      </c>
      <c r="P15" t="str">
        <v>Unattempted</v>
      </c>
      <c r="Q15" t="str">
        <v>Unattempted</v>
      </c>
      <c r="R15" t="str">
        <v>20EC118-ETE-Q13</v>
      </c>
      <c r="S15" t="str">
        <v>Unattempted</v>
      </c>
      <c r="T15" t="str">
        <v>20EC118-ETE-Q15</v>
      </c>
      <c r="U15" t="str">
        <v>Unattempted</v>
      </c>
      <c r="V15" t="str">
        <v>Unattempted</v>
      </c>
      <c r="W15" t="str">
        <v>Unattempted</v>
      </c>
      <c r="X15" t="str">
        <v>Unattempted</v>
      </c>
    </row>
    <row r="16" spans="1:24" x14ac:dyDescent="0.3">
      <c r="A16" t="str">
        <v>2010992018 </v>
      </c>
      <c r="B16" t="str">
        <v>20EC118-ETE-1a</v>
      </c>
      <c r="C16" t="str">
        <v>20EC118-ETE-1b</v>
      </c>
      <c r="D16" t="str">
        <v>20EC118-ETE-1c</v>
      </c>
      <c r="E16" t="str">
        <v>20EC118-ETE-1d</v>
      </c>
      <c r="F16" t="str">
        <v>20EC118-ETE-1e</v>
      </c>
      <c r="G16" t="str">
        <v>20EC118-ETE-Q2</v>
      </c>
      <c r="H16" t="str">
        <v>20EC118-ETE-Q3</v>
      </c>
      <c r="I16" t="str">
        <v>Unattempted</v>
      </c>
      <c r="J16" t="str">
        <v>20EC118-ETE-Q5</v>
      </c>
      <c r="K16" t="str">
        <v>Unattempted</v>
      </c>
      <c r="L16" t="str">
        <v>20EC118-ETE-Q7</v>
      </c>
      <c r="M16" t="str">
        <v>20EC118-ETE-Q8</v>
      </c>
      <c r="N16" t="str">
        <v>20EC118-ETE-Q9</v>
      </c>
      <c r="O16" t="str">
        <v>20EC118-ETE-Q10</v>
      </c>
      <c r="P16" t="str">
        <v>Unattempted</v>
      </c>
      <c r="Q16" t="str">
        <v>Unattempted</v>
      </c>
      <c r="R16" t="str">
        <v>20EC118-ETE-Q13</v>
      </c>
      <c r="S16" t="str">
        <v>Unattempted</v>
      </c>
      <c r="T16" t="str">
        <v>20EC118-ETE-Q15</v>
      </c>
      <c r="U16" t="str">
        <v>Unattempted</v>
      </c>
      <c r="V16" t="str">
        <v>Unattempted</v>
      </c>
      <c r="W16" t="str">
        <v>Unattempted</v>
      </c>
      <c r="X16" t="str">
        <v>Unattempted</v>
      </c>
    </row>
    <row r="17" spans="1:24" x14ac:dyDescent="0.3">
      <c r="A17" t="str">
        <v>2010992163 </v>
      </c>
      <c r="B17" t="str">
        <v>20EC118-ETE-1a</v>
      </c>
      <c r="C17" t="str">
        <v>20EC118-ETE-1b</v>
      </c>
      <c r="D17" t="str">
        <v>20EC118-ETE-1c</v>
      </c>
      <c r="E17" t="str">
        <v>20EC118-ETE-1d</v>
      </c>
      <c r="F17" t="str">
        <v>20EC118-ETE-1e</v>
      </c>
      <c r="G17" t="str">
        <v>20EC118-ETE-Q2</v>
      </c>
      <c r="H17" t="str">
        <v>Unattempted</v>
      </c>
      <c r="I17" t="str">
        <v>20EC118-ETE-Q4</v>
      </c>
      <c r="J17" t="str">
        <v>20EC118-ETE-Q5</v>
      </c>
      <c r="K17" t="str">
        <v>Unattempted</v>
      </c>
      <c r="L17" t="str">
        <v>20EC118-ETE-Q7</v>
      </c>
      <c r="M17" t="str">
        <v>20EC118-ETE-Q8</v>
      </c>
      <c r="N17" t="str">
        <v>20EC118-ETE-Q9</v>
      </c>
      <c r="O17" t="str">
        <v>20EC118-ETE-Q10</v>
      </c>
      <c r="P17" t="str">
        <v>20EC118-ETE-Q11</v>
      </c>
      <c r="Q17" t="str">
        <v>20EC118-ETE-Q12</v>
      </c>
      <c r="R17" t="str">
        <v>Unattempted</v>
      </c>
      <c r="S17" t="str">
        <v>20EC118-ETE-Q14</v>
      </c>
      <c r="T17" t="str">
        <v>Unattempted</v>
      </c>
      <c r="U17" t="str">
        <v>20EC118-ETE-Q16</v>
      </c>
      <c r="V17" t="str">
        <v>Unattempted</v>
      </c>
      <c r="W17" t="str">
        <v>Unattempted</v>
      </c>
      <c r="X17" t="str">
        <v>Unattempted</v>
      </c>
    </row>
    <row r="18" spans="1:24" x14ac:dyDescent="0.3">
      <c r="A18" t="str">
        <v>2010992202 </v>
      </c>
      <c r="B18" t="str">
        <v>20EC118-ETE-1a</v>
      </c>
      <c r="C18" t="str">
        <v>20EC118-ETE-1b</v>
      </c>
      <c r="D18" t="str">
        <v>20EC118-ETE-1c</v>
      </c>
      <c r="E18" t="str">
        <v>20EC118-ETE-1d</v>
      </c>
      <c r="F18" t="str">
        <v>20EC118-ETE-1e</v>
      </c>
      <c r="G18" t="str">
        <v>20EC118-ETE-Q2</v>
      </c>
      <c r="H18" t="str">
        <v>20EC118-ETE-Q3</v>
      </c>
      <c r="I18" t="str">
        <v>Unattempted</v>
      </c>
      <c r="J18" t="str">
        <v>Unattempted</v>
      </c>
      <c r="K18" t="str">
        <v>20EC118-ETE-Q6</v>
      </c>
      <c r="L18" t="str">
        <v>20EC118-ETE-Q7</v>
      </c>
      <c r="M18" t="str">
        <v>20EC118-ETE-Q8</v>
      </c>
      <c r="N18" t="str">
        <v>Unattempted</v>
      </c>
      <c r="O18" t="str">
        <v>20EC118-ETE-Q10</v>
      </c>
      <c r="P18" t="str">
        <v>20EC118-ETE-Q11</v>
      </c>
      <c r="Q18" t="str">
        <v>20EC118-ETE-Q12</v>
      </c>
      <c r="R18" t="str">
        <v>20EC118-ETE-Q13</v>
      </c>
      <c r="S18" t="str">
        <v>20EC118-ETE-Q14</v>
      </c>
      <c r="T18" t="str">
        <v>Unattempted</v>
      </c>
      <c r="U18" t="str">
        <v>20EC118-ETE-Q16</v>
      </c>
      <c r="V18" t="str">
        <v>Unattempted</v>
      </c>
      <c r="W18" t="str">
        <v>Unattempted</v>
      </c>
      <c r="X18" t="str">
        <v>Unattempted</v>
      </c>
    </row>
    <row r="19" spans="1:24" x14ac:dyDescent="0.3">
      <c r="A19" t="str">
        <v>2010992203 </v>
      </c>
      <c r="B19" t="str">
        <v>20EC118-ETE-1a</v>
      </c>
      <c r="C19" t="str">
        <v>20EC118-ETE-1b</v>
      </c>
      <c r="D19" t="str">
        <v>20EC118-ETE-1c</v>
      </c>
      <c r="E19" t="str">
        <v>20EC118-ETE-1d</v>
      </c>
      <c r="F19" t="str">
        <v>20EC118-ETE-1e</v>
      </c>
      <c r="G19" t="str">
        <v>20EC118-ETE-Q2</v>
      </c>
      <c r="H19" t="str">
        <v>20EC118-ETE-Q3</v>
      </c>
      <c r="I19" t="str">
        <v>Unattempted</v>
      </c>
      <c r="J19" t="str">
        <v>Unattempted</v>
      </c>
      <c r="K19" t="str">
        <v>20EC118-ETE-Q6</v>
      </c>
      <c r="L19" t="str">
        <v>20EC118-ETE-Q7</v>
      </c>
      <c r="M19" t="str">
        <v>20EC118-ETE-Q8</v>
      </c>
      <c r="N19" t="str">
        <v>20EC118-ETE-Q9</v>
      </c>
      <c r="O19" t="str">
        <v>20EC118-ETE-Q10</v>
      </c>
      <c r="P19" t="str">
        <v>20EC118-ETE-Q11</v>
      </c>
      <c r="Q19" t="str">
        <v>20EC118-ETE-Q12</v>
      </c>
      <c r="R19" t="str">
        <v>Unattempted</v>
      </c>
      <c r="S19" t="str">
        <v>20EC118-ETE-Q14</v>
      </c>
      <c r="T19" t="str">
        <v>Unattempted</v>
      </c>
      <c r="U19" t="str">
        <v>Unattempted</v>
      </c>
      <c r="V19" t="str">
        <v>Unattempted</v>
      </c>
      <c r="W19" t="str">
        <v>Unattempted</v>
      </c>
      <c r="X19" t="str">
        <v>Unattempted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3999-BE86-47C9-A949-ECB52EB158F0}">
  <sheetPr codeName="Sheet33">
    <tabColor rgb="FFFFFF00"/>
  </sheetPr>
  <dimension ref="A1:J19"/>
  <sheetViews>
    <sheetView workbookViewId="0">
      <selection activeCell="J2" sqref="J2"/>
    </sheetView>
  </sheetViews>
  <sheetFormatPr defaultRowHeight="14.4" x14ac:dyDescent="0.3"/>
  <cols>
    <col min="1" max="1" width="21" bestFit="1" customWidth="1"/>
    <col min="2" max="7" width="10.5546875" bestFit="1" customWidth="1"/>
  </cols>
  <sheetData>
    <row r="1" spans="1:10" x14ac:dyDescent="0.3">
      <c r="A1" t="str" cm="1">
        <f t="array" ref="A1:A19">INDEX('ETE Result'!B:B, 1):INDEX('ETE Result'!B:B, COUNTA('ETE Result'!B:B))</f>
        <v>Admission No. (Roll No.)</v>
      </c>
      <c r="B1" t="str" cm="1">
        <f t="array" ref="B1:G1">'ETE CO Question Map'!C1:H1</f>
        <v>EC118_CO1</v>
      </c>
      <c r="C1" t="str">
        <v>EC118_CO2</v>
      </c>
      <c r="D1" t="str">
        <v>EC118_CO3</v>
      </c>
      <c r="E1" t="str">
        <v>EC118_CO4</v>
      </c>
      <c r="F1" t="str">
        <v>EC118_CO5</v>
      </c>
      <c r="G1" t="str">
        <v>EC118_CO6</v>
      </c>
    </row>
    <row r="2" spans="1:10" x14ac:dyDescent="0.3">
      <c r="A2" t="str">
        <v>2010990089 </v>
      </c>
      <c r="B2" cm="1">
        <f t="array" ref="B2:B19">_xlfn.BYROW(
  $A2:INDEX($A:$A, COUNTA($A:$A)),
  _xlfn.LAMBDA(_xlpm.studentID,
    SUM(IFERROR(_xlfn.XLOOKUP(
          IF(
            _xlfn.XLOOKUP(B$1,'ETE CO Question Map'!$C$1:$H$1,'ETE CO Question Map'!$C$2:$H$24) = TRUE,
            TRANSPOSE(_xlfn.XLOOKUP(_xlpm.studentID,'ETE Question Map'!$A$2:INDEX('ETE Question Map'!$A:$A, COUNTA('ETE Question Map'!$A:$A)),'ETE Question Map'!$B$2:INDEX('ETE Question Map'!$X:$X, COUNTA('ETE Question Map'!$X:$X))))
          ),
          'ETE CO Question Map'!$A$2:$A$24,
          'ETE CO Question Map'!$B$2:$B$24
        ),
        0
      )
    )
  )
)</f>
        <v>9</v>
      </c>
      <c r="C2" cm="1">
        <f t="array" ref="C2:C19">_xlfn.BYROW($A2:INDEX($A:$A,COUNTA($A:$A)),_xlfn.LAMBDA(_xlpm.studentID,SUM(IFERROR( _xlfn.XLOOKUP(IF(_xlfn.XLOOKUP(C$1,'ETE CO Question Map'!$C$1:$H$1,
          'ETE CO Question Map'!$C$2:$H$24)= TRUE,TRANSPOSE(_xlfn.XLOOKUP(_xlpm.studentID,'ETE Question Map'!$A$2:INDEX('ETE Question Map'!$A:$A, COUNTA('ETE Question Map'!$A:$A)),'ETE Question Map'!$B$2:INDEX('ETE Question Map'!$X:$X, COUNTA('ETE Question Map'!$X:$X))))), 'ETE CO Question Map'!$A$2:$A$24,'ETE CO Question Map'!$B$2:$B$24),0))))</f>
        <v>36</v>
      </c>
      <c r="D2" cm="1">
        <f t="array" ref="D2:D19">_xlfn.BYROW($A2:INDEX($A:$A,COUNTA($A:$A)),_xlfn.LAMBDA(_xlpm.studentID,SUM(IFERROR( _xlfn.XLOOKUP(IF(_xlfn.XLOOKUP(D$1,'ETE CO Question Map'!$C$1:$H$1,
          'ETE CO Question Map'!$C$2:$H$24)= TRUE,TRANSPOSE(_xlfn.XLOOKUP(_xlpm.studentID,'ETE Question Map'!$A$2:INDEX('ETE Question Map'!$A:$A, COUNTA('ETE Question Map'!$A:$A)),'ETE Question Map'!$B$2:INDEX('ETE Question Map'!$X:$X, COUNTA('ETE Question Map'!$X:$X))))), 'ETE CO Question Map'!$A$2:$A$24,'ETE CO Question Map'!$B$2:$B$24),0))))</f>
        <v>25</v>
      </c>
      <c r="E2" cm="1">
        <f t="array" ref="E2:E19">_xlfn.BYROW($A2:INDEX($A:$A,COUNTA($A:$A)),_xlfn.LAMBDA(_xlpm.studentID,SUM(IFERROR( _xlfn.XLOOKUP(IF(_xlfn.XLOOKUP(E$1,'ETE CO Question Map'!$C$1:$H$1,
          'ETE CO Question Map'!$C$2:$H$24)= TRUE,TRANSPOSE(_xlfn.XLOOKUP(_xlpm.studentID,'ETE Question Map'!$A$2:INDEX('ETE Question Map'!$A:$A, COUNTA('ETE Question Map'!$A:$A)),'ETE Question Map'!$B$2:INDEX('ETE Question Map'!$X:$X, COUNTA('ETE Question Map'!$X:$X))))), 'ETE CO Question Map'!$A$2:$A$24,'ETE CO Question Map'!$B$2:$B$24),0))))</f>
        <v>0</v>
      </c>
      <c r="F2" cm="1">
        <f t="array" ref="F2:F19">_xlfn.BYROW($A2:INDEX($A:$A,COUNTA($A:$A)),_xlfn.LAMBDA(_xlpm.studentID,SUM(IFERROR( _xlfn.XLOOKUP(IF(_xlfn.XLOOKUP(F$1,'ETE CO Question Map'!$C$1:$H$1,
          'ETE CO Question Map'!$C$2:$H$24)= TRUE,TRANSPOSE(_xlfn.XLOOKUP(_xlpm.studentID,'ETE Question Map'!$A$2:INDEX('ETE Question Map'!$A:$A, COUNTA('ETE Question Map'!$A:$A)),'ETE Question Map'!$B$2:INDEX('ETE Question Map'!$X:$X, COUNTA('ETE Question Map'!$X:$X))))), 'ETE CO Question Map'!$A$2:$A$24,'ETE CO Question Map'!$B$2:$B$24),0))))</f>
        <v>0</v>
      </c>
      <c r="G2" cm="1">
        <f t="array" ref="G2:G19">_xlfn.BYROW($A2:INDEX($A:$A,COUNTA($A:$A)),_xlfn.LAMBDA(_xlpm.studentID,SUM(IFERROR( _xlfn.XLOOKUP(IF(_xlfn.XLOOKUP(G$1,'ETE CO Question Map'!$C$1:$H$1,
          'ETE CO Question Map'!$C$2:$H$24)= TRUE,TRANSPOSE(_xlfn.XLOOKUP(_xlpm.studentID,'ETE Question Map'!$A$2:INDEX('ETE Question Map'!$A:$A, COUNTA('ETE Question Map'!$A:$A)),'ETE Question Map'!$B$2:INDEX('ETE Question Map'!$X:$X, COUNTA('ETE Question Map'!$X:$X))))), 'ETE CO Question Map'!$A$2:$A$24,'ETE CO Question Map'!$B$2:$B$24),0))))</f>
        <v>0</v>
      </c>
      <c r="I2" cm="1">
        <f t="array" ref="I2:I19">_xlfn.BYROW(
  $A2:INDEX($A:$A, COUNTA($A:$A)),
  _xlfn.LAMBDA(_xlpm.studentID,
    _xlfn.LET(
      _xlpm.coHeader, B$1,
      _xlpm.coMatchMatrix, _xlfn.XLOOKUP(
        _xlpm.coHeader,
        'ETE CO Question Map'!$C$1:$H$1,
        'ETE CO Question Map'!$C$2:$H$24
      ),
      _xlpm.studentQuestions, _xlfn.XLOOKUP(
        _xlpm.studentID,
        'ETE Question Map'!$A$2:INDEX('ETE Question Map'!$A:$A, COUNTA('ETE Question Map'!$A:$A)),
        'ETE Question Map'!$B$2:INDEX('ETE Question Map'!$X:$X, COUNTA('ETE Question Map'!$X:$X))
      ),
      _xlpm.filteredQuestions, IF(_xlpm.coMatchMatrix = TRUE, TRANSPOSE(_xlpm.studentQuestions)),
      _xlpm.maxMarks, 'ETE CO Question Map'!$B$2:$B$24,
      _xlpm.coMatrix, 'ETE CO Question Map'!$C$2:$H$24,
      _xlpm.coCountPerQuestion, _xlfn.BYROW(_xlpm.coMatrix, _xlfn.LAMBDA(_xlpm.row, COUNTIF(_xlpm.row, TRUE))),
      _xlpm.adjustedMarks, IFERROR(_xlpm.maxMarks / _xlpm.coCountPerQuestion, 0),
      _xlpm.coWeights, _xlfn.XLOOKUP(
        _xlpm.filteredQuestions,
        'ETE CO Question Map'!$A$2:$A$24,
        _xlpm.adjustedMarks
      ),
      _xlpm.result, IFERROR(_xlpm.coWeights, 0),
      SUM(_xlpm.result)
    )
  )
)</f>
        <v>4.6666666666666661</v>
      </c>
      <c r="J2" s="1" cm="1">
        <f t="array" ref="J2">SUM(IFERROR(_xlfn.XLOOKUP(
          IF(_xlfn.XLOOKUP(B$1,'ETE CO Question Map'!$C$1:$H$1,'ETE CO Question Map'!$C$2:$H$24) = TRUE,
            TRANSPOSE(_xlfn.XLOOKUP($A2,'ETE Question Map'!$A$2:A100,'ETE Question Map'!$B$2:X100))),'ETE CO Question Map'!$A$2:$A$24,'ETE CO Question Map'!$B$2:$B$24)/'ETE CO Question Map'!$I$2:$I$24,0))</f>
        <v>4.6666666666666661</v>
      </c>
    </row>
    <row r="3" spans="1:10" x14ac:dyDescent="0.3">
      <c r="A3" t="str">
        <v>2010992002 </v>
      </c>
      <c r="B3">
        <v>16</v>
      </c>
      <c r="C3">
        <v>41</v>
      </c>
      <c r="D3">
        <v>30</v>
      </c>
      <c r="E3">
        <v>0</v>
      </c>
      <c r="F3">
        <v>0</v>
      </c>
      <c r="G3">
        <v>0</v>
      </c>
      <c r="I3">
        <v>11.666666666666666</v>
      </c>
      <c r="J3" s="1" cm="1">
        <f t="array" ref="J3">SUM(IFERROR(_xlfn.XLOOKUP(
          IF(_xlfn.XLOOKUP(B$1,'ETE CO Question Map'!$C$1:$H$1,'ETE CO Question Map'!$C$2:$H$24) = TRUE,
            TRANSPOSE(_xlfn.XLOOKUP($A3,'ETE Question Map'!$A$2:A101,'ETE Question Map'!$B$2:X101))),'ETE CO Question Map'!$A$2:$A$24,'ETE CO Question Map'!$B$2:$B$24)/'ETE CO Question Map'!$I$2:$I$24,0))</f>
        <v>11.666666666666666</v>
      </c>
    </row>
    <row r="4" spans="1:10" x14ac:dyDescent="0.3">
      <c r="A4" t="str">
        <v>2010992004 </v>
      </c>
      <c r="B4">
        <v>14</v>
      </c>
      <c r="C4">
        <v>26</v>
      </c>
      <c r="D4">
        <v>15</v>
      </c>
      <c r="E4">
        <v>0</v>
      </c>
      <c r="F4">
        <v>0</v>
      </c>
      <c r="G4">
        <v>0</v>
      </c>
      <c r="I4">
        <v>9.6666666666666661</v>
      </c>
      <c r="J4" s="1" cm="1">
        <f t="array" ref="J4">SUM(IFERROR(_xlfn.XLOOKUP(
          IF(_xlfn.XLOOKUP(B$1,'ETE CO Question Map'!$C$1:$H$1,'ETE CO Question Map'!$C$2:$H$24) = TRUE,
            TRANSPOSE(_xlfn.XLOOKUP($A4,'ETE Question Map'!$A$2:A102,'ETE Question Map'!$B$2:X102))),'ETE CO Question Map'!$A$2:$A$24,'ETE CO Question Map'!$B$2:$B$24)/'ETE CO Question Map'!$I$2:$I$24,0))</f>
        <v>9.6666666666666661</v>
      </c>
    </row>
    <row r="5" spans="1:10" x14ac:dyDescent="0.3">
      <c r="A5" t="str">
        <v>2010992005 </v>
      </c>
      <c r="B5">
        <v>15</v>
      </c>
      <c r="C5">
        <v>5</v>
      </c>
      <c r="D5">
        <v>5</v>
      </c>
      <c r="E5">
        <v>0</v>
      </c>
      <c r="F5">
        <v>0</v>
      </c>
      <c r="G5">
        <v>0</v>
      </c>
      <c r="I5">
        <v>11.666666666666666</v>
      </c>
      <c r="J5" s="1" cm="1">
        <f t="array" ref="J5">SUM(IFERROR(_xlfn.XLOOKUP(
          IF(_xlfn.XLOOKUP(B$1,'ETE CO Question Map'!$C$1:$H$1,'ETE CO Question Map'!$C$2:$H$24) = TRUE,
            TRANSPOSE(_xlfn.XLOOKUP($A5,'ETE Question Map'!$A$2:A103,'ETE Question Map'!$B$2:X103))),'ETE CO Question Map'!$A$2:$A$24,'ETE CO Question Map'!$B$2:$B$24)/'ETE CO Question Map'!$I$2:$I$24,0))</f>
        <v>11.666666666666666</v>
      </c>
    </row>
    <row r="6" spans="1:10" x14ac:dyDescent="0.3">
      <c r="A6" t="str">
        <v>2010992006 </v>
      </c>
      <c r="B6">
        <v>24</v>
      </c>
      <c r="C6">
        <v>16</v>
      </c>
      <c r="D6">
        <v>5</v>
      </c>
      <c r="E6">
        <v>0</v>
      </c>
      <c r="F6">
        <v>0</v>
      </c>
      <c r="G6">
        <v>0</v>
      </c>
      <c r="I6">
        <v>19.666666666666664</v>
      </c>
      <c r="J6" s="1" cm="1">
        <f t="array" ref="J6">SUM(IFERROR(_xlfn.XLOOKUP(
          IF(_xlfn.XLOOKUP(B$1,'ETE CO Question Map'!$C$1:$H$1,'ETE CO Question Map'!$C$2:$H$24) = TRUE,
            TRANSPOSE(_xlfn.XLOOKUP($A6,'ETE Question Map'!$A$2:A104,'ETE Question Map'!$B$2:X104))),'ETE CO Question Map'!$A$2:$A$24,'ETE CO Question Map'!$B$2:$B$24)/'ETE CO Question Map'!$I$2:$I$24,0))</f>
        <v>19.666666666666664</v>
      </c>
    </row>
    <row r="7" spans="1:10" x14ac:dyDescent="0.3">
      <c r="A7" t="str">
        <v>2010992008 </v>
      </c>
      <c r="B7">
        <v>19</v>
      </c>
      <c r="C7">
        <v>21</v>
      </c>
      <c r="D7">
        <v>10</v>
      </c>
      <c r="E7">
        <v>0</v>
      </c>
      <c r="F7">
        <v>0</v>
      </c>
      <c r="G7">
        <v>0</v>
      </c>
      <c r="I7">
        <v>14.666666666666666</v>
      </c>
      <c r="J7" s="1" cm="1">
        <f t="array" ref="J7">SUM(IFERROR(_xlfn.XLOOKUP(
          IF(_xlfn.XLOOKUP(B$1,'ETE CO Question Map'!$C$1:$H$1,'ETE CO Question Map'!$C$2:$H$24) = TRUE,
            TRANSPOSE(_xlfn.XLOOKUP($A7,'ETE Question Map'!$A$2:A105,'ETE Question Map'!$B$2:X105))),'ETE CO Question Map'!$A$2:$A$24,'ETE CO Question Map'!$B$2:$B$24)/'ETE CO Question Map'!$I$2:$I$24,0))</f>
        <v>14.666666666666666</v>
      </c>
    </row>
    <row r="8" spans="1:10" x14ac:dyDescent="0.3">
      <c r="A8" t="str">
        <v>2010992009 </v>
      </c>
      <c r="B8">
        <v>24</v>
      </c>
      <c r="C8">
        <v>38</v>
      </c>
      <c r="D8">
        <v>25</v>
      </c>
      <c r="E8">
        <v>0</v>
      </c>
      <c r="F8">
        <v>0</v>
      </c>
      <c r="G8">
        <v>0</v>
      </c>
      <c r="I8">
        <v>19.666666666666664</v>
      </c>
      <c r="J8" s="1" cm="1">
        <f t="array" ref="J8">SUM(IFERROR(_xlfn.XLOOKUP(
          IF(_xlfn.XLOOKUP(B$1,'ETE CO Question Map'!$C$1:$H$1,'ETE CO Question Map'!$C$2:$H$24) = TRUE,
            TRANSPOSE(_xlfn.XLOOKUP($A8,'ETE Question Map'!$A$2:A106,'ETE Question Map'!$B$2:X106))),'ETE CO Question Map'!$A$2:$A$24,'ETE CO Question Map'!$B$2:$B$24)/'ETE CO Question Map'!$I$2:$I$24,0))</f>
        <v>19.666666666666664</v>
      </c>
    </row>
    <row r="9" spans="1:10" x14ac:dyDescent="0.3">
      <c r="A9" t="str">
        <v>2010992010 </v>
      </c>
      <c r="B9">
        <v>14</v>
      </c>
      <c r="C9">
        <v>21</v>
      </c>
      <c r="D9">
        <v>15</v>
      </c>
      <c r="E9">
        <v>0</v>
      </c>
      <c r="F9">
        <v>0</v>
      </c>
      <c r="G9">
        <v>0</v>
      </c>
      <c r="I9">
        <v>9.6666666666666661</v>
      </c>
      <c r="J9" s="1" cm="1">
        <f t="array" ref="J9">SUM(IFERROR(_xlfn.XLOOKUP(
          IF(_xlfn.XLOOKUP(B$1,'ETE CO Question Map'!$C$1:$H$1,'ETE CO Question Map'!$C$2:$H$24) = TRUE,
            TRANSPOSE(_xlfn.XLOOKUP($A9,'ETE Question Map'!$A$2:A107,'ETE Question Map'!$B$2:X107))),'ETE CO Question Map'!$A$2:$A$24,'ETE CO Question Map'!$B$2:$B$24)/'ETE CO Question Map'!$I$2:$I$24,0))</f>
        <v>9.6666666666666661</v>
      </c>
    </row>
    <row r="10" spans="1:10" x14ac:dyDescent="0.3">
      <c r="A10" t="str">
        <v>2010992011 </v>
      </c>
      <c r="B10">
        <v>16</v>
      </c>
      <c r="C10">
        <v>29</v>
      </c>
      <c r="D10">
        <v>20</v>
      </c>
      <c r="E10">
        <v>0</v>
      </c>
      <c r="F10">
        <v>0</v>
      </c>
      <c r="G10">
        <v>0</v>
      </c>
      <c r="I10">
        <v>11.666666666666666</v>
      </c>
      <c r="J10" s="1" cm="1">
        <f t="array" ref="J10">SUM(IFERROR(_xlfn.XLOOKUP(
          IF(_xlfn.XLOOKUP(B$1,'ETE CO Question Map'!$C$1:$H$1,'ETE CO Question Map'!$C$2:$H$24) = TRUE,
            TRANSPOSE(_xlfn.XLOOKUP($A10,'ETE Question Map'!$A$2:A108,'ETE Question Map'!$B$2:X108))),'ETE CO Question Map'!$A$2:$A$24,'ETE CO Question Map'!$B$2:$B$24)/'ETE CO Question Map'!$I$2:$I$24,0))</f>
        <v>11.666666666666666</v>
      </c>
    </row>
    <row r="11" spans="1:10" x14ac:dyDescent="0.3">
      <c r="A11" t="str">
        <v>2010992012 </v>
      </c>
      <c r="B11">
        <v>19</v>
      </c>
      <c r="C11">
        <v>21</v>
      </c>
      <c r="D11">
        <v>15</v>
      </c>
      <c r="E11">
        <v>0</v>
      </c>
      <c r="F11">
        <v>0</v>
      </c>
      <c r="G11">
        <v>0</v>
      </c>
      <c r="I11">
        <v>14.666666666666666</v>
      </c>
      <c r="J11" s="1" cm="1">
        <f t="array" ref="J11">SUM(IFERROR(_xlfn.XLOOKUP(
          IF(_xlfn.XLOOKUP(B$1,'ETE CO Question Map'!$C$1:$H$1,'ETE CO Question Map'!$C$2:$H$24) = TRUE,
            TRANSPOSE(_xlfn.XLOOKUP($A11,'ETE Question Map'!$A$2:A109,'ETE Question Map'!$B$2:X109))),'ETE CO Question Map'!$A$2:$A$24,'ETE CO Question Map'!$B$2:$B$24)/'ETE CO Question Map'!$I$2:$I$24,0))</f>
        <v>14.666666666666666</v>
      </c>
    </row>
    <row r="12" spans="1:10" x14ac:dyDescent="0.3">
      <c r="A12" t="str">
        <v>2010992014 </v>
      </c>
      <c r="B12">
        <v>7</v>
      </c>
      <c r="C12">
        <v>21</v>
      </c>
      <c r="D12">
        <v>15</v>
      </c>
      <c r="E12">
        <v>0</v>
      </c>
      <c r="F12">
        <v>0</v>
      </c>
      <c r="G12">
        <v>0</v>
      </c>
      <c r="I12">
        <v>2.6666666666666665</v>
      </c>
      <c r="J12" s="1" cm="1">
        <f t="array" ref="J12">SUM(IFERROR(_xlfn.XLOOKUP(
          IF(_xlfn.XLOOKUP(B$1,'ETE CO Question Map'!$C$1:$H$1,'ETE CO Question Map'!$C$2:$H$24) = TRUE,
            TRANSPOSE(_xlfn.XLOOKUP($A12,'ETE Question Map'!$A$2:A110,'ETE Question Map'!$B$2:X110))),'ETE CO Question Map'!$A$2:$A$24,'ETE CO Question Map'!$B$2:$B$24)/'ETE CO Question Map'!$I$2:$I$24,0))</f>
        <v>2.6666666666666665</v>
      </c>
    </row>
    <row r="13" spans="1:10" x14ac:dyDescent="0.3">
      <c r="A13" t="str">
        <v>2010992015 </v>
      </c>
      <c r="B13">
        <v>14</v>
      </c>
      <c r="C13">
        <v>21</v>
      </c>
      <c r="D13">
        <v>20</v>
      </c>
      <c r="E13">
        <v>0</v>
      </c>
      <c r="F13">
        <v>0</v>
      </c>
      <c r="G13">
        <v>0</v>
      </c>
      <c r="I13">
        <v>9.6666666666666661</v>
      </c>
      <c r="J13" s="1" cm="1">
        <f t="array" ref="J13">SUM(IFERROR(_xlfn.XLOOKUP(
          IF(_xlfn.XLOOKUP(B$1,'ETE CO Question Map'!$C$1:$H$1,'ETE CO Question Map'!$C$2:$H$24) = TRUE,
            TRANSPOSE(_xlfn.XLOOKUP($A13,'ETE Question Map'!$A$2:A111,'ETE Question Map'!$B$2:X111))),'ETE CO Question Map'!$A$2:$A$24,'ETE CO Question Map'!$B$2:$B$24)/'ETE CO Question Map'!$I$2:$I$24,0))</f>
        <v>9.6666666666666661</v>
      </c>
    </row>
    <row r="14" spans="1:10" x14ac:dyDescent="0.3">
      <c r="A14" t="str">
        <v>2010992016 </v>
      </c>
      <c r="B14">
        <v>26</v>
      </c>
      <c r="C14">
        <v>34</v>
      </c>
      <c r="D14">
        <v>20</v>
      </c>
      <c r="E14">
        <v>0</v>
      </c>
      <c r="F14">
        <v>0</v>
      </c>
      <c r="G14">
        <v>0</v>
      </c>
      <c r="I14">
        <v>21.666666666666664</v>
      </c>
      <c r="J14" s="1" cm="1">
        <f t="array" ref="J14">SUM(IFERROR(_xlfn.XLOOKUP(
          IF(_xlfn.XLOOKUP(B$1,'ETE CO Question Map'!$C$1:$H$1,'ETE CO Question Map'!$C$2:$H$24) = TRUE,
            TRANSPOSE(_xlfn.XLOOKUP($A14,'ETE Question Map'!$A$2:A112,'ETE Question Map'!$B$2:X112))),'ETE CO Question Map'!$A$2:$A$24,'ETE CO Question Map'!$B$2:$B$24)/'ETE CO Question Map'!$I$2:$I$24,0))</f>
        <v>21.666666666666664</v>
      </c>
    </row>
    <row r="15" spans="1:10" x14ac:dyDescent="0.3">
      <c r="A15" t="str">
        <v>2010992017 </v>
      </c>
      <c r="B15">
        <v>7</v>
      </c>
      <c r="C15">
        <v>26</v>
      </c>
      <c r="D15">
        <v>15</v>
      </c>
      <c r="E15">
        <v>0</v>
      </c>
      <c r="F15">
        <v>0</v>
      </c>
      <c r="G15">
        <v>0</v>
      </c>
      <c r="I15">
        <v>3.6666666666666665</v>
      </c>
      <c r="J15" s="1" cm="1">
        <f t="array" ref="J15">SUM(IFERROR(_xlfn.XLOOKUP(
          IF(_xlfn.XLOOKUP(B$1,'ETE CO Question Map'!$C$1:$H$1,'ETE CO Question Map'!$C$2:$H$24) = TRUE,
            TRANSPOSE(_xlfn.XLOOKUP($A15,'ETE Question Map'!$A$2:A113,'ETE Question Map'!$B$2:X113))),'ETE CO Question Map'!$A$2:$A$24,'ETE CO Question Map'!$B$2:$B$24)/'ETE CO Question Map'!$I$2:$I$24,0))</f>
        <v>3.6666666666666665</v>
      </c>
    </row>
    <row r="16" spans="1:10" x14ac:dyDescent="0.3">
      <c r="A16" t="str">
        <v>2010992018 </v>
      </c>
      <c r="B16">
        <v>14</v>
      </c>
      <c r="C16">
        <v>31</v>
      </c>
      <c r="D16">
        <v>15</v>
      </c>
      <c r="E16">
        <v>0</v>
      </c>
      <c r="F16">
        <v>0</v>
      </c>
      <c r="G16">
        <v>0</v>
      </c>
      <c r="I16">
        <v>9.6666666666666661</v>
      </c>
      <c r="J16" s="1" cm="1">
        <f t="array" ref="J16">SUM(IFERROR(_xlfn.XLOOKUP(
          IF(_xlfn.XLOOKUP(B$1,'ETE CO Question Map'!$C$1:$H$1,'ETE CO Question Map'!$C$2:$H$24) = TRUE,
            TRANSPOSE(_xlfn.XLOOKUP($A16,'ETE Question Map'!$A$2:A114,'ETE Question Map'!$B$2:X114))),'ETE CO Question Map'!$A$2:$A$24,'ETE CO Question Map'!$B$2:$B$24)/'ETE CO Question Map'!$I$2:$I$24,0))</f>
        <v>9.6666666666666661</v>
      </c>
    </row>
    <row r="17" spans="1:10" x14ac:dyDescent="0.3">
      <c r="A17" t="str">
        <v>2010992163 </v>
      </c>
      <c r="B17">
        <v>26</v>
      </c>
      <c r="C17">
        <v>34</v>
      </c>
      <c r="D17">
        <v>25</v>
      </c>
      <c r="E17">
        <v>0</v>
      </c>
      <c r="F17">
        <v>0</v>
      </c>
      <c r="G17">
        <v>0</v>
      </c>
      <c r="I17">
        <v>21.666666666666664</v>
      </c>
      <c r="J17" s="1" cm="1">
        <f t="array" ref="J17">SUM(IFERROR(_xlfn.XLOOKUP(
          IF(_xlfn.XLOOKUP(B$1,'ETE CO Question Map'!$C$1:$H$1,'ETE CO Question Map'!$C$2:$H$24) = TRUE,
            TRANSPOSE(_xlfn.XLOOKUP($A17,'ETE Question Map'!$A$2:A115,'ETE Question Map'!$B$2:X115))),'ETE CO Question Map'!$A$2:$A$24,'ETE CO Question Map'!$B$2:$B$24)/'ETE CO Question Map'!$I$2:$I$24,0))</f>
        <v>21.666666666666664</v>
      </c>
    </row>
    <row r="18" spans="1:10" x14ac:dyDescent="0.3">
      <c r="A18" t="str">
        <v>2010992202 </v>
      </c>
      <c r="B18">
        <v>19</v>
      </c>
      <c r="C18">
        <v>36</v>
      </c>
      <c r="D18">
        <v>25</v>
      </c>
      <c r="E18">
        <v>0</v>
      </c>
      <c r="F18">
        <v>0</v>
      </c>
      <c r="G18">
        <v>0</v>
      </c>
      <c r="I18">
        <v>14.666666666666666</v>
      </c>
      <c r="J18" s="1" cm="1">
        <f t="array" ref="J18">SUM(IFERROR(_xlfn.XLOOKUP(
          IF(_xlfn.XLOOKUP(B$1,'ETE CO Question Map'!$C$1:$H$1,'ETE CO Question Map'!$C$2:$H$24) = TRUE,
            TRANSPOSE(_xlfn.XLOOKUP($A18,'ETE Question Map'!$A$2:A116,'ETE Question Map'!$B$2:X116))),'ETE CO Question Map'!$A$2:$A$24,'ETE CO Question Map'!$B$2:$B$24)/'ETE CO Question Map'!$I$2:$I$24,0))</f>
        <v>14.666666666666666</v>
      </c>
    </row>
    <row r="19" spans="1:10" x14ac:dyDescent="0.3">
      <c r="A19" t="str">
        <v>2010992203 </v>
      </c>
      <c r="B19">
        <v>24</v>
      </c>
      <c r="C19">
        <v>26</v>
      </c>
      <c r="D19">
        <v>15</v>
      </c>
      <c r="E19">
        <v>0</v>
      </c>
      <c r="F19">
        <v>0</v>
      </c>
      <c r="G19">
        <v>0</v>
      </c>
      <c r="I19">
        <v>19.666666666666664</v>
      </c>
      <c r="J19" s="1" cm="1">
        <f t="array" ref="J19">SUM(IFERROR(_xlfn.XLOOKUP(
          IF(_xlfn.XLOOKUP(B$1,'ETE CO Question Map'!$C$1:$H$1,'ETE CO Question Map'!$C$2:$H$24) = TRUE,
            TRANSPOSE(_xlfn.XLOOKUP($A19,'ETE Question Map'!$A$2:A117,'ETE Question Map'!$B$2:X117))),'ETE CO Question Map'!$A$2:$A$24,'ETE CO Question Map'!$B$2:$B$24)/'ETE CO Question Map'!$I$2:$I$24,0))</f>
        <v>19.666666666666664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DB66-8DCB-400D-BC32-453FEB80757F}">
  <sheetPr codeName="Sheet34">
    <tabColor rgb="FFFFFF00"/>
  </sheetPr>
  <dimension ref="A1:K19"/>
  <sheetViews>
    <sheetView tabSelected="1" workbookViewId="0">
      <selection activeCell="M11" sqref="M11"/>
    </sheetView>
  </sheetViews>
  <sheetFormatPr defaultRowHeight="14.4" x14ac:dyDescent="0.3"/>
  <cols>
    <col min="1" max="1" width="21" bestFit="1" customWidth="1"/>
    <col min="2" max="7" width="10.5546875" bestFit="1" customWidth="1"/>
  </cols>
  <sheetData>
    <row r="1" spans="1:11" x14ac:dyDescent="0.3">
      <c r="A1" t="str" cm="1">
        <f t="array" ref="A1:A19">INDEX('ETE Result'!B:B, 1):INDEX('ETE Result'!B:B, COUNTA('ETE Result'!B:B))</f>
        <v>Admission No. (Roll No.)</v>
      </c>
      <c r="B1" t="str" cm="1">
        <f t="array" ref="B1:G1">'ETE CO Question Map'!C1:H1</f>
        <v>EC118_CO1</v>
      </c>
      <c r="C1" t="str">
        <v>EC118_CO2</v>
      </c>
      <c r="D1" t="str">
        <v>EC118_CO3</v>
      </c>
      <c r="E1" t="str">
        <v>EC118_CO4</v>
      </c>
      <c r="F1" t="str">
        <v>EC118_CO5</v>
      </c>
      <c r="G1" t="str">
        <v>EC118_CO6</v>
      </c>
    </row>
    <row r="2" spans="1:11" x14ac:dyDescent="0.3">
      <c r="A2" t="str">
        <v>2010990089 </v>
      </c>
      <c r="B2" cm="1">
        <f t="array" ref="B2:B19">_xlfn.BYROW(
  $A2:INDEX($A:$A, COUNTA($A:$A)),
  _xlfn.LAMBDA(_xlpm.studentID,
    SUM(
      IFERROR(
        _xlfn.XLOOKUP(
          IF(
            _xlfn.XLOOKUP(
              B$1,
              'ETE CO Question Map'!$C$1:$H$1,
              'ETE CO Question Map'!$C$2:$H$24
            ) = TRUE,
            TRANSPOSE(
              _xlfn.XLOOKUP(
                _xlpm.studentID,
                'ETE Question Map'!$A$2:INDEX('ETE Question Map'!$A:$A, COUNTA('ETE Question Map'!$A:$A)),
                'ETE Question Map'!$B$2:INDEX('ETE Question Map'!$X:$X, COUNTA('ETE Question Map'!$U:$U))
              )
            )
          ),
          'ETE Student Marks'!$B$1:$X$1,
          _xlfn.XLOOKUP(
            _xlpm.studentID,
            'ETE Student Marks'!$A$1:INDEX('ETE Student Marks'!$A:$A, COUNTA('ETE Student Marks'!$A:$A)),
            'ETE Student Marks'!$B$1:INDEX('ETE Student Marks'!$X:$X, COUNTA('ETE Student Marks'!$X:$X))
          )
        ),
        0
      )
    )
  ))</f>
        <v>9</v>
      </c>
      <c r="C2" cm="1">
        <f t="array" ref="C2:C19">_xlfn.BYROW($A2:INDEX($A:$A,COUNTA($A:$A)),_xlfn.LAMBDA(_xlpm.studentID,SUM(IFERROR(_xlfn.XLOOKUP(IF(_xlfn.XLOOKUP(C$1,'ETE CO Question Map'!$C$1:$H$1,
'ETE CO Question Map'!$C$2:$H$24)=TRUE,TRANSPOSE(_xlfn.XLOOKUP(_xlpm.studentID,'ETE Question Map'!$A$2:INDEX('ETE Question Map'!$A:$A,COUNTA('ETE Question Map'!$A:$A)),
'ETE Question Map'!$B$2:INDEX('ETE Question Map'!$X:$X,COUNTA('ETE Question Map'!$U:$U))))),'ETE Student Marks'!$B$1:$X$1,_xlfn.XLOOKUP(_xlpm.studentID,'ETE Student Marks'!$A$1:INDEX('ETE Student Marks'!$A:$A,COUNTA('ETE Student Marks'!$A:$A)),
'ETE Student Marks'!$B$1:INDEX('ETE Student Marks'!$X:$X,COUNTA('ETE Student Marks'!$X:$X)))),0))))</f>
        <v>26</v>
      </c>
      <c r="D2" cm="1">
        <f t="array" ref="D2:D19">_xlfn.BYROW($A2:INDEX($A:$A,COUNTA($A:$A)),_xlfn.LAMBDA(_xlpm.studentID,SUM(IFERROR(_xlfn.XLOOKUP(IF(_xlfn.XLOOKUP(D$1,'ETE CO Question Map'!$C$1:$H$1,
'ETE CO Question Map'!$C$2:$H$24)=TRUE,TRANSPOSE(_xlfn.XLOOKUP(_xlpm.studentID,'ETE Question Map'!$A$2:INDEX('ETE Question Map'!$A:$A,COUNTA('ETE Question Map'!$A:$A)),
'ETE Question Map'!$B$2:INDEX('ETE Question Map'!$X:$X,COUNTA('ETE Question Map'!$U:$U))))),'ETE Student Marks'!$B$1:$X$1,_xlfn.XLOOKUP(_xlpm.studentID,'ETE Student Marks'!$A$1:INDEX('ETE Student Marks'!$A:$A,COUNTA('ETE Student Marks'!$A:$A)),
'ETE Student Marks'!$B$1:INDEX('ETE Student Marks'!$X:$X,COUNTA('ETE Student Marks'!$X:$X)))),0))))</f>
        <v>17</v>
      </c>
      <c r="E2" cm="1">
        <f t="array" ref="E2:E19">_xlfn.BYROW($A2:INDEX($A:$A,COUNTA($A:$A)),_xlfn.LAMBDA(_xlpm.studentID,SUM(IFERROR(_xlfn.XLOOKUP(IF(_xlfn.XLOOKUP(E$1,'ETE CO Question Map'!$C$1:$H$1,
'ETE CO Question Map'!$C$2:$H$24)=TRUE,TRANSPOSE(_xlfn.XLOOKUP(_xlpm.studentID,'ETE Question Map'!$A$2:INDEX('ETE Question Map'!$A:$A,COUNTA('ETE Question Map'!$A:$A)),
'ETE Question Map'!$B$2:INDEX('ETE Question Map'!$X:$X,COUNTA('ETE Question Map'!$U:$U))))),'ETE Student Marks'!$B$1:$X$1,_xlfn.XLOOKUP(_xlpm.studentID,'ETE Student Marks'!$A$1:INDEX('ETE Student Marks'!$A:$A,COUNTA('ETE Student Marks'!$A:$A)),
'ETE Student Marks'!$B$1:INDEX('ETE Student Marks'!$X:$X,COUNTA('ETE Student Marks'!$X:$X)))),0))))</f>
        <v>0</v>
      </c>
      <c r="F2" cm="1">
        <f t="array" ref="F2:F19">_xlfn.BYROW($A2:INDEX($A:$A,COUNTA($A:$A)),_xlfn.LAMBDA(_xlpm.studentID,SUM(IFERROR(_xlfn.XLOOKUP(IF(_xlfn.XLOOKUP(F$1,'ETE CO Question Map'!$C$1:$H$1,
'ETE CO Question Map'!$C$2:$H$24)=TRUE,TRANSPOSE(_xlfn.XLOOKUP(_xlpm.studentID,'ETE Question Map'!$A$2:INDEX('ETE Question Map'!$A:$A,COUNTA('ETE Question Map'!$A:$A)),
'ETE Question Map'!$B$2:INDEX('ETE Question Map'!$X:$X,COUNTA('ETE Question Map'!$U:$U))))),'ETE Student Marks'!$B$1:$X$1,_xlfn.XLOOKUP(_xlpm.studentID,'ETE Student Marks'!$A$1:INDEX('ETE Student Marks'!$A:$A,COUNTA('ETE Student Marks'!$A:$A)),
'ETE Student Marks'!$B$1:INDEX('ETE Student Marks'!$X:$X,COUNTA('ETE Student Marks'!$X:$X)))),0))))</f>
        <v>0</v>
      </c>
      <c r="G2" cm="1">
        <f t="array" ref="G2:G19">_xlfn.BYROW($A2:INDEX($A:$A,COUNTA($A:$A)),_xlfn.LAMBDA(_xlpm.studentID,SUM(IFERROR(_xlfn.XLOOKUP(IF(_xlfn.XLOOKUP(G$1,'ETE CO Question Map'!$C$1:$H$1,
'ETE CO Question Map'!$C$2:$H$24)=TRUE,TRANSPOSE(_xlfn.XLOOKUP(_xlpm.studentID,'ETE Question Map'!$A$2:INDEX('ETE Question Map'!$A:$A,COUNTA('ETE Question Map'!$A:$A)),
'ETE Question Map'!$B$2:INDEX('ETE Question Map'!$X:$X,COUNTA('ETE Question Map'!$U:$U))))),'ETE Student Marks'!$B$1:$X$1,_xlfn.XLOOKUP(_xlpm.studentID,'ETE Student Marks'!$A$1:INDEX('ETE Student Marks'!$A:$A,COUNTA('ETE Student Marks'!$A:$A)),
'ETE Student Marks'!$B$1:INDEX('ETE Student Marks'!$X:$X,COUNTA('ETE Student Marks'!$X:$X)))),0))))</f>
        <v>0</v>
      </c>
      <c r="I2" cm="1">
        <f t="array" ref="I2:I19">_xlfn.BYROW(
  $A2:INDEX($A:$A, COUNTA($A:$A)),
  _xlfn.LAMBDA(_xlpm.studentID,
    _xlfn.LET(
      _xlpm.coHeader, B$1,
      _xlpm.coMatchMatrix, _xlfn.XLOOKUP(
        _xlpm.coHeader,
        'ETE CO Question Map'!$C$1:$H$1,
        'ETE CO Question Map'!$C$2:$H$24
      ),
      _xlpm.coMatrix, 'ETE CO Question Map'!$C$2:$H$24,
      _xlpm.coCountPerQuestion, _xlfn.BYROW(_xlpm.coMatrix, _xlfn.LAMBDA(_xlpm.row, COUNTIF(_xlpm.row, TRUE))),
      _xlpm.questionIDs, 'ETE CO Question Map'!$A$2:$A$24,
      _xlpm.studentMarksRow, _xlfn.XLOOKUP(
        _xlpm.studentID,
        'ETE Student Marks'!$A$2:INDEX('ETE Student Marks'!$A:$A, COUNTA('ETE Student Marks'!$A:$A)),
        'ETE Student Marks'!$B$2:INDEX('ETE Student Marks'!$X:$X, COUNTA('ETE Student Marks'!$X:$X))
      ),
      _xlpm.obtainedMarks, _xlfn.XLOOKUP(
        _xlpm.questionIDs,
        'ETE Student Marks'!$B$1:$X$1,
        _xlpm.studentMarksRow
      ),
      _xlpm.adjustedObtainedMarks, IFERROR(_xlpm.obtainedMarks / _xlpm.coCountPerQuestion, 0),
      _xlpm.result, IF(_xlpm.coMatchMatrix = TRUE, _xlpm.adjustedObtainedMarks, 0),
      SUM(_xlpm.result)
    )
  )
)</f>
        <v>4.6666666666666661</v>
      </c>
      <c r="J2" cm="1">
        <f t="array" ref="J2:J19">_xlfn.BYROW(
  $A2:INDEX($A:$A, COUNTA($A:$A)),
  _xlfn.LAMBDA(_xlpm.studentID,
    SUM(
      IFERROR(
        _xlfn.XLOOKUP(
          IF(
            _xlfn.XLOOKUP(
              B$1,
              'ETE CO Question Map'!$C$1:$H$1,
              'ETE CO Question Map'!$C$2:$H$24
            ) = TRUE,
            TRANSPOSE(
              _xlfn.XLOOKUP(
                _xlpm.studentID,
                'ETE Question Map'!$A$2:INDEX('ETE Question Map'!$A:$A, COUNTA('ETE Question Map'!$A:$A)),
                'ETE Question Map'!$B$2:INDEX('ETE Question Map'!$X:$X, COUNTA('ETE Question Map'!$U:$U))
              )
            )
          ),
          'ETE Student Marks'!$B$1:$X$1,
          _xlfn.XLOOKUP(
            _xlpm.studentID,
            'ETE Student Marks'!$A$1:INDEX('ETE Student Marks'!$A:$A, COUNTA('ETE Student Marks'!$A:$A)),
            'ETE Student Marks'!$B$1:INDEX('ETE Student Marks'!$X:$X, COUNTA('ETE Student Marks'!$X:$X))
          )
        ),
        0
      )
    )
  ))</f>
        <v>9</v>
      </c>
      <c r="K2" cm="1">
        <f t="array" ref="K2">SUM(
  IFERROR(
    _xlfn.XLOOKUP(
      IF(
        _xlfn.XLOOKUP(B$1, 'ETE CO Question Map'!$C$1:$H$1, 'ETE CO Question Map'!$C$2:$H$24) = TRUE,
        TRANSPOSE(
          _xlfn.XLOOKUP(
            A2,
            'ETE Question Map'!$A$2:$A$100,
            'ETE Question Map'!$B$2:$X$100
          )
        )
      ),
      'ETE Student Marks'!$B$1:$X$1,
      _xlfn.XLOOKUP(
        A2,
        'ETE Student Marks'!$A$1:$A$100,
        'ETE Student Marks'!$B$1:$X$100
      )
    ) /
    _xlfn.XLOOKUP(
      IF(
        _xlfn.XLOOKUP(B$1, 'ETE CO Question Map'!$C$1:$H$1, 'ETE CO Question Map'!$C$2:$H$24) = TRUE,
        TRANSPOSE(
          _xlfn.XLOOKUP(
            A2,
            'ETE Question Map'!$A$2:$A$100,
            'ETE Question Map'!$B$2:$X$100
          )
        )
      ),
      'ETE CO Question Map'!$A$2:$A$100,
      'ETE CO Question Map'!$I$2:$I$100
    ),
    0
  )
)</f>
        <v>4.6666666666666661</v>
      </c>
    </row>
    <row r="3" spans="1:11" x14ac:dyDescent="0.3">
      <c r="A3" t="str">
        <v>2010992002 </v>
      </c>
      <c r="B3">
        <v>16</v>
      </c>
      <c r="C3">
        <v>36</v>
      </c>
      <c r="D3">
        <v>25</v>
      </c>
      <c r="E3">
        <v>0</v>
      </c>
      <c r="F3">
        <v>0</v>
      </c>
      <c r="G3">
        <v>0</v>
      </c>
      <c r="I3">
        <v>11.666666666666666</v>
      </c>
      <c r="J3">
        <v>16</v>
      </c>
    </row>
    <row r="4" spans="1:11" x14ac:dyDescent="0.3">
      <c r="A4" t="str">
        <v>2010992004 </v>
      </c>
      <c r="B4">
        <v>14</v>
      </c>
      <c r="C4">
        <v>17</v>
      </c>
      <c r="D4">
        <v>7</v>
      </c>
      <c r="E4">
        <v>0</v>
      </c>
      <c r="F4">
        <v>0</v>
      </c>
      <c r="G4">
        <v>0</v>
      </c>
      <c r="I4">
        <v>9.6666666666666661</v>
      </c>
      <c r="J4">
        <v>14</v>
      </c>
    </row>
    <row r="5" spans="1:11" x14ac:dyDescent="0.3">
      <c r="A5" t="str">
        <v>2010992005 </v>
      </c>
      <c r="B5">
        <v>6</v>
      </c>
      <c r="C5">
        <v>5</v>
      </c>
      <c r="D5">
        <v>5</v>
      </c>
      <c r="E5">
        <v>0</v>
      </c>
      <c r="F5">
        <v>0</v>
      </c>
      <c r="G5">
        <v>0</v>
      </c>
      <c r="I5">
        <v>2.6666666666666665</v>
      </c>
      <c r="J5">
        <v>6</v>
      </c>
    </row>
    <row r="6" spans="1:11" x14ac:dyDescent="0.3">
      <c r="A6" t="str">
        <v>2010992006 </v>
      </c>
      <c r="B6">
        <v>14</v>
      </c>
      <c r="C6">
        <v>16</v>
      </c>
      <c r="D6">
        <v>5</v>
      </c>
      <c r="E6">
        <v>0</v>
      </c>
      <c r="F6">
        <v>0</v>
      </c>
      <c r="G6">
        <v>0</v>
      </c>
      <c r="I6">
        <v>9.6666666666666661</v>
      </c>
      <c r="J6">
        <v>14</v>
      </c>
    </row>
    <row r="7" spans="1:11" x14ac:dyDescent="0.3">
      <c r="A7" t="str">
        <v>2010992008 </v>
      </c>
      <c r="B7">
        <v>11</v>
      </c>
      <c r="C7">
        <v>21</v>
      </c>
      <c r="D7">
        <v>10</v>
      </c>
      <c r="E7">
        <v>0</v>
      </c>
      <c r="F7">
        <v>0</v>
      </c>
      <c r="G7">
        <v>0</v>
      </c>
      <c r="I7">
        <v>6.6666666666666661</v>
      </c>
      <c r="J7">
        <v>11</v>
      </c>
    </row>
    <row r="8" spans="1:11" x14ac:dyDescent="0.3">
      <c r="A8" t="str">
        <v>2010992009 </v>
      </c>
      <c r="B8">
        <v>21</v>
      </c>
      <c r="C8">
        <v>38</v>
      </c>
      <c r="D8">
        <v>25</v>
      </c>
      <c r="E8">
        <v>0</v>
      </c>
      <c r="F8">
        <v>0</v>
      </c>
      <c r="G8">
        <v>0</v>
      </c>
      <c r="I8">
        <v>16.666666666666664</v>
      </c>
      <c r="J8">
        <v>21</v>
      </c>
    </row>
    <row r="9" spans="1:11" x14ac:dyDescent="0.3">
      <c r="A9" t="str">
        <v>2010992010 </v>
      </c>
      <c r="B9">
        <v>13</v>
      </c>
      <c r="C9">
        <v>13</v>
      </c>
      <c r="D9">
        <v>7</v>
      </c>
      <c r="E9">
        <v>0</v>
      </c>
      <c r="F9">
        <v>0</v>
      </c>
      <c r="G9">
        <v>0</v>
      </c>
      <c r="I9">
        <v>8.6666666666666661</v>
      </c>
      <c r="J9">
        <v>13</v>
      </c>
    </row>
    <row r="10" spans="1:11" x14ac:dyDescent="0.3">
      <c r="A10" t="str">
        <v>2010992011 </v>
      </c>
      <c r="B10">
        <v>16</v>
      </c>
      <c r="C10">
        <v>19</v>
      </c>
      <c r="D10">
        <v>12</v>
      </c>
      <c r="E10">
        <v>0</v>
      </c>
      <c r="F10">
        <v>0</v>
      </c>
      <c r="G10">
        <v>0</v>
      </c>
      <c r="I10">
        <v>11.666666666666666</v>
      </c>
      <c r="J10">
        <v>16</v>
      </c>
    </row>
    <row r="11" spans="1:11" x14ac:dyDescent="0.3">
      <c r="A11" s="111" t="str">
        <v>2010992012 </v>
      </c>
      <c r="B11">
        <v>11</v>
      </c>
      <c r="C11">
        <v>19</v>
      </c>
      <c r="D11">
        <v>15</v>
      </c>
      <c r="E11">
        <v>0</v>
      </c>
      <c r="F11">
        <v>0</v>
      </c>
      <c r="G11">
        <v>0</v>
      </c>
      <c r="I11">
        <v>6.6666666666666661</v>
      </c>
      <c r="J11">
        <v>11</v>
      </c>
    </row>
    <row r="12" spans="1:11" x14ac:dyDescent="0.3">
      <c r="A12" t="str">
        <v>2010992014 </v>
      </c>
      <c r="B12">
        <v>7</v>
      </c>
      <c r="C12">
        <v>13</v>
      </c>
      <c r="D12">
        <v>7</v>
      </c>
      <c r="E12">
        <v>0</v>
      </c>
      <c r="F12">
        <v>0</v>
      </c>
      <c r="G12">
        <v>0</v>
      </c>
      <c r="I12">
        <v>2.6666666666666665</v>
      </c>
      <c r="J12">
        <v>7</v>
      </c>
    </row>
    <row r="13" spans="1:11" x14ac:dyDescent="0.3">
      <c r="A13" t="str">
        <v>2010992015 </v>
      </c>
      <c r="B13">
        <v>14</v>
      </c>
      <c r="C13">
        <v>13</v>
      </c>
      <c r="D13">
        <v>9</v>
      </c>
      <c r="E13">
        <v>0</v>
      </c>
      <c r="F13">
        <v>0</v>
      </c>
      <c r="G13">
        <v>0</v>
      </c>
      <c r="I13">
        <v>9.6666666666666661</v>
      </c>
      <c r="J13">
        <v>14</v>
      </c>
    </row>
    <row r="14" spans="1:11" x14ac:dyDescent="0.3">
      <c r="A14" t="str">
        <v>2010992016 </v>
      </c>
      <c r="B14">
        <v>18</v>
      </c>
      <c r="C14">
        <v>26</v>
      </c>
      <c r="D14">
        <v>12</v>
      </c>
      <c r="E14">
        <v>0</v>
      </c>
      <c r="F14">
        <v>0</v>
      </c>
      <c r="G14">
        <v>0</v>
      </c>
      <c r="I14">
        <v>13.666666666666666</v>
      </c>
      <c r="J14">
        <v>18</v>
      </c>
    </row>
    <row r="15" spans="1:11" x14ac:dyDescent="0.3">
      <c r="A15" t="str">
        <v>2010992017 </v>
      </c>
      <c r="B15">
        <v>7</v>
      </c>
      <c r="C15">
        <v>18</v>
      </c>
      <c r="D15">
        <v>7</v>
      </c>
      <c r="E15">
        <v>0</v>
      </c>
      <c r="F15">
        <v>0</v>
      </c>
      <c r="G15">
        <v>0</v>
      </c>
      <c r="I15">
        <v>3.6666666666666665</v>
      </c>
      <c r="J15">
        <v>7</v>
      </c>
    </row>
    <row r="16" spans="1:11" x14ac:dyDescent="0.3">
      <c r="A16" t="str">
        <v>2010992018 </v>
      </c>
      <c r="B16">
        <v>11</v>
      </c>
      <c r="C16">
        <v>23</v>
      </c>
      <c r="D16">
        <v>7</v>
      </c>
      <c r="E16">
        <v>0</v>
      </c>
      <c r="F16">
        <v>0</v>
      </c>
      <c r="G16">
        <v>0</v>
      </c>
      <c r="I16">
        <v>6.6666666666666661</v>
      </c>
      <c r="J16">
        <v>11</v>
      </c>
    </row>
    <row r="17" spans="1:10" x14ac:dyDescent="0.3">
      <c r="A17" t="str">
        <v>2010992163 </v>
      </c>
      <c r="B17">
        <v>18</v>
      </c>
      <c r="C17">
        <v>32</v>
      </c>
      <c r="D17">
        <v>23</v>
      </c>
      <c r="E17">
        <v>0</v>
      </c>
      <c r="F17">
        <v>0</v>
      </c>
      <c r="G17">
        <v>0</v>
      </c>
      <c r="I17">
        <v>13.666666666666666</v>
      </c>
      <c r="J17">
        <v>18</v>
      </c>
    </row>
    <row r="18" spans="1:10" x14ac:dyDescent="0.3">
      <c r="A18" t="str">
        <v>2010992202 </v>
      </c>
      <c r="B18">
        <v>11</v>
      </c>
      <c r="C18">
        <v>27</v>
      </c>
      <c r="D18">
        <v>16</v>
      </c>
      <c r="E18">
        <v>0</v>
      </c>
      <c r="F18">
        <v>0</v>
      </c>
      <c r="G18">
        <v>0</v>
      </c>
      <c r="I18">
        <v>6.6666666666666661</v>
      </c>
      <c r="J18">
        <v>11</v>
      </c>
    </row>
    <row r="19" spans="1:10" x14ac:dyDescent="0.3">
      <c r="A19" t="str">
        <v>2010992203 </v>
      </c>
      <c r="B19">
        <v>16</v>
      </c>
      <c r="C19">
        <v>22</v>
      </c>
      <c r="D19">
        <v>15</v>
      </c>
      <c r="E19">
        <v>0</v>
      </c>
      <c r="F19">
        <v>0</v>
      </c>
      <c r="G19">
        <v>0</v>
      </c>
      <c r="I19">
        <v>11.666666666666666</v>
      </c>
      <c r="J19">
        <v>16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F5439-E4FE-45B5-AAE3-77ED6F8E3824}">
  <sheetPr codeName="Sheet35">
    <tabColor rgb="FFFFFF00"/>
  </sheetPr>
  <dimension ref="A1:G19"/>
  <sheetViews>
    <sheetView workbookViewId="0">
      <selection activeCell="C2" sqref="C2"/>
    </sheetView>
  </sheetViews>
  <sheetFormatPr defaultRowHeight="14.4" x14ac:dyDescent="0.3"/>
  <cols>
    <col min="1" max="1" width="21" bestFit="1" customWidth="1"/>
    <col min="2" max="4" width="12" bestFit="1" customWidth="1"/>
    <col min="5" max="7" width="10.5546875" bestFit="1" customWidth="1"/>
  </cols>
  <sheetData>
    <row r="1" spans="1:7" x14ac:dyDescent="0.3">
      <c r="A1" t="str" cm="1">
        <f t="array" ref="A1:A19">INDEX('ETE Result'!B:B, 1):INDEX('ETE Result'!B:B, COUNTA('ETE Result'!B:B))</f>
        <v>Admission No. (Roll No.)</v>
      </c>
      <c r="B1" t="str" cm="1">
        <f t="array" ref="B1:G1">'ETE CO Question Map'!C1:H1</f>
        <v>EC118_CO1</v>
      </c>
      <c r="C1" t="str">
        <v>EC118_CO2</v>
      </c>
      <c r="D1" t="str">
        <v>EC118_CO3</v>
      </c>
      <c r="E1" t="str">
        <v>EC118_CO4</v>
      </c>
      <c r="F1" t="str">
        <v>EC118_CO5</v>
      </c>
      <c r="G1" t="str">
        <v>EC118_CO6</v>
      </c>
    </row>
    <row r="2" spans="1:7" x14ac:dyDescent="0.3">
      <c r="A2" t="str">
        <v>2010990089 </v>
      </c>
      <c r="B2" cm="1">
        <f t="array" ref="B2:B19">_xlfn.BYROW($A2:INDEX($A:$A,COUNTA($A:$A)),_xlfn.LAMBDA(_xlpm.studentID,IFERROR(_xlfn.XLOOKUP(_xlpm.studentID,'ETE Student Attained CO Score'!$A:$A,'ETE Student Attained CO Score'!B:B) /
 _xlfn.XLOOKUP(_xlpm.studentID,'ETE Student MO CO Score'!$A:$A,
'ETE Student MO CO Score'!B:B)*100,"NA")))</f>
        <v>100</v>
      </c>
      <c r="C2" cm="1">
        <f t="array" ref="C2:C19">_xlfn.BYROW($A2:INDEX($A:$A,COUNTA($A:$A)),_xlfn.LAMBDA(_xlpm.studentID,IFERROR(_xlfn.XLOOKUP(_xlpm.studentID,'ETE Student Attained CO Score'!$A:$A,'ETE Student Attained CO Score'!C:C) /
 _xlfn.XLOOKUP(_xlpm.studentID,'ETE Student MO CO Score'!$A:$A,
'ETE Student MO CO Score'!C:C)*100,"NA")))</f>
        <v>72.222222222222214</v>
      </c>
      <c r="D2" cm="1">
        <f t="array" ref="D2:D19">_xlfn.BYROW($A2:INDEX($A:$A,COUNTA($A:$A)),_xlfn.LAMBDA(_xlpm.studentID,IFERROR(_xlfn.XLOOKUP(_xlpm.studentID,'ETE Student Attained CO Score'!$A:$A,'ETE Student Attained CO Score'!D:D) /
 _xlfn.XLOOKUP(_xlpm.studentID,'ETE Student MO CO Score'!$A:$A,
'ETE Student MO CO Score'!D:D)*100,"NA")))</f>
        <v>68</v>
      </c>
      <c r="E2" t="str" cm="1">
        <f t="array" ref="E2:E19">_xlfn.BYROW($A2:INDEX($A:$A,COUNTA($A:$A)),_xlfn.LAMBDA(_xlpm.studentID,IFERROR(_xlfn.XLOOKUP(_xlpm.studentID,'ETE Student Attained CO Score'!$A:$A,'ETE Student Attained CO Score'!E:E) /
 _xlfn.XLOOKUP(_xlpm.studentID,'ETE Student MO CO Score'!$A:$A,
'ETE Student MO CO Score'!E:E)*100,"NA")))</f>
        <v>NA</v>
      </c>
      <c r="F2" t="str" cm="1">
        <f t="array" ref="F2:F19">_xlfn.BYROW($A2:INDEX($A:$A,COUNTA($A:$A)),_xlfn.LAMBDA(_xlpm.studentID,IFERROR(_xlfn.XLOOKUP(_xlpm.studentID,'ETE Student Attained CO Score'!$A:$A,'ETE Student Attained CO Score'!F:F) /
 _xlfn.XLOOKUP(_xlpm.studentID,'ETE Student MO CO Score'!$A:$A,
'ETE Student MO CO Score'!F:F)*100,"NA")))</f>
        <v>NA</v>
      </c>
      <c r="G2" t="str" cm="1">
        <f t="array" ref="G2:G19">_xlfn.BYROW($A2:INDEX($A:$A,COUNTA($A:$A)),_xlfn.LAMBDA(_xlpm.studentID,IFERROR(_xlfn.XLOOKUP(_xlpm.studentID,'ETE Student Attained CO Score'!$A:$A,'ETE Student Attained CO Score'!G:G) /
 _xlfn.XLOOKUP(_xlpm.studentID,'ETE Student MO CO Score'!$A:$A,
'ETE Student MO CO Score'!G:G)*100,"NA")))</f>
        <v>NA</v>
      </c>
    </row>
    <row r="3" spans="1:7" x14ac:dyDescent="0.3">
      <c r="A3" t="str">
        <v>2010992002 </v>
      </c>
      <c r="B3">
        <v>100</v>
      </c>
      <c r="C3">
        <v>87.804878048780495</v>
      </c>
      <c r="D3">
        <v>83.333333333333343</v>
      </c>
      <c r="E3" t="str">
        <v>NA</v>
      </c>
      <c r="F3" t="str">
        <v>NA</v>
      </c>
      <c r="G3" t="str">
        <v>NA</v>
      </c>
    </row>
    <row r="4" spans="1:7" x14ac:dyDescent="0.3">
      <c r="A4" t="str">
        <v>2010992004 </v>
      </c>
      <c r="B4">
        <v>100</v>
      </c>
      <c r="C4">
        <v>65.384615384615387</v>
      </c>
      <c r="D4">
        <v>46.666666666666664</v>
      </c>
      <c r="E4" t="str">
        <v>NA</v>
      </c>
      <c r="F4" t="str">
        <v>NA</v>
      </c>
      <c r="G4" t="str">
        <v>NA</v>
      </c>
    </row>
    <row r="5" spans="1:7" x14ac:dyDescent="0.3">
      <c r="A5" t="str">
        <v>2010992005 </v>
      </c>
      <c r="B5">
        <v>40</v>
      </c>
      <c r="C5">
        <v>100</v>
      </c>
      <c r="D5">
        <v>100</v>
      </c>
      <c r="E5" t="str">
        <v>NA</v>
      </c>
      <c r="F5" t="str">
        <v>NA</v>
      </c>
      <c r="G5" t="str">
        <v>NA</v>
      </c>
    </row>
    <row r="6" spans="1:7" x14ac:dyDescent="0.3">
      <c r="A6" t="str">
        <v>2010992006 </v>
      </c>
      <c r="B6">
        <v>58.333333333333336</v>
      </c>
      <c r="C6">
        <v>100</v>
      </c>
      <c r="D6">
        <v>100</v>
      </c>
      <c r="E6" t="str">
        <v>NA</v>
      </c>
      <c r="F6" t="str">
        <v>NA</v>
      </c>
      <c r="G6" t="str">
        <v>NA</v>
      </c>
    </row>
    <row r="7" spans="1:7" x14ac:dyDescent="0.3">
      <c r="A7" t="str">
        <v>2010992008 </v>
      </c>
      <c r="B7">
        <v>57.894736842105267</v>
      </c>
      <c r="C7">
        <v>100</v>
      </c>
      <c r="D7">
        <v>100</v>
      </c>
      <c r="E7" t="str">
        <v>NA</v>
      </c>
      <c r="F7" t="str">
        <v>NA</v>
      </c>
      <c r="G7" t="str">
        <v>NA</v>
      </c>
    </row>
    <row r="8" spans="1:7" x14ac:dyDescent="0.3">
      <c r="A8" t="str">
        <v>2010992009 </v>
      </c>
      <c r="B8">
        <v>87.5</v>
      </c>
      <c r="C8">
        <v>100</v>
      </c>
      <c r="D8">
        <v>100</v>
      </c>
      <c r="E8" t="str">
        <v>NA</v>
      </c>
      <c r="F8" t="str">
        <v>NA</v>
      </c>
      <c r="G8" t="str">
        <v>NA</v>
      </c>
    </row>
    <row r="9" spans="1:7" x14ac:dyDescent="0.3">
      <c r="A9" t="str">
        <v>2010992010 </v>
      </c>
      <c r="B9">
        <v>92.857142857142861</v>
      </c>
      <c r="C9">
        <v>61.904761904761905</v>
      </c>
      <c r="D9">
        <v>46.666666666666664</v>
      </c>
      <c r="E9" t="str">
        <v>NA</v>
      </c>
      <c r="F9" t="str">
        <v>NA</v>
      </c>
      <c r="G9" t="str">
        <v>NA</v>
      </c>
    </row>
    <row r="10" spans="1:7" x14ac:dyDescent="0.3">
      <c r="A10" t="str">
        <v>2010992011 </v>
      </c>
      <c r="B10">
        <v>100</v>
      </c>
      <c r="C10">
        <v>65.517241379310349</v>
      </c>
      <c r="D10">
        <v>60</v>
      </c>
      <c r="E10" t="str">
        <v>NA</v>
      </c>
      <c r="F10" t="str">
        <v>NA</v>
      </c>
      <c r="G10" t="str">
        <v>NA</v>
      </c>
    </row>
    <row r="11" spans="1:7" x14ac:dyDescent="0.3">
      <c r="A11" t="str">
        <v>2010992012 </v>
      </c>
      <c r="B11">
        <v>57.894736842105267</v>
      </c>
      <c r="C11">
        <v>90.476190476190482</v>
      </c>
      <c r="D11">
        <v>100</v>
      </c>
      <c r="E11" t="str">
        <v>NA</v>
      </c>
      <c r="F11" t="str">
        <v>NA</v>
      </c>
      <c r="G11" t="str">
        <v>NA</v>
      </c>
    </row>
    <row r="12" spans="1:7" x14ac:dyDescent="0.3">
      <c r="A12" t="str">
        <v>2010992014 </v>
      </c>
      <c r="B12">
        <v>100</v>
      </c>
      <c r="C12">
        <v>61.904761904761905</v>
      </c>
      <c r="D12">
        <v>46.666666666666664</v>
      </c>
      <c r="E12" t="str">
        <v>NA</v>
      </c>
      <c r="F12" t="str">
        <v>NA</v>
      </c>
      <c r="G12" t="str">
        <v>NA</v>
      </c>
    </row>
    <row r="13" spans="1:7" x14ac:dyDescent="0.3">
      <c r="A13" t="str">
        <v>2010992015 </v>
      </c>
      <c r="B13">
        <v>100</v>
      </c>
      <c r="C13">
        <v>61.904761904761905</v>
      </c>
      <c r="D13">
        <v>45</v>
      </c>
      <c r="E13" t="str">
        <v>NA</v>
      </c>
      <c r="F13" t="str">
        <v>NA</v>
      </c>
      <c r="G13" t="str">
        <v>NA</v>
      </c>
    </row>
    <row r="14" spans="1:7" x14ac:dyDescent="0.3">
      <c r="A14" t="str">
        <v>2010992016 </v>
      </c>
      <c r="B14">
        <v>69.230769230769226</v>
      </c>
      <c r="C14">
        <v>76.470588235294116</v>
      </c>
      <c r="D14">
        <v>60</v>
      </c>
      <c r="E14" t="str">
        <v>NA</v>
      </c>
      <c r="F14" t="str">
        <v>NA</v>
      </c>
      <c r="G14" t="str">
        <v>NA</v>
      </c>
    </row>
    <row r="15" spans="1:7" x14ac:dyDescent="0.3">
      <c r="A15" t="str">
        <v>2010992017 </v>
      </c>
      <c r="B15">
        <v>100</v>
      </c>
      <c r="C15">
        <v>69.230769230769226</v>
      </c>
      <c r="D15">
        <v>46.666666666666664</v>
      </c>
      <c r="E15" t="str">
        <v>NA</v>
      </c>
      <c r="F15" t="str">
        <v>NA</v>
      </c>
      <c r="G15" t="str">
        <v>NA</v>
      </c>
    </row>
    <row r="16" spans="1:7" x14ac:dyDescent="0.3">
      <c r="A16" t="str">
        <v>2010992018 </v>
      </c>
      <c r="B16">
        <v>78.571428571428569</v>
      </c>
      <c r="C16">
        <v>74.193548387096769</v>
      </c>
      <c r="D16">
        <v>46.666666666666664</v>
      </c>
      <c r="E16" t="str">
        <v>NA</v>
      </c>
      <c r="F16" t="str">
        <v>NA</v>
      </c>
      <c r="G16" t="str">
        <v>NA</v>
      </c>
    </row>
    <row r="17" spans="1:7" x14ac:dyDescent="0.3">
      <c r="A17" t="str">
        <v>2010992163 </v>
      </c>
      <c r="B17">
        <v>69.230769230769226</v>
      </c>
      <c r="C17">
        <v>94.117647058823522</v>
      </c>
      <c r="D17">
        <v>92</v>
      </c>
      <c r="E17" t="str">
        <v>NA</v>
      </c>
      <c r="F17" t="str">
        <v>NA</v>
      </c>
      <c r="G17" t="str">
        <v>NA</v>
      </c>
    </row>
    <row r="18" spans="1:7" x14ac:dyDescent="0.3">
      <c r="A18" t="str">
        <v>2010992202 </v>
      </c>
      <c r="B18">
        <v>57.894736842105267</v>
      </c>
      <c r="C18">
        <v>75</v>
      </c>
      <c r="D18">
        <v>64</v>
      </c>
      <c r="E18" t="str">
        <v>NA</v>
      </c>
      <c r="F18" t="str">
        <v>NA</v>
      </c>
      <c r="G18" t="str">
        <v>NA</v>
      </c>
    </row>
    <row r="19" spans="1:7" x14ac:dyDescent="0.3">
      <c r="A19" t="str">
        <v>2010992203 </v>
      </c>
      <c r="B19">
        <v>66.666666666666657</v>
      </c>
      <c r="C19">
        <v>84.615384615384613</v>
      </c>
      <c r="D19">
        <v>100</v>
      </c>
      <c r="E19" t="str">
        <v>NA</v>
      </c>
      <c r="F19" t="str">
        <v>NA</v>
      </c>
      <c r="G19" t="str">
        <v>NA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3E3A-1B13-483B-B29C-8D66001AE3E5}">
  <sheetPr codeName="Sheet36">
    <tabColor rgb="FFFFFF00"/>
  </sheetPr>
  <dimension ref="A1:G19"/>
  <sheetViews>
    <sheetView workbookViewId="0"/>
  </sheetViews>
  <sheetFormatPr defaultRowHeight="14.4" x14ac:dyDescent="0.3"/>
  <cols>
    <col min="1" max="1" width="21" bestFit="1" customWidth="1"/>
    <col min="2" max="7" width="10.5546875" bestFit="1" customWidth="1"/>
  </cols>
  <sheetData>
    <row r="1" spans="1:7" x14ac:dyDescent="0.3">
      <c r="A1" t="str" cm="1">
        <f t="array" ref="A1:A19">INDEX('ETE Result'!B:B, 1):INDEX('ETE Result'!B:B, COUNTA('ETE Result'!B:B))</f>
        <v>Admission No. (Roll No.)</v>
      </c>
      <c r="B1" t="str" cm="1">
        <f t="array" ref="B1:G1">'ETE CO Question Map'!C1:H1</f>
        <v>EC118_CO1</v>
      </c>
      <c r="C1" t="str">
        <v>EC118_CO2</v>
      </c>
      <c r="D1" t="str">
        <v>EC118_CO3</v>
      </c>
      <c r="E1" t="str">
        <v>EC118_CO4</v>
      </c>
      <c r="F1" t="str">
        <v>EC118_CO5</v>
      </c>
      <c r="G1" t="str">
        <v>EC118_CO6</v>
      </c>
    </row>
    <row r="2" spans="1:7" x14ac:dyDescent="0.3">
      <c r="A2" t="str">
        <v>2010990089 </v>
      </c>
      <c r="B2" cm="1">
        <f t="array" ref="B2:B19">_xlfn.BYROW('ETE Student Attainment percent'!B2:INDEX('ETE Student Attainment percent'!B:B,COUNTA('ETE Student Attainment percent'!B:B)),_xlfn.LAMBDA(_xlpm.score,_xlfn.IFS(_xlpm.score="NA","NA",_xlpm.score&gt;'OBE Details'!$B$2-1,3,_xlpm.score&gt;'OBE Details'!$B$3-1,2,_xlpm.score&gt;'OBE Details'!$B$4-1,1,_xlpm.score&lt;'OBE Details'!$B$4,0)))</f>
        <v>3</v>
      </c>
      <c r="C2" cm="1">
        <f t="array" ref="C2:C19">_xlfn.BYROW('ETE Student Attainment percent'!C2:INDEX('ETE Student Attainment percent'!C:C,COUNTA('ETE Student Attainment percent'!C:C)),_xlfn.LAMBDA(_xlpm.score,_xlfn.IFS(_xlpm.score="NA","NA",_xlpm.score&gt;'OBE Details'!$B$2-1,3,_xlpm.score&gt;'OBE Details'!$B$3-1,2,_xlpm.score&gt;'OBE Details'!$B$4-1,1,_xlpm.score&lt;'OBE Details'!$B$4,0)))</f>
        <v>3</v>
      </c>
      <c r="D2" cm="1">
        <f t="array" ref="D2:D19">_xlfn.BYROW('ETE Student Attainment percent'!D2:INDEX('ETE Student Attainment percent'!D:D,COUNTA('ETE Student Attainment percent'!D:D)),_xlfn.LAMBDA(_xlpm.score,_xlfn.IFS(_xlpm.score="NA","NA",_xlpm.score&gt;'OBE Details'!$B$2-1,3,_xlpm.score&gt;'OBE Details'!$B$3-1,2,_xlpm.score&gt;'OBE Details'!$B$4-1,1,_xlpm.score&lt;'OBE Details'!$B$4,0)))</f>
        <v>3</v>
      </c>
      <c r="E2" t="str" cm="1">
        <f t="array" ref="E2:E19">_xlfn.BYROW('ETE Student Attainment percent'!E2:INDEX('ETE Student Attainment percent'!E:E,COUNTA('ETE Student Attainment percent'!E:E)),_xlfn.LAMBDA(_xlpm.score,_xlfn.IFS(_xlpm.score="NA","NA",_xlpm.score&gt;'OBE Details'!$B$2-1,3,_xlpm.score&gt;'OBE Details'!$B$3-1,2,_xlpm.score&gt;'OBE Details'!$B$4-1,1,_xlpm.score&lt;'OBE Details'!$B$4,0)))</f>
        <v>NA</v>
      </c>
      <c r="F2" t="str" cm="1">
        <f t="array" ref="F2:F19">_xlfn.BYROW('ETE Student Attainment percent'!F2:INDEX('ETE Student Attainment percent'!F:F,COUNTA('ETE Student Attainment percent'!F:F)),_xlfn.LAMBDA(_xlpm.score,_xlfn.IFS(_xlpm.score="NA","NA",_xlpm.score&gt;'OBE Details'!$B$2-1,3,_xlpm.score&gt;'OBE Details'!$B$3-1,2,_xlpm.score&gt;'OBE Details'!$B$4-1,1,_xlpm.score&lt;'OBE Details'!$B$4,0)))</f>
        <v>NA</v>
      </c>
      <c r="G2" t="str" cm="1">
        <f t="array" ref="G2:G19">_xlfn.BYROW('ETE Student Attainment percent'!G2:INDEX('ETE Student Attainment percent'!G:G,COUNTA('ETE Student Attainment percent'!G:G)),_xlfn.LAMBDA(_xlpm.score,_xlfn.IFS(_xlpm.score="NA","NA",_xlpm.score&gt;'OBE Details'!$B$2-1,3,_xlpm.score&gt;'OBE Details'!$B$3-1,2,_xlpm.score&gt;'OBE Details'!$B$4-1,1,_xlpm.score&lt;'OBE Details'!$B$4,0)))</f>
        <v>NA</v>
      </c>
    </row>
    <row r="3" spans="1:7" x14ac:dyDescent="0.3">
      <c r="A3" t="str">
        <v>2010992002 </v>
      </c>
      <c r="B3">
        <v>3</v>
      </c>
      <c r="C3">
        <v>3</v>
      </c>
      <c r="D3">
        <v>3</v>
      </c>
      <c r="E3" t="str">
        <v>NA</v>
      </c>
      <c r="F3" t="str">
        <v>NA</v>
      </c>
      <c r="G3" t="str">
        <v>NA</v>
      </c>
    </row>
    <row r="4" spans="1:7" x14ac:dyDescent="0.3">
      <c r="A4" t="str">
        <v>2010992004 </v>
      </c>
      <c r="B4">
        <v>3</v>
      </c>
      <c r="C4">
        <v>3</v>
      </c>
      <c r="D4">
        <v>0</v>
      </c>
      <c r="E4" t="str">
        <v>NA</v>
      </c>
      <c r="F4" t="str">
        <v>NA</v>
      </c>
      <c r="G4" t="str">
        <v>NA</v>
      </c>
    </row>
    <row r="5" spans="1:7" x14ac:dyDescent="0.3">
      <c r="A5" t="str">
        <v>2010992005 </v>
      </c>
      <c r="B5">
        <v>0</v>
      </c>
      <c r="C5">
        <v>3</v>
      </c>
      <c r="D5">
        <v>3</v>
      </c>
      <c r="E5" t="str">
        <v>NA</v>
      </c>
      <c r="F5" t="str">
        <v>NA</v>
      </c>
      <c r="G5" t="str">
        <v>NA</v>
      </c>
    </row>
    <row r="6" spans="1:7" x14ac:dyDescent="0.3">
      <c r="A6" t="str">
        <v>2010992006 </v>
      </c>
      <c r="B6">
        <v>0</v>
      </c>
      <c r="C6">
        <v>3</v>
      </c>
      <c r="D6">
        <v>3</v>
      </c>
      <c r="E6" t="str">
        <v>NA</v>
      </c>
      <c r="F6" t="str">
        <v>NA</v>
      </c>
      <c r="G6" t="str">
        <v>NA</v>
      </c>
    </row>
    <row r="7" spans="1:7" x14ac:dyDescent="0.3">
      <c r="A7" t="str">
        <v>2010992008 </v>
      </c>
      <c r="B7">
        <v>0</v>
      </c>
      <c r="C7">
        <v>3</v>
      </c>
      <c r="D7">
        <v>3</v>
      </c>
      <c r="E7" t="str">
        <v>NA</v>
      </c>
      <c r="F7" t="str">
        <v>NA</v>
      </c>
      <c r="G7" t="str">
        <v>NA</v>
      </c>
    </row>
    <row r="8" spans="1:7" x14ac:dyDescent="0.3">
      <c r="A8" t="str">
        <v>2010992009 </v>
      </c>
      <c r="B8">
        <v>3</v>
      </c>
      <c r="C8">
        <v>3</v>
      </c>
      <c r="D8">
        <v>3</v>
      </c>
      <c r="E8" t="str">
        <v>NA</v>
      </c>
      <c r="F8" t="str">
        <v>NA</v>
      </c>
      <c r="G8" t="str">
        <v>NA</v>
      </c>
    </row>
    <row r="9" spans="1:7" x14ac:dyDescent="0.3">
      <c r="A9" t="str">
        <v>2010992010 </v>
      </c>
      <c r="B9">
        <v>3</v>
      </c>
      <c r="C9">
        <v>3</v>
      </c>
      <c r="D9">
        <v>0</v>
      </c>
      <c r="E9" t="str">
        <v>NA</v>
      </c>
      <c r="F9" t="str">
        <v>NA</v>
      </c>
      <c r="G9" t="str">
        <v>NA</v>
      </c>
    </row>
    <row r="10" spans="1:7" x14ac:dyDescent="0.3">
      <c r="A10" t="str">
        <v>2010992011 </v>
      </c>
      <c r="B10">
        <v>3</v>
      </c>
      <c r="C10">
        <v>3</v>
      </c>
      <c r="D10">
        <v>3</v>
      </c>
      <c r="E10" t="str">
        <v>NA</v>
      </c>
      <c r="F10" t="str">
        <v>NA</v>
      </c>
      <c r="G10" t="str">
        <v>NA</v>
      </c>
    </row>
    <row r="11" spans="1:7" x14ac:dyDescent="0.3">
      <c r="A11" t="str">
        <v>2010992012 </v>
      </c>
      <c r="B11">
        <v>0</v>
      </c>
      <c r="C11">
        <v>3</v>
      </c>
      <c r="D11">
        <v>3</v>
      </c>
      <c r="E11" t="str">
        <v>NA</v>
      </c>
      <c r="F11" t="str">
        <v>NA</v>
      </c>
      <c r="G11" t="str">
        <v>NA</v>
      </c>
    </row>
    <row r="12" spans="1:7" x14ac:dyDescent="0.3">
      <c r="A12" t="str">
        <v>2010992014 </v>
      </c>
      <c r="B12">
        <v>3</v>
      </c>
      <c r="C12">
        <v>3</v>
      </c>
      <c r="D12">
        <v>0</v>
      </c>
      <c r="E12" t="str">
        <v>NA</v>
      </c>
      <c r="F12" t="str">
        <v>NA</v>
      </c>
      <c r="G12" t="str">
        <v>NA</v>
      </c>
    </row>
    <row r="13" spans="1:7" x14ac:dyDescent="0.3">
      <c r="A13" t="str">
        <v>2010992015 </v>
      </c>
      <c r="B13">
        <v>3</v>
      </c>
      <c r="C13">
        <v>3</v>
      </c>
      <c r="D13">
        <v>0</v>
      </c>
      <c r="E13" t="str">
        <v>NA</v>
      </c>
      <c r="F13" t="str">
        <v>NA</v>
      </c>
      <c r="G13" t="str">
        <v>NA</v>
      </c>
    </row>
    <row r="14" spans="1:7" x14ac:dyDescent="0.3">
      <c r="A14" t="str">
        <v>2010992016 </v>
      </c>
      <c r="B14">
        <v>3</v>
      </c>
      <c r="C14">
        <v>3</v>
      </c>
      <c r="D14">
        <v>3</v>
      </c>
      <c r="E14" t="str">
        <v>NA</v>
      </c>
      <c r="F14" t="str">
        <v>NA</v>
      </c>
      <c r="G14" t="str">
        <v>NA</v>
      </c>
    </row>
    <row r="15" spans="1:7" x14ac:dyDescent="0.3">
      <c r="A15" t="str">
        <v>2010992017 </v>
      </c>
      <c r="B15">
        <v>3</v>
      </c>
      <c r="C15">
        <v>3</v>
      </c>
      <c r="D15">
        <v>0</v>
      </c>
      <c r="E15" t="str">
        <v>NA</v>
      </c>
      <c r="F15" t="str">
        <v>NA</v>
      </c>
      <c r="G15" t="str">
        <v>NA</v>
      </c>
    </row>
    <row r="16" spans="1:7" x14ac:dyDescent="0.3">
      <c r="A16" t="str">
        <v>2010992018 </v>
      </c>
      <c r="B16">
        <v>3</v>
      </c>
      <c r="C16">
        <v>3</v>
      </c>
      <c r="D16">
        <v>0</v>
      </c>
      <c r="E16" t="str">
        <v>NA</v>
      </c>
      <c r="F16" t="str">
        <v>NA</v>
      </c>
      <c r="G16" t="str">
        <v>NA</v>
      </c>
    </row>
    <row r="17" spans="1:7" x14ac:dyDescent="0.3">
      <c r="A17" t="str">
        <v>2010992163 </v>
      </c>
      <c r="B17">
        <v>3</v>
      </c>
      <c r="C17">
        <v>3</v>
      </c>
      <c r="D17">
        <v>3</v>
      </c>
      <c r="E17" t="str">
        <v>NA</v>
      </c>
      <c r="F17" t="str">
        <v>NA</v>
      </c>
      <c r="G17" t="str">
        <v>NA</v>
      </c>
    </row>
    <row r="18" spans="1:7" x14ac:dyDescent="0.3">
      <c r="A18" t="str">
        <v>2010992202 </v>
      </c>
      <c r="B18">
        <v>0</v>
      </c>
      <c r="C18">
        <v>3</v>
      </c>
      <c r="D18">
        <v>3</v>
      </c>
      <c r="E18" t="str">
        <v>NA</v>
      </c>
      <c r="F18" t="str">
        <v>NA</v>
      </c>
      <c r="G18" t="str">
        <v>NA</v>
      </c>
    </row>
    <row r="19" spans="1:7" x14ac:dyDescent="0.3">
      <c r="A19" t="str">
        <v>2010992203 </v>
      </c>
      <c r="B19">
        <v>3</v>
      </c>
      <c r="C19">
        <v>3</v>
      </c>
      <c r="D19">
        <v>3</v>
      </c>
      <c r="E19" t="str">
        <v>NA</v>
      </c>
      <c r="F19" t="str">
        <v>NA</v>
      </c>
      <c r="G19" t="str">
        <v>NA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14BE-67BC-4616-AED7-7A18136ED753}">
  <sheetPr codeName="Sheet37">
    <tabColor rgb="FFFFFF00"/>
  </sheetPr>
  <dimension ref="A1:G19"/>
  <sheetViews>
    <sheetView workbookViewId="0"/>
  </sheetViews>
  <sheetFormatPr defaultRowHeight="14.4" x14ac:dyDescent="0.3"/>
  <cols>
    <col min="1" max="1" width="21" bestFit="1" customWidth="1"/>
    <col min="2" max="7" width="10.5546875" bestFit="1" customWidth="1"/>
  </cols>
  <sheetData>
    <row r="1" spans="1:7" x14ac:dyDescent="0.3">
      <c r="A1" t="str" cm="1">
        <f t="array" ref="A1:A19">INDEX('ETE Result'!B:B, 1):INDEX('ETE Result'!B:B, COUNTA('ETE Result'!B:B))</f>
        <v>Admission No. (Roll No.)</v>
      </c>
      <c r="B1" t="str" cm="1">
        <f t="array" ref="B1:G1">'ETE CO Question Map'!C1:H1</f>
        <v>EC118_CO1</v>
      </c>
      <c r="C1" t="str">
        <v>EC118_CO2</v>
      </c>
      <c r="D1" t="str">
        <v>EC118_CO3</v>
      </c>
      <c r="E1" t="str">
        <v>EC118_CO4</v>
      </c>
      <c r="F1" t="str">
        <v>EC118_CO5</v>
      </c>
      <c r="G1" t="str">
        <v>EC118_CO6</v>
      </c>
    </row>
    <row r="2" spans="1:7" x14ac:dyDescent="0.3">
      <c r="A2" t="str">
        <v>2010990089 </v>
      </c>
      <c r="B2" t="str" cm="1">
        <f t="array" ref="B2:B19">_xlfn.BYROW('ETE Student Attainment percent'!B2:INDEX('ETE Student Attainment percent'!B:B,COUNTA('ETE Student Attainment percent'!B:B)),_xlfn.LAMBDA(_xlpm.score,_xlfn.IFS(_xlpm.score="NA","NA",_xlpm.score&gt;='OBE Details'!$B$5,"Y",_xlpm.score&lt;'OBE Details'!$B$5,"N")))</f>
        <v>Y</v>
      </c>
      <c r="C2" t="str" cm="1">
        <f t="array" ref="C2:C19">_xlfn.BYROW('ETE Student Attainment percent'!C2:INDEX('ETE Student Attainment percent'!C:C,COUNTA('ETE Student Attainment percent'!C:C)),_xlfn.LAMBDA(_xlpm.score,_xlfn.IFS(_xlpm.score="NA","NA",_xlpm.score&gt;='OBE Details'!$B$5,"Y",_xlpm.score&lt;'OBE Details'!$B$5,"N")))</f>
        <v>Y</v>
      </c>
      <c r="D2" t="str" cm="1">
        <f t="array" ref="D2:D19">_xlfn.BYROW('ETE Student Attainment percent'!D2:INDEX('ETE Student Attainment percent'!D:D,COUNTA('ETE Student Attainment percent'!D:D)),_xlfn.LAMBDA(_xlpm.score,_xlfn.IFS(_xlpm.score="NA","NA",_xlpm.score&gt;='OBE Details'!$B$5,"Y",_xlpm.score&lt;'OBE Details'!$B$5,"N")))</f>
        <v>Y</v>
      </c>
      <c r="E2" t="str" cm="1">
        <f t="array" ref="E2:E19">_xlfn.BYROW('ETE Student Attainment percent'!E2:INDEX('ETE Student Attainment percent'!E:E,COUNTA('ETE Student Attainment percent'!E:E)),_xlfn.LAMBDA(_xlpm.score,_xlfn.IFS(_xlpm.score="NA","NA",_xlpm.score&gt;='OBE Details'!$B$5,"Y",_xlpm.score&lt;'OBE Details'!$B$5,"N")))</f>
        <v>NA</v>
      </c>
      <c r="F2" t="str" cm="1">
        <f t="array" ref="F2:F19">_xlfn.BYROW('ETE Student Attainment percent'!F2:INDEX('ETE Student Attainment percent'!F:F,COUNTA('ETE Student Attainment percent'!F:F)),_xlfn.LAMBDA(_xlpm.score,_xlfn.IFS(_xlpm.score="NA","NA",_xlpm.score&gt;='OBE Details'!$B$5,"Y",_xlpm.score&lt;'OBE Details'!$B$5,"N")))</f>
        <v>NA</v>
      </c>
      <c r="G2" t="str" cm="1">
        <f t="array" ref="G2:G19">_xlfn.BYROW('ETE Student Attainment percent'!G2:INDEX('ETE Student Attainment percent'!G:G,COUNTA('ETE Student Attainment percent'!G:G)),_xlfn.LAMBDA(_xlpm.score,_xlfn.IFS(_xlpm.score="NA","NA",_xlpm.score&gt;='OBE Details'!$B$5,"Y",_xlpm.score&lt;'OBE Details'!$B$5,"N")))</f>
        <v>NA</v>
      </c>
    </row>
    <row r="3" spans="1:7" x14ac:dyDescent="0.3">
      <c r="A3" t="str">
        <v>2010992002 </v>
      </c>
      <c r="B3" t="str">
        <v>Y</v>
      </c>
      <c r="C3" t="str">
        <v>Y</v>
      </c>
      <c r="D3" t="str">
        <v>Y</v>
      </c>
      <c r="E3" t="str">
        <v>NA</v>
      </c>
      <c r="F3" t="str">
        <v>NA</v>
      </c>
      <c r="G3" t="str">
        <v>NA</v>
      </c>
    </row>
    <row r="4" spans="1:7" x14ac:dyDescent="0.3">
      <c r="A4" t="str">
        <v>2010992004 </v>
      </c>
      <c r="B4" t="str">
        <v>Y</v>
      </c>
      <c r="C4" t="str">
        <v>Y</v>
      </c>
      <c r="D4" t="str">
        <v>N</v>
      </c>
      <c r="E4" t="str">
        <v>NA</v>
      </c>
      <c r="F4" t="str">
        <v>NA</v>
      </c>
      <c r="G4" t="str">
        <v>NA</v>
      </c>
    </row>
    <row r="5" spans="1:7" x14ac:dyDescent="0.3">
      <c r="A5" t="str">
        <v>2010992005 </v>
      </c>
      <c r="B5" t="str">
        <v>N</v>
      </c>
      <c r="C5" t="str">
        <v>Y</v>
      </c>
      <c r="D5" t="str">
        <v>Y</v>
      </c>
      <c r="E5" t="str">
        <v>NA</v>
      </c>
      <c r="F5" t="str">
        <v>NA</v>
      </c>
      <c r="G5" t="str">
        <v>NA</v>
      </c>
    </row>
    <row r="6" spans="1:7" x14ac:dyDescent="0.3">
      <c r="A6" t="str">
        <v>2010992006 </v>
      </c>
      <c r="B6" t="str">
        <v>N</v>
      </c>
      <c r="C6" t="str">
        <v>Y</v>
      </c>
      <c r="D6" t="str">
        <v>Y</v>
      </c>
      <c r="E6" t="str">
        <v>NA</v>
      </c>
      <c r="F6" t="str">
        <v>NA</v>
      </c>
      <c r="G6" t="str">
        <v>NA</v>
      </c>
    </row>
    <row r="7" spans="1:7" x14ac:dyDescent="0.3">
      <c r="A7" t="str">
        <v>2010992008 </v>
      </c>
      <c r="B7" t="str">
        <v>N</v>
      </c>
      <c r="C7" t="str">
        <v>Y</v>
      </c>
      <c r="D7" t="str">
        <v>Y</v>
      </c>
      <c r="E7" t="str">
        <v>NA</v>
      </c>
      <c r="F7" t="str">
        <v>NA</v>
      </c>
      <c r="G7" t="str">
        <v>NA</v>
      </c>
    </row>
    <row r="8" spans="1:7" x14ac:dyDescent="0.3">
      <c r="A8" t="str">
        <v>2010992009 </v>
      </c>
      <c r="B8" t="str">
        <v>Y</v>
      </c>
      <c r="C8" t="str">
        <v>Y</v>
      </c>
      <c r="D8" t="str">
        <v>Y</v>
      </c>
      <c r="E8" t="str">
        <v>NA</v>
      </c>
      <c r="F8" t="str">
        <v>NA</v>
      </c>
      <c r="G8" t="str">
        <v>NA</v>
      </c>
    </row>
    <row r="9" spans="1:7" x14ac:dyDescent="0.3">
      <c r="A9" t="str">
        <v>2010992010 </v>
      </c>
      <c r="B9" t="str">
        <v>Y</v>
      </c>
      <c r="C9" t="str">
        <v>Y</v>
      </c>
      <c r="D9" t="str">
        <v>N</v>
      </c>
      <c r="E9" t="str">
        <v>NA</v>
      </c>
      <c r="F9" t="str">
        <v>NA</v>
      </c>
      <c r="G9" t="str">
        <v>NA</v>
      </c>
    </row>
    <row r="10" spans="1:7" x14ac:dyDescent="0.3">
      <c r="A10" t="str">
        <v>2010992011 </v>
      </c>
      <c r="B10" t="str">
        <v>Y</v>
      </c>
      <c r="C10" t="str">
        <v>Y</v>
      </c>
      <c r="D10" t="str">
        <v>Y</v>
      </c>
      <c r="E10" t="str">
        <v>NA</v>
      </c>
      <c r="F10" t="str">
        <v>NA</v>
      </c>
      <c r="G10" t="str">
        <v>NA</v>
      </c>
    </row>
    <row r="11" spans="1:7" x14ac:dyDescent="0.3">
      <c r="A11" t="str">
        <v>2010992012 </v>
      </c>
      <c r="B11" t="str">
        <v>N</v>
      </c>
      <c r="C11" t="str">
        <v>Y</v>
      </c>
      <c r="D11" t="str">
        <v>Y</v>
      </c>
      <c r="E11" t="str">
        <v>NA</v>
      </c>
      <c r="F11" t="str">
        <v>NA</v>
      </c>
      <c r="G11" t="str">
        <v>NA</v>
      </c>
    </row>
    <row r="12" spans="1:7" x14ac:dyDescent="0.3">
      <c r="A12" t="str">
        <v>2010992014 </v>
      </c>
      <c r="B12" t="str">
        <v>Y</v>
      </c>
      <c r="C12" t="str">
        <v>Y</v>
      </c>
      <c r="D12" t="str">
        <v>N</v>
      </c>
      <c r="E12" t="str">
        <v>NA</v>
      </c>
      <c r="F12" t="str">
        <v>NA</v>
      </c>
      <c r="G12" t="str">
        <v>NA</v>
      </c>
    </row>
    <row r="13" spans="1:7" x14ac:dyDescent="0.3">
      <c r="A13" t="str">
        <v>2010992015 </v>
      </c>
      <c r="B13" t="str">
        <v>Y</v>
      </c>
      <c r="C13" t="str">
        <v>Y</v>
      </c>
      <c r="D13" t="str">
        <v>N</v>
      </c>
      <c r="E13" t="str">
        <v>NA</v>
      </c>
      <c r="F13" t="str">
        <v>NA</v>
      </c>
      <c r="G13" t="str">
        <v>NA</v>
      </c>
    </row>
    <row r="14" spans="1:7" x14ac:dyDescent="0.3">
      <c r="A14" t="str">
        <v>2010992016 </v>
      </c>
      <c r="B14" t="str">
        <v>Y</v>
      </c>
      <c r="C14" t="str">
        <v>Y</v>
      </c>
      <c r="D14" t="str">
        <v>Y</v>
      </c>
      <c r="E14" t="str">
        <v>NA</v>
      </c>
      <c r="F14" t="str">
        <v>NA</v>
      </c>
      <c r="G14" t="str">
        <v>NA</v>
      </c>
    </row>
    <row r="15" spans="1:7" x14ac:dyDescent="0.3">
      <c r="A15" t="str">
        <v>2010992017 </v>
      </c>
      <c r="B15" t="str">
        <v>Y</v>
      </c>
      <c r="C15" t="str">
        <v>Y</v>
      </c>
      <c r="D15" t="str">
        <v>N</v>
      </c>
      <c r="E15" t="str">
        <v>NA</v>
      </c>
      <c r="F15" t="str">
        <v>NA</v>
      </c>
      <c r="G15" t="str">
        <v>NA</v>
      </c>
    </row>
    <row r="16" spans="1:7" x14ac:dyDescent="0.3">
      <c r="A16" t="str">
        <v>2010992018 </v>
      </c>
      <c r="B16" t="str">
        <v>Y</v>
      </c>
      <c r="C16" t="str">
        <v>Y</v>
      </c>
      <c r="D16" t="str">
        <v>N</v>
      </c>
      <c r="E16" t="str">
        <v>NA</v>
      </c>
      <c r="F16" t="str">
        <v>NA</v>
      </c>
      <c r="G16" t="str">
        <v>NA</v>
      </c>
    </row>
    <row r="17" spans="1:7" x14ac:dyDescent="0.3">
      <c r="A17" t="str">
        <v>2010992163 </v>
      </c>
      <c r="B17" t="str">
        <v>Y</v>
      </c>
      <c r="C17" t="str">
        <v>Y</v>
      </c>
      <c r="D17" t="str">
        <v>Y</v>
      </c>
      <c r="E17" t="str">
        <v>NA</v>
      </c>
      <c r="F17" t="str">
        <v>NA</v>
      </c>
      <c r="G17" t="str">
        <v>NA</v>
      </c>
    </row>
    <row r="18" spans="1:7" x14ac:dyDescent="0.3">
      <c r="A18" t="str">
        <v>2010992202 </v>
      </c>
      <c r="B18" t="str">
        <v>N</v>
      </c>
      <c r="C18" t="str">
        <v>Y</v>
      </c>
      <c r="D18" t="str">
        <v>Y</v>
      </c>
      <c r="E18" t="str">
        <v>NA</v>
      </c>
      <c r="F18" t="str">
        <v>NA</v>
      </c>
      <c r="G18" t="str">
        <v>NA</v>
      </c>
    </row>
    <row r="19" spans="1:7" x14ac:dyDescent="0.3">
      <c r="A19" t="str">
        <v>2010992203 </v>
      </c>
      <c r="B19" t="str">
        <v>Y</v>
      </c>
      <c r="C19" t="str">
        <v>Y</v>
      </c>
      <c r="D19" t="str">
        <v>Y</v>
      </c>
      <c r="E19" t="str">
        <v>NA</v>
      </c>
      <c r="F19" t="str">
        <v>NA</v>
      </c>
      <c r="G19" t="str">
        <v>NA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642CD-2208-475E-9F96-344335A5CC2C}">
  <sheetPr codeName="Sheet38">
    <tabColor rgb="FF00B0F0"/>
  </sheetPr>
  <dimension ref="A1:AE20"/>
  <sheetViews>
    <sheetView zoomScale="70" zoomScaleNormal="70" workbookViewId="0">
      <selection activeCell="A2" sqref="A2"/>
    </sheetView>
  </sheetViews>
  <sheetFormatPr defaultColWidth="13.33203125" defaultRowHeight="14.4" x14ac:dyDescent="0.3"/>
  <cols>
    <col min="1" max="1" width="22.44140625" style="19" bestFit="1" customWidth="1"/>
    <col min="2" max="2" width="13.33203125" style="27"/>
    <col min="3" max="5" width="13.33203125" style="29"/>
    <col min="6" max="6" width="13.33203125" style="30"/>
    <col min="7" max="7" width="13.33203125" style="27"/>
    <col min="8" max="10" width="13.33203125" style="29"/>
    <col min="11" max="11" width="13.33203125" style="30"/>
    <col min="12" max="12" width="13.33203125" style="27"/>
    <col min="13" max="15" width="13.33203125" style="29"/>
    <col min="16" max="16" width="13.33203125" style="30"/>
    <col min="17" max="17" width="13.33203125" style="27"/>
    <col min="18" max="20" width="13.33203125" style="29"/>
    <col min="21" max="21" width="13.33203125" style="30"/>
    <col min="22" max="22" width="13.33203125" style="27"/>
    <col min="23" max="25" width="13.33203125" style="29"/>
    <col min="26" max="26" width="13.33203125" style="30"/>
    <col min="27" max="27" width="13.33203125" style="27"/>
    <col min="28" max="30" width="13.33203125" style="29"/>
    <col min="31" max="31" width="13.33203125" style="30"/>
  </cols>
  <sheetData>
    <row r="1" spans="1:31" ht="15" thickBot="1" x14ac:dyDescent="0.35">
      <c r="A1" s="19" t="s">
        <v>88</v>
      </c>
      <c r="B1" s="105" t="str">
        <f>'ST1 CO Question Map'!C1</f>
        <v>EC118_CO1</v>
      </c>
      <c r="C1" s="106"/>
      <c r="D1" s="106"/>
      <c r="E1" s="106"/>
      <c r="F1" s="107"/>
      <c r="G1" s="105" t="str">
        <f>'ST1 CO Question Map'!D1</f>
        <v>EC118_CO2</v>
      </c>
      <c r="H1" s="106"/>
      <c r="I1" s="106"/>
      <c r="J1" s="106"/>
      <c r="K1" s="107"/>
      <c r="L1" s="105" t="str">
        <f>'ST1 CO Question Map'!E1</f>
        <v>EC118_CO3</v>
      </c>
      <c r="M1" s="106"/>
      <c r="N1" s="106"/>
      <c r="O1" s="106"/>
      <c r="P1" s="107"/>
      <c r="Q1" s="105" t="str">
        <f>'ST1 CO Question Map'!F1</f>
        <v>EC118_CO4</v>
      </c>
      <c r="R1" s="106"/>
      <c r="S1" s="106"/>
      <c r="T1" s="106"/>
      <c r="U1" s="107"/>
      <c r="V1" s="105" t="str">
        <f>'ST1 CO Question Map'!G1</f>
        <v>EC118_CO5</v>
      </c>
      <c r="W1" s="106"/>
      <c r="X1" s="106"/>
      <c r="Y1" s="106"/>
      <c r="Z1" s="107"/>
      <c r="AA1" s="105" t="str">
        <f>'ST1 CO Question Map'!H1</f>
        <v>EC118_CO6</v>
      </c>
      <c r="AB1" s="106"/>
      <c r="AC1" s="106"/>
      <c r="AD1" s="106"/>
      <c r="AE1" s="107"/>
    </row>
    <row r="2" spans="1:31" ht="15" thickBot="1" x14ac:dyDescent="0.35">
      <c r="A2" s="20" t="str" cm="1">
        <f t="array" ref="A2:A20">'ST1 Result'!$B$1:INDEX('ST1 Result'!$B:$B,COUNTA('ST1 Result'!$B:$B))</f>
        <v>Admission No. (Roll No.)</v>
      </c>
      <c r="B2" s="22" t="s">
        <v>89</v>
      </c>
      <c r="C2" s="23" t="s">
        <v>90</v>
      </c>
      <c r="D2" s="24" t="s">
        <v>91</v>
      </c>
      <c r="E2" s="23" t="s">
        <v>92</v>
      </c>
      <c r="F2" s="25" t="s">
        <v>93</v>
      </c>
      <c r="G2" s="22" t="s">
        <v>89</v>
      </c>
      <c r="H2" s="23" t="s">
        <v>90</v>
      </c>
      <c r="I2" s="24" t="s">
        <v>91</v>
      </c>
      <c r="J2" s="23" t="s">
        <v>92</v>
      </c>
      <c r="K2" s="25" t="s">
        <v>93</v>
      </c>
      <c r="L2" s="22" t="s">
        <v>89</v>
      </c>
      <c r="M2" s="23" t="s">
        <v>90</v>
      </c>
      <c r="N2" s="24" t="s">
        <v>91</v>
      </c>
      <c r="O2" s="23" t="s">
        <v>92</v>
      </c>
      <c r="P2" s="25" t="s">
        <v>93</v>
      </c>
      <c r="Q2" s="22" t="s">
        <v>89</v>
      </c>
      <c r="R2" s="23" t="s">
        <v>90</v>
      </c>
      <c r="S2" s="24" t="s">
        <v>91</v>
      </c>
      <c r="T2" s="23" t="s">
        <v>92</v>
      </c>
      <c r="U2" s="25" t="s">
        <v>93</v>
      </c>
      <c r="V2" s="22" t="s">
        <v>89</v>
      </c>
      <c r="W2" s="23" t="s">
        <v>90</v>
      </c>
      <c r="X2" s="24" t="s">
        <v>91</v>
      </c>
      <c r="Y2" s="23" t="s">
        <v>92</v>
      </c>
      <c r="Z2" s="25" t="s">
        <v>93</v>
      </c>
      <c r="AA2" s="22" t="s">
        <v>89</v>
      </c>
      <c r="AB2" s="23" t="s">
        <v>90</v>
      </c>
      <c r="AC2" s="24" t="s">
        <v>91</v>
      </c>
      <c r="AD2" s="23" t="s">
        <v>92</v>
      </c>
      <c r="AE2" s="25" t="s">
        <v>93</v>
      </c>
    </row>
    <row r="3" spans="1:31" x14ac:dyDescent="0.3">
      <c r="A3" s="21" t="str">
        <v>2010990089 </v>
      </c>
      <c r="B3" s="26" cm="1">
        <f t="array" ref="B3:B20">'ST1 Student MO CO Score'!$B$2:INDEX('ST1 Student MO CO Score'!$B:$B,COUNTA('ST1 Student MO CO Score'!$B:$B))</f>
        <v>40</v>
      </c>
      <c r="C3" s="28" cm="1">
        <f t="array" ref="C3:C20">'ST1 Student Attained CO Score'!$B$2:INDEX('ST1 Student Attained CO Score'!$B:$B,COUNTA('ST1 Student Attained CO Score'!$B:$B))</f>
        <v>24</v>
      </c>
      <c r="D3" s="28" cm="1">
        <f t="array" ref="D3:D20">IFERROR(ROUND('ST1 Student Attainment percent'!$B$2:INDEX('ST1 Student Attainment percent'!$B:$B,COUNTA('ST1 Student Attainment percent'!$B:$B)),2),"NA")</f>
        <v>60</v>
      </c>
      <c r="E3" s="28" cm="1">
        <f t="array" ref="E3:E20">'ST1 CO Attainment Score'!$B$2:INDEX('ST1 CO Attainment Score'!$B:$B,COUNTA('ST1 CO Attainment Score'!$B:$B))</f>
        <v>3</v>
      </c>
      <c r="F3" s="30" t="str" cm="1">
        <f t="array" ref="F3:F20">'ST1 Target Attained'!$B$2:INDEX('ST1 Target Attained'!$B:$B,COUNTA('ST1 Target Attained'!$B:$B))</f>
        <v>Y</v>
      </c>
      <c r="G3" s="26" cm="1">
        <f t="array" ref="G3:G20">'ST1 Student MO CO Score'!$C$2:INDEX('ST1 Student MO CO Score'!$C:$C,COUNTA('ST1 Student MO CO Score'!$C:$C))</f>
        <v>25</v>
      </c>
      <c r="H3" s="28" cm="1">
        <f t="array" ref="H3:H20">'ST1 Student Attained CO Score'!$C$2:INDEX('ST1 Student Attained CO Score'!$C:$C,COUNTA('ST1 Student Attained CO Score'!$C:$C))</f>
        <v>22</v>
      </c>
      <c r="I3" s="28" cm="1">
        <f t="array" ref="I3:I20">IFERROR(ROUND('ST1 Student Attainment percent'!$C$2:INDEX('ST1 Student Attainment percent'!$C:$C,COUNTA('ST1 Student Attainment percent'!$C:$C)),2),"NA")</f>
        <v>88</v>
      </c>
      <c r="J3" s="28" cm="1">
        <f t="array" ref="J3:J20">'ST1 CO Attainment Score'!$C$2:INDEX('ST1 CO Attainment Score'!$C:$C,COUNTA('ST1 CO Attainment Score'!$C:$C))</f>
        <v>3</v>
      </c>
      <c r="K3" s="30" t="str" cm="1">
        <f t="array" ref="K3:K20">'ST1 Target Attained'!$C$2:INDEX('ST1 Target Attained'!$C:$C,COUNTA('ST1 Target Attained'!$C:$C))</f>
        <v>Y</v>
      </c>
      <c r="L3" s="26" cm="1">
        <f t="array" ref="L3:L20">'ST1 Student MO CO Score'!$D$2:INDEX('ST1 Student MO CO Score'!$D:$D,COUNTA('ST1 Student MO CO Score'!$D:$D))</f>
        <v>10</v>
      </c>
      <c r="M3" s="28" cm="1">
        <f t="array" ref="M3:M20">'ST1 Student Attained CO Score'!$D$2:INDEX('ST1 Student Attained CO Score'!$D:$D,COUNTA('ST1 Student Attained CO Score'!$D:$D))</f>
        <v>1</v>
      </c>
      <c r="N3" s="28" cm="1">
        <f t="array" ref="N3:N20">IFERROR(ROUND('ST1 Student Attainment percent'!$D$2:INDEX('ST1 Student Attainment percent'!$D:$D,COUNTA('ST1 Student Attainment percent'!$D:$D)),2),"NA")</f>
        <v>10</v>
      </c>
      <c r="O3" s="28" cm="1">
        <f t="array" ref="O3:O20">'ST1 CO Attainment Score'!$D$2:INDEX('ST1 CO Attainment Score'!$D:$D,COUNTA('ST1 CO Attainment Score'!$D:$D))</f>
        <v>0</v>
      </c>
      <c r="P3" s="30" t="str" cm="1">
        <f t="array" ref="P3:P20">'ST1 Target Attained'!$D$2:INDEX('ST1 Target Attained'!$D:$D,COUNTA('ST1 Target Attained'!$D:$D))</f>
        <v>N</v>
      </c>
      <c r="Q3" s="26" cm="1">
        <f t="array" ref="Q3:Q20">'ST1 Student MO CO Score'!$E$2:INDEX('ST1 Student MO CO Score'!$E:$E,COUNTA('ST1 Student MO CO Score'!$E:$E))</f>
        <v>0</v>
      </c>
      <c r="R3" s="28" cm="1">
        <f t="array" ref="R3:R20">'ST1 Student Attained CO Score'!$E$2:INDEX('ST1 Student Attained CO Score'!$E:$E,COUNTA('ST1 Student Attained CO Score'!$E:$E))</f>
        <v>0</v>
      </c>
      <c r="S3" s="28" t="str" cm="1">
        <f t="array" ref="S3:S20">IFERROR(ROUND('ST1 Student Attainment percent'!$E$2:INDEX('ST1 Student Attainment percent'!$E:$E,COUNTA('ST1 Student Attainment percent'!$E:$E)),2),"NA")</f>
        <v>NA</v>
      </c>
      <c r="T3" s="28" t="str" cm="1">
        <f t="array" ref="T3:T20">'ST1 CO Attainment Score'!$E$2:INDEX('ST1 CO Attainment Score'!$E:$E,COUNTA('ST1 CO Attainment Score'!$E:$E))</f>
        <v>NA</v>
      </c>
      <c r="U3" s="30" t="str" cm="1">
        <f t="array" ref="U3:U20">'ST1 Target Attained'!$E$2:INDEX('ST1 Target Attained'!$E:$E,COUNTA('ST1 Target Attained'!$E:$E))</f>
        <v>NA</v>
      </c>
      <c r="V3" s="26" cm="1">
        <f t="array" ref="V3:V20">'ST1 Student MO CO Score'!$F$2:INDEX('ST1 Student MO CO Score'!$F:$F,COUNTA('ST1 Student MO CO Score'!$F:$F))</f>
        <v>0</v>
      </c>
      <c r="W3" s="28" cm="1">
        <f t="array" ref="W3:W20">'ST1 Student Attained CO Score'!$F$2:INDEX('ST1 Student Attained CO Score'!$F:$F,COUNTA('ST1 Student Attained CO Score'!$F:$F))</f>
        <v>0</v>
      </c>
      <c r="X3" s="28" t="str" cm="1">
        <f t="array" ref="X3:X20">IFERROR(ROUND('ST1 Student Attainment percent'!$F$2:INDEX('ST1 Student Attainment percent'!$F:$F,COUNTA('ST1 Student Attainment percent'!$F:$F)),2),"NA")</f>
        <v>NA</v>
      </c>
      <c r="Y3" s="28" t="str" cm="1">
        <f t="array" ref="Y3:Y20">'ST1 CO Attainment Score'!$F$2:INDEX('ST1 CO Attainment Score'!$F:$F,COUNTA('ST1 CO Attainment Score'!$F:$F))</f>
        <v>NA</v>
      </c>
      <c r="Z3" s="30" t="str" cm="1">
        <f t="array" ref="Z3:Z20">'ST1 Target Attained'!$F$2:INDEX('ST1 Target Attained'!$F:$F,COUNTA('ST1 Target Attained'!$F:$F))</f>
        <v>NA</v>
      </c>
      <c r="AA3" s="26" cm="1">
        <f t="array" ref="AA3:AA20">'ST1 Student MO CO Score'!$G$2:INDEX('ST1 Student MO CO Score'!$G:$G,COUNTA('ST1 Student MO CO Score'!$G:$G))</f>
        <v>0</v>
      </c>
      <c r="AB3" s="28" cm="1">
        <f t="array" ref="AB3:AB20">'ST1 Student Attained CO Score'!$G$2:INDEX('ST1 Student Attained CO Score'!$G:$G,COUNTA('ST1 Student Attained CO Score'!$G:$G))</f>
        <v>0</v>
      </c>
      <c r="AC3" s="28" t="str" cm="1">
        <f t="array" ref="AC3:AC20">IFERROR(ROUND('ST1 Student Attainment percent'!$G$2:INDEX('ST1 Student Attainment percent'!$G:$G,COUNTA('ST1 Student Attainment percent'!$G:$G)),2),"NA")</f>
        <v>NA</v>
      </c>
      <c r="AD3" s="28" t="str" cm="1">
        <f t="array" ref="AD3:AD20">'ST1 CO Attainment Score'!$G$2:INDEX('ST1 CO Attainment Score'!$G:$G,COUNTA('ST1 CO Attainment Score'!$G:$G))</f>
        <v>NA</v>
      </c>
      <c r="AE3" s="30" t="str" cm="1">
        <f t="array" ref="AE3:AE20">'ST1 Target Attained'!$G$2:INDEX('ST1 Target Attained'!$G:$G,COUNTA('ST1 Target Attained'!$G:$G))</f>
        <v>NA</v>
      </c>
    </row>
    <row r="4" spans="1:31" x14ac:dyDescent="0.3">
      <c r="A4" s="19" t="str">
        <v>2010992002 </v>
      </c>
      <c r="B4" s="27">
        <v>40</v>
      </c>
      <c r="C4" s="29">
        <v>38</v>
      </c>
      <c r="D4" s="29">
        <v>95</v>
      </c>
      <c r="E4" s="29">
        <v>3</v>
      </c>
      <c r="F4" s="30" t="str">
        <v>Y</v>
      </c>
      <c r="G4" s="27">
        <v>25</v>
      </c>
      <c r="H4" s="29">
        <v>25</v>
      </c>
      <c r="I4" s="29">
        <v>100</v>
      </c>
      <c r="J4" s="29">
        <v>3</v>
      </c>
      <c r="K4" s="30" t="str">
        <v>Y</v>
      </c>
      <c r="L4" s="27">
        <v>10</v>
      </c>
      <c r="M4" s="29">
        <v>8</v>
      </c>
      <c r="N4" s="29">
        <v>80</v>
      </c>
      <c r="O4" s="29">
        <v>3</v>
      </c>
      <c r="P4" s="30" t="str">
        <v>Y</v>
      </c>
      <c r="Q4" s="27">
        <v>0</v>
      </c>
      <c r="R4" s="29">
        <v>0</v>
      </c>
      <c r="S4" s="29" t="str">
        <v>NA</v>
      </c>
      <c r="T4" s="29" t="str">
        <v>NA</v>
      </c>
      <c r="U4" s="30" t="str">
        <v>NA</v>
      </c>
      <c r="V4" s="27">
        <v>0</v>
      </c>
      <c r="W4" s="29">
        <v>0</v>
      </c>
      <c r="X4" s="29" t="str">
        <v>NA</v>
      </c>
      <c r="Y4" s="29" t="str">
        <v>NA</v>
      </c>
      <c r="Z4" s="30" t="str">
        <v>NA</v>
      </c>
      <c r="AA4" s="27">
        <v>0</v>
      </c>
      <c r="AB4" s="29">
        <v>0</v>
      </c>
      <c r="AC4" s="29" t="str">
        <v>NA</v>
      </c>
      <c r="AD4" s="29" t="str">
        <v>NA</v>
      </c>
      <c r="AE4" s="30" t="str">
        <v>NA</v>
      </c>
    </row>
    <row r="5" spans="1:31" x14ac:dyDescent="0.3">
      <c r="A5" s="19" t="str">
        <v>2010992004 </v>
      </c>
      <c r="B5" s="27">
        <v>30</v>
      </c>
      <c r="C5" s="29">
        <v>24</v>
      </c>
      <c r="D5" s="29">
        <v>80</v>
      </c>
      <c r="E5" s="29">
        <v>3</v>
      </c>
      <c r="F5" s="30" t="str">
        <v>Y</v>
      </c>
      <c r="G5" s="27">
        <v>25</v>
      </c>
      <c r="H5" s="29">
        <v>17</v>
      </c>
      <c r="I5" s="29">
        <v>68</v>
      </c>
      <c r="J5" s="29">
        <v>3</v>
      </c>
      <c r="K5" s="30" t="str">
        <v>Y</v>
      </c>
      <c r="L5" s="27">
        <v>0</v>
      </c>
      <c r="M5" s="29">
        <v>0</v>
      </c>
      <c r="N5" s="29" t="str">
        <v>NA</v>
      </c>
      <c r="O5" s="29" t="str">
        <v>NA</v>
      </c>
      <c r="P5" s="30" t="str">
        <v>NA</v>
      </c>
      <c r="Q5" s="27">
        <v>0</v>
      </c>
      <c r="R5" s="29">
        <v>0</v>
      </c>
      <c r="S5" s="29" t="str">
        <v>NA</v>
      </c>
      <c r="T5" s="29" t="str">
        <v>NA</v>
      </c>
      <c r="U5" s="30" t="str">
        <v>NA</v>
      </c>
      <c r="V5" s="27">
        <v>0</v>
      </c>
      <c r="W5" s="29">
        <v>0</v>
      </c>
      <c r="X5" s="29" t="str">
        <v>NA</v>
      </c>
      <c r="Y5" s="29" t="str">
        <v>NA</v>
      </c>
      <c r="Z5" s="30" t="str">
        <v>NA</v>
      </c>
      <c r="AA5" s="27">
        <v>0</v>
      </c>
      <c r="AB5" s="29">
        <v>0</v>
      </c>
      <c r="AC5" s="29" t="str">
        <v>NA</v>
      </c>
      <c r="AD5" s="29" t="str">
        <v>NA</v>
      </c>
      <c r="AE5" s="30" t="str">
        <v>NA</v>
      </c>
    </row>
    <row r="6" spans="1:31" x14ac:dyDescent="0.3">
      <c r="A6" s="19" t="str">
        <v>2010992005 </v>
      </c>
      <c r="B6" s="27">
        <v>40</v>
      </c>
      <c r="C6" s="29">
        <v>27</v>
      </c>
      <c r="D6" s="29">
        <v>67.5</v>
      </c>
      <c r="E6" s="29">
        <v>3</v>
      </c>
      <c r="F6" s="30" t="str">
        <v>Y</v>
      </c>
      <c r="G6" s="27">
        <v>15</v>
      </c>
      <c r="H6" s="29">
        <v>12</v>
      </c>
      <c r="I6" s="29">
        <v>80</v>
      </c>
      <c r="J6" s="29">
        <v>3</v>
      </c>
      <c r="K6" s="30" t="str">
        <v>Y</v>
      </c>
      <c r="L6" s="27">
        <v>10</v>
      </c>
      <c r="M6" s="29">
        <v>1</v>
      </c>
      <c r="N6" s="29">
        <v>10</v>
      </c>
      <c r="O6" s="29">
        <v>0</v>
      </c>
      <c r="P6" s="30" t="str">
        <v>N</v>
      </c>
      <c r="Q6" s="27">
        <v>0</v>
      </c>
      <c r="R6" s="29">
        <v>0</v>
      </c>
      <c r="S6" s="29" t="str">
        <v>NA</v>
      </c>
      <c r="T6" s="29" t="str">
        <v>NA</v>
      </c>
      <c r="U6" s="30" t="str">
        <v>NA</v>
      </c>
      <c r="V6" s="27">
        <v>0</v>
      </c>
      <c r="W6" s="29">
        <v>0</v>
      </c>
      <c r="X6" s="29" t="str">
        <v>NA</v>
      </c>
      <c r="Y6" s="29" t="str">
        <v>NA</v>
      </c>
      <c r="Z6" s="30" t="str">
        <v>NA</v>
      </c>
      <c r="AA6" s="27">
        <v>0</v>
      </c>
      <c r="AB6" s="29">
        <v>0</v>
      </c>
      <c r="AC6" s="29" t="str">
        <v>NA</v>
      </c>
      <c r="AD6" s="29" t="str">
        <v>NA</v>
      </c>
      <c r="AE6" s="30" t="str">
        <v>NA</v>
      </c>
    </row>
    <row r="7" spans="1:31" x14ac:dyDescent="0.3">
      <c r="A7" s="19" t="str">
        <v>2010992006 </v>
      </c>
      <c r="B7" s="27">
        <v>35</v>
      </c>
      <c r="C7" s="29">
        <v>25</v>
      </c>
      <c r="D7" s="29">
        <v>71.430000000000007</v>
      </c>
      <c r="E7" s="29">
        <v>3</v>
      </c>
      <c r="F7" s="30" t="str">
        <v>Y</v>
      </c>
      <c r="G7" s="27">
        <v>20</v>
      </c>
      <c r="H7" s="29">
        <v>15</v>
      </c>
      <c r="I7" s="29">
        <v>75</v>
      </c>
      <c r="J7" s="29">
        <v>3</v>
      </c>
      <c r="K7" s="30" t="str">
        <v>Y</v>
      </c>
      <c r="L7" s="27">
        <v>0</v>
      </c>
      <c r="M7" s="29">
        <v>0</v>
      </c>
      <c r="N7" s="29" t="str">
        <v>NA</v>
      </c>
      <c r="O7" s="29" t="str">
        <v>NA</v>
      </c>
      <c r="P7" s="30" t="str">
        <v>NA</v>
      </c>
      <c r="Q7" s="27">
        <v>0</v>
      </c>
      <c r="R7" s="29">
        <v>0</v>
      </c>
      <c r="S7" s="29" t="str">
        <v>NA</v>
      </c>
      <c r="T7" s="29" t="str">
        <v>NA</v>
      </c>
      <c r="U7" s="30" t="str">
        <v>NA</v>
      </c>
      <c r="V7" s="27">
        <v>0</v>
      </c>
      <c r="W7" s="29">
        <v>0</v>
      </c>
      <c r="X7" s="29" t="str">
        <v>NA</v>
      </c>
      <c r="Y7" s="29" t="str">
        <v>NA</v>
      </c>
      <c r="Z7" s="30" t="str">
        <v>NA</v>
      </c>
      <c r="AA7" s="27">
        <v>0</v>
      </c>
      <c r="AB7" s="29">
        <v>0</v>
      </c>
      <c r="AC7" s="29" t="str">
        <v>NA</v>
      </c>
      <c r="AD7" s="29" t="str">
        <v>NA</v>
      </c>
      <c r="AE7" s="30" t="str">
        <v>NA</v>
      </c>
    </row>
    <row r="8" spans="1:31" x14ac:dyDescent="0.3">
      <c r="A8" s="19" t="str">
        <v>2010992008 </v>
      </c>
      <c r="B8" s="27">
        <v>35</v>
      </c>
      <c r="C8" s="29">
        <v>21</v>
      </c>
      <c r="D8" s="29">
        <v>60</v>
      </c>
      <c r="E8" s="29">
        <v>3</v>
      </c>
      <c r="F8" s="30" t="str">
        <v>Y</v>
      </c>
      <c r="G8" s="27">
        <v>10</v>
      </c>
      <c r="H8" s="29">
        <v>10</v>
      </c>
      <c r="I8" s="29">
        <v>100</v>
      </c>
      <c r="J8" s="29">
        <v>3</v>
      </c>
      <c r="K8" s="30" t="str">
        <v>Y</v>
      </c>
      <c r="L8" s="27">
        <v>10</v>
      </c>
      <c r="M8" s="29">
        <v>1</v>
      </c>
      <c r="N8" s="29">
        <v>10</v>
      </c>
      <c r="O8" s="29">
        <v>0</v>
      </c>
      <c r="P8" s="30" t="str">
        <v>N</v>
      </c>
      <c r="Q8" s="27">
        <v>0</v>
      </c>
      <c r="R8" s="29">
        <v>0</v>
      </c>
      <c r="S8" s="29" t="str">
        <v>NA</v>
      </c>
      <c r="T8" s="29" t="str">
        <v>NA</v>
      </c>
      <c r="U8" s="30" t="str">
        <v>NA</v>
      </c>
      <c r="V8" s="27">
        <v>0</v>
      </c>
      <c r="W8" s="29">
        <v>0</v>
      </c>
      <c r="X8" s="29" t="str">
        <v>NA</v>
      </c>
      <c r="Y8" s="29" t="str">
        <v>NA</v>
      </c>
      <c r="Z8" s="30" t="str">
        <v>NA</v>
      </c>
      <c r="AA8" s="27">
        <v>0</v>
      </c>
      <c r="AB8" s="29">
        <v>0</v>
      </c>
      <c r="AC8" s="29" t="str">
        <v>NA</v>
      </c>
      <c r="AD8" s="29" t="str">
        <v>NA</v>
      </c>
      <c r="AE8" s="30" t="str">
        <v>NA</v>
      </c>
    </row>
    <row r="9" spans="1:31" x14ac:dyDescent="0.3">
      <c r="A9" s="19" t="str">
        <v>2010992009 </v>
      </c>
      <c r="B9" s="27">
        <v>40</v>
      </c>
      <c r="C9" s="29">
        <v>32</v>
      </c>
      <c r="D9" s="29">
        <v>80</v>
      </c>
      <c r="E9" s="29">
        <v>3</v>
      </c>
      <c r="F9" s="30" t="str">
        <v>Y</v>
      </c>
      <c r="G9" s="27">
        <v>25</v>
      </c>
      <c r="H9" s="29">
        <v>25</v>
      </c>
      <c r="I9" s="29">
        <v>100</v>
      </c>
      <c r="J9" s="29">
        <v>3</v>
      </c>
      <c r="K9" s="30" t="str">
        <v>Y</v>
      </c>
      <c r="L9" s="27">
        <v>10</v>
      </c>
      <c r="M9" s="29">
        <v>2</v>
      </c>
      <c r="N9" s="29">
        <v>20</v>
      </c>
      <c r="O9" s="29">
        <v>0</v>
      </c>
      <c r="P9" s="30" t="str">
        <v>N</v>
      </c>
      <c r="Q9" s="27">
        <v>0</v>
      </c>
      <c r="R9" s="29">
        <v>0</v>
      </c>
      <c r="S9" s="29" t="str">
        <v>NA</v>
      </c>
      <c r="T9" s="29" t="str">
        <v>NA</v>
      </c>
      <c r="U9" s="30" t="str">
        <v>NA</v>
      </c>
      <c r="V9" s="27">
        <v>0</v>
      </c>
      <c r="W9" s="29">
        <v>0</v>
      </c>
      <c r="X9" s="29" t="str">
        <v>NA</v>
      </c>
      <c r="Y9" s="29" t="str">
        <v>NA</v>
      </c>
      <c r="Z9" s="30" t="str">
        <v>NA</v>
      </c>
      <c r="AA9" s="27">
        <v>0</v>
      </c>
      <c r="AB9" s="29">
        <v>0</v>
      </c>
      <c r="AC9" s="29" t="str">
        <v>NA</v>
      </c>
      <c r="AD9" s="29" t="str">
        <v>NA</v>
      </c>
      <c r="AE9" s="30" t="str">
        <v>NA</v>
      </c>
    </row>
    <row r="10" spans="1:31" x14ac:dyDescent="0.3">
      <c r="A10" s="19" t="str">
        <v>2010992010 </v>
      </c>
      <c r="B10" s="27">
        <v>40</v>
      </c>
      <c r="C10" s="29">
        <v>27</v>
      </c>
      <c r="D10" s="29">
        <v>67.5</v>
      </c>
      <c r="E10" s="29">
        <v>3</v>
      </c>
      <c r="F10" s="30" t="str">
        <v>Y</v>
      </c>
      <c r="G10" s="27">
        <v>25</v>
      </c>
      <c r="H10" s="29">
        <v>21</v>
      </c>
      <c r="I10" s="29">
        <v>84</v>
      </c>
      <c r="J10" s="29">
        <v>3</v>
      </c>
      <c r="K10" s="30" t="str">
        <v>Y</v>
      </c>
      <c r="L10" s="27">
        <v>10</v>
      </c>
      <c r="M10" s="29">
        <v>1</v>
      </c>
      <c r="N10" s="29">
        <v>10</v>
      </c>
      <c r="O10" s="29">
        <v>0</v>
      </c>
      <c r="P10" s="30" t="str">
        <v>N</v>
      </c>
      <c r="Q10" s="27">
        <v>0</v>
      </c>
      <c r="R10" s="29">
        <v>0</v>
      </c>
      <c r="S10" s="29" t="str">
        <v>NA</v>
      </c>
      <c r="T10" s="29" t="str">
        <v>NA</v>
      </c>
      <c r="U10" s="30" t="str">
        <v>NA</v>
      </c>
      <c r="V10" s="27">
        <v>0</v>
      </c>
      <c r="W10" s="29">
        <v>0</v>
      </c>
      <c r="X10" s="29" t="str">
        <v>NA</v>
      </c>
      <c r="Y10" s="29" t="str">
        <v>NA</v>
      </c>
      <c r="Z10" s="30" t="str">
        <v>NA</v>
      </c>
      <c r="AA10" s="27">
        <v>0</v>
      </c>
      <c r="AB10" s="29">
        <v>0</v>
      </c>
      <c r="AC10" s="29" t="str">
        <v>NA</v>
      </c>
      <c r="AD10" s="29" t="str">
        <v>NA</v>
      </c>
      <c r="AE10" s="30" t="str">
        <v>NA</v>
      </c>
    </row>
    <row r="11" spans="1:31" x14ac:dyDescent="0.3">
      <c r="A11" s="19" t="str">
        <v>2010992011 </v>
      </c>
      <c r="B11" s="27">
        <v>30</v>
      </c>
      <c r="C11" s="29">
        <v>24</v>
      </c>
      <c r="D11" s="29">
        <v>80</v>
      </c>
      <c r="E11" s="29">
        <v>3</v>
      </c>
      <c r="F11" s="30" t="str">
        <v>Y</v>
      </c>
      <c r="G11" s="27">
        <v>20</v>
      </c>
      <c r="H11" s="29">
        <v>14</v>
      </c>
      <c r="I11" s="29">
        <v>70</v>
      </c>
      <c r="J11" s="29">
        <v>3</v>
      </c>
      <c r="K11" s="30" t="str">
        <v>Y</v>
      </c>
      <c r="L11" s="27">
        <v>0</v>
      </c>
      <c r="M11" s="29">
        <v>0</v>
      </c>
      <c r="N11" s="29" t="str">
        <v>NA</v>
      </c>
      <c r="O11" s="29" t="str">
        <v>NA</v>
      </c>
      <c r="P11" s="30" t="str">
        <v>NA</v>
      </c>
      <c r="Q11" s="27">
        <v>0</v>
      </c>
      <c r="R11" s="29">
        <v>0</v>
      </c>
      <c r="S11" s="29" t="str">
        <v>NA</v>
      </c>
      <c r="T11" s="29" t="str">
        <v>NA</v>
      </c>
      <c r="U11" s="30" t="str">
        <v>NA</v>
      </c>
      <c r="V11" s="27">
        <v>0</v>
      </c>
      <c r="W11" s="29">
        <v>0</v>
      </c>
      <c r="X11" s="29" t="str">
        <v>NA</v>
      </c>
      <c r="Y11" s="29" t="str">
        <v>NA</v>
      </c>
      <c r="Z11" s="30" t="str">
        <v>NA</v>
      </c>
      <c r="AA11" s="27">
        <v>0</v>
      </c>
      <c r="AB11" s="29">
        <v>0</v>
      </c>
      <c r="AC11" s="29" t="str">
        <v>NA</v>
      </c>
      <c r="AD11" s="29" t="str">
        <v>NA</v>
      </c>
      <c r="AE11" s="30" t="str">
        <v>NA</v>
      </c>
    </row>
    <row r="12" spans="1:31" x14ac:dyDescent="0.3">
      <c r="A12" s="19" t="str">
        <v>2010992012 </v>
      </c>
      <c r="B12" s="27">
        <v>45</v>
      </c>
      <c r="C12" s="29">
        <v>37</v>
      </c>
      <c r="D12" s="29">
        <v>82.22</v>
      </c>
      <c r="E12" s="29">
        <v>3</v>
      </c>
      <c r="F12" s="30" t="str">
        <v>Y</v>
      </c>
      <c r="G12" s="27">
        <v>20</v>
      </c>
      <c r="H12" s="29">
        <v>20</v>
      </c>
      <c r="I12" s="29">
        <v>100</v>
      </c>
      <c r="J12" s="29">
        <v>3</v>
      </c>
      <c r="K12" s="30" t="str">
        <v>Y</v>
      </c>
      <c r="L12" s="27">
        <v>10</v>
      </c>
      <c r="M12" s="29">
        <v>2</v>
      </c>
      <c r="N12" s="29">
        <v>20</v>
      </c>
      <c r="O12" s="29">
        <v>0</v>
      </c>
      <c r="P12" s="30" t="str">
        <v>N</v>
      </c>
      <c r="Q12" s="27">
        <v>0</v>
      </c>
      <c r="R12" s="29">
        <v>0</v>
      </c>
      <c r="S12" s="29" t="str">
        <v>NA</v>
      </c>
      <c r="T12" s="29" t="str">
        <v>NA</v>
      </c>
      <c r="U12" s="30" t="str">
        <v>NA</v>
      </c>
      <c r="V12" s="27">
        <v>0</v>
      </c>
      <c r="W12" s="29">
        <v>0</v>
      </c>
      <c r="X12" s="29" t="str">
        <v>NA</v>
      </c>
      <c r="Y12" s="29" t="str">
        <v>NA</v>
      </c>
      <c r="Z12" s="30" t="str">
        <v>NA</v>
      </c>
      <c r="AA12" s="27">
        <v>0</v>
      </c>
      <c r="AB12" s="29">
        <v>0</v>
      </c>
      <c r="AC12" s="29" t="str">
        <v>NA</v>
      </c>
      <c r="AD12" s="29" t="str">
        <v>NA</v>
      </c>
      <c r="AE12" s="30" t="str">
        <v>NA</v>
      </c>
    </row>
    <row r="13" spans="1:31" x14ac:dyDescent="0.3">
      <c r="A13" s="19" t="str">
        <v>2010992014 </v>
      </c>
      <c r="B13" s="27">
        <v>35</v>
      </c>
      <c r="C13" s="29">
        <v>31</v>
      </c>
      <c r="D13" s="29">
        <v>88.57</v>
      </c>
      <c r="E13" s="29">
        <v>3</v>
      </c>
      <c r="F13" s="30" t="str">
        <v>Y</v>
      </c>
      <c r="G13" s="27">
        <v>10</v>
      </c>
      <c r="H13" s="29">
        <v>10</v>
      </c>
      <c r="I13" s="29">
        <v>100</v>
      </c>
      <c r="J13" s="29">
        <v>3</v>
      </c>
      <c r="K13" s="30" t="str">
        <v>Y</v>
      </c>
      <c r="L13" s="27">
        <v>10</v>
      </c>
      <c r="M13" s="29">
        <v>6</v>
      </c>
      <c r="N13" s="29">
        <v>60</v>
      </c>
      <c r="O13" s="29">
        <v>3</v>
      </c>
      <c r="P13" s="30" t="str">
        <v>Y</v>
      </c>
      <c r="Q13" s="27">
        <v>0</v>
      </c>
      <c r="R13" s="29">
        <v>0</v>
      </c>
      <c r="S13" s="29" t="str">
        <v>NA</v>
      </c>
      <c r="T13" s="29" t="str">
        <v>NA</v>
      </c>
      <c r="U13" s="30" t="str">
        <v>NA</v>
      </c>
      <c r="V13" s="27">
        <v>0</v>
      </c>
      <c r="W13" s="29">
        <v>0</v>
      </c>
      <c r="X13" s="29" t="str">
        <v>NA</v>
      </c>
      <c r="Y13" s="29" t="str">
        <v>NA</v>
      </c>
      <c r="Z13" s="30" t="str">
        <v>NA</v>
      </c>
      <c r="AA13" s="27">
        <v>0</v>
      </c>
      <c r="AB13" s="29">
        <v>0</v>
      </c>
      <c r="AC13" s="29" t="str">
        <v>NA</v>
      </c>
      <c r="AD13" s="29" t="str">
        <v>NA</v>
      </c>
      <c r="AE13" s="30" t="str">
        <v>NA</v>
      </c>
    </row>
    <row r="14" spans="1:31" x14ac:dyDescent="0.3">
      <c r="A14" s="19" t="str">
        <v>2010992015 </v>
      </c>
      <c r="B14" s="27">
        <v>30</v>
      </c>
      <c r="C14" s="29">
        <v>20</v>
      </c>
      <c r="D14" s="29">
        <v>66.67</v>
      </c>
      <c r="E14" s="29">
        <v>3</v>
      </c>
      <c r="F14" s="30" t="str">
        <v>Y</v>
      </c>
      <c r="G14" s="27">
        <v>10</v>
      </c>
      <c r="H14" s="29">
        <v>6</v>
      </c>
      <c r="I14" s="29">
        <v>60</v>
      </c>
      <c r="J14" s="29">
        <v>3</v>
      </c>
      <c r="K14" s="30" t="str">
        <v>Y</v>
      </c>
      <c r="L14" s="27">
        <v>10</v>
      </c>
      <c r="M14" s="29">
        <v>1</v>
      </c>
      <c r="N14" s="29">
        <v>10</v>
      </c>
      <c r="O14" s="29">
        <v>0</v>
      </c>
      <c r="P14" s="30" t="str">
        <v>N</v>
      </c>
      <c r="Q14" s="27">
        <v>0</v>
      </c>
      <c r="R14" s="29">
        <v>0</v>
      </c>
      <c r="S14" s="29" t="str">
        <v>NA</v>
      </c>
      <c r="T14" s="29" t="str">
        <v>NA</v>
      </c>
      <c r="U14" s="30" t="str">
        <v>NA</v>
      </c>
      <c r="V14" s="27">
        <v>0</v>
      </c>
      <c r="W14" s="29">
        <v>0</v>
      </c>
      <c r="X14" s="29" t="str">
        <v>NA</v>
      </c>
      <c r="Y14" s="29" t="str">
        <v>NA</v>
      </c>
      <c r="Z14" s="30" t="str">
        <v>NA</v>
      </c>
      <c r="AA14" s="27">
        <v>0</v>
      </c>
      <c r="AB14" s="29">
        <v>0</v>
      </c>
      <c r="AC14" s="29" t="str">
        <v>NA</v>
      </c>
      <c r="AD14" s="29" t="str">
        <v>NA</v>
      </c>
      <c r="AE14" s="30" t="str">
        <v>NA</v>
      </c>
    </row>
    <row r="15" spans="1:31" x14ac:dyDescent="0.3">
      <c r="A15" s="19" t="str">
        <v>2010992016 </v>
      </c>
      <c r="B15" s="27">
        <v>35</v>
      </c>
      <c r="C15" s="29">
        <v>34</v>
      </c>
      <c r="D15" s="29">
        <v>97.14</v>
      </c>
      <c r="E15" s="29">
        <v>3</v>
      </c>
      <c r="F15" s="30" t="str">
        <v>Y</v>
      </c>
      <c r="G15" s="27">
        <v>20</v>
      </c>
      <c r="H15" s="29">
        <v>18</v>
      </c>
      <c r="I15" s="29">
        <v>90</v>
      </c>
      <c r="J15" s="29">
        <v>3</v>
      </c>
      <c r="K15" s="30" t="str">
        <v>Y</v>
      </c>
      <c r="L15" s="27">
        <v>0</v>
      </c>
      <c r="M15" s="29">
        <v>0</v>
      </c>
      <c r="N15" s="29" t="str">
        <v>NA</v>
      </c>
      <c r="O15" s="29" t="str">
        <v>NA</v>
      </c>
      <c r="P15" s="30" t="str">
        <v>NA</v>
      </c>
      <c r="Q15" s="27">
        <v>0</v>
      </c>
      <c r="R15" s="29">
        <v>0</v>
      </c>
      <c r="S15" s="29" t="str">
        <v>NA</v>
      </c>
      <c r="T15" s="29" t="str">
        <v>NA</v>
      </c>
      <c r="U15" s="30" t="str">
        <v>NA</v>
      </c>
      <c r="V15" s="27">
        <v>0</v>
      </c>
      <c r="W15" s="29">
        <v>0</v>
      </c>
      <c r="X15" s="29" t="str">
        <v>NA</v>
      </c>
      <c r="Y15" s="29" t="str">
        <v>NA</v>
      </c>
      <c r="Z15" s="30" t="str">
        <v>NA</v>
      </c>
      <c r="AA15" s="27">
        <v>0</v>
      </c>
      <c r="AB15" s="29">
        <v>0</v>
      </c>
      <c r="AC15" s="29" t="str">
        <v>NA</v>
      </c>
      <c r="AD15" s="29" t="str">
        <v>NA</v>
      </c>
      <c r="AE15" s="30" t="str">
        <v>NA</v>
      </c>
    </row>
    <row r="16" spans="1:31" x14ac:dyDescent="0.3">
      <c r="A16" s="19" t="str">
        <v>2010992017 </v>
      </c>
      <c r="B16" s="27">
        <v>30</v>
      </c>
      <c r="C16" s="29">
        <v>21</v>
      </c>
      <c r="D16" s="29">
        <v>70</v>
      </c>
      <c r="E16" s="29">
        <v>3</v>
      </c>
      <c r="F16" s="30" t="str">
        <v>Y</v>
      </c>
      <c r="G16" s="27">
        <v>20</v>
      </c>
      <c r="H16" s="29">
        <v>15</v>
      </c>
      <c r="I16" s="29">
        <v>75</v>
      </c>
      <c r="J16" s="29">
        <v>3</v>
      </c>
      <c r="K16" s="30" t="str">
        <v>Y</v>
      </c>
      <c r="L16" s="27">
        <v>0</v>
      </c>
      <c r="M16" s="29">
        <v>0</v>
      </c>
      <c r="N16" s="29" t="str">
        <v>NA</v>
      </c>
      <c r="O16" s="29" t="str">
        <v>NA</v>
      </c>
      <c r="P16" s="30" t="str">
        <v>NA</v>
      </c>
      <c r="Q16" s="27">
        <v>0</v>
      </c>
      <c r="R16" s="29">
        <v>0</v>
      </c>
      <c r="S16" s="29" t="str">
        <v>NA</v>
      </c>
      <c r="T16" s="29" t="str">
        <v>NA</v>
      </c>
      <c r="U16" s="30" t="str">
        <v>NA</v>
      </c>
      <c r="V16" s="27">
        <v>0</v>
      </c>
      <c r="W16" s="29">
        <v>0</v>
      </c>
      <c r="X16" s="29" t="str">
        <v>NA</v>
      </c>
      <c r="Y16" s="29" t="str">
        <v>NA</v>
      </c>
      <c r="Z16" s="30" t="str">
        <v>NA</v>
      </c>
      <c r="AA16" s="27">
        <v>0</v>
      </c>
      <c r="AB16" s="29">
        <v>0</v>
      </c>
      <c r="AC16" s="29" t="str">
        <v>NA</v>
      </c>
      <c r="AD16" s="29" t="str">
        <v>NA</v>
      </c>
      <c r="AE16" s="30" t="str">
        <v>NA</v>
      </c>
    </row>
    <row r="17" spans="1:31" x14ac:dyDescent="0.3">
      <c r="A17" s="19" t="str">
        <v>2010992018 </v>
      </c>
      <c r="B17" s="27">
        <v>45</v>
      </c>
      <c r="C17" s="29">
        <v>28</v>
      </c>
      <c r="D17" s="29">
        <v>62.22</v>
      </c>
      <c r="E17" s="29">
        <v>3</v>
      </c>
      <c r="F17" s="30" t="str">
        <v>Y</v>
      </c>
      <c r="G17" s="27">
        <v>20</v>
      </c>
      <c r="H17" s="29">
        <v>15</v>
      </c>
      <c r="I17" s="29">
        <v>75</v>
      </c>
      <c r="J17" s="29">
        <v>3</v>
      </c>
      <c r="K17" s="30" t="str">
        <v>Y</v>
      </c>
      <c r="L17" s="27">
        <v>10</v>
      </c>
      <c r="M17" s="29">
        <v>1</v>
      </c>
      <c r="N17" s="29">
        <v>10</v>
      </c>
      <c r="O17" s="29">
        <v>0</v>
      </c>
      <c r="P17" s="30" t="str">
        <v>N</v>
      </c>
      <c r="Q17" s="27">
        <v>0</v>
      </c>
      <c r="R17" s="29">
        <v>0</v>
      </c>
      <c r="S17" s="29" t="str">
        <v>NA</v>
      </c>
      <c r="T17" s="29" t="str">
        <v>NA</v>
      </c>
      <c r="U17" s="30" t="str">
        <v>NA</v>
      </c>
      <c r="V17" s="27">
        <v>0</v>
      </c>
      <c r="W17" s="29">
        <v>0</v>
      </c>
      <c r="X17" s="29" t="str">
        <v>NA</v>
      </c>
      <c r="Y17" s="29" t="str">
        <v>NA</v>
      </c>
      <c r="Z17" s="30" t="str">
        <v>NA</v>
      </c>
      <c r="AA17" s="27">
        <v>0</v>
      </c>
      <c r="AB17" s="29">
        <v>0</v>
      </c>
      <c r="AC17" s="29" t="str">
        <v>NA</v>
      </c>
      <c r="AD17" s="29" t="str">
        <v>NA</v>
      </c>
      <c r="AE17" s="30" t="str">
        <v>NA</v>
      </c>
    </row>
    <row r="18" spans="1:31" x14ac:dyDescent="0.3">
      <c r="A18" s="19" t="str">
        <v>2010992163 </v>
      </c>
      <c r="B18" s="27">
        <v>45</v>
      </c>
      <c r="C18" s="29">
        <v>36</v>
      </c>
      <c r="D18" s="29">
        <v>80</v>
      </c>
      <c r="E18" s="29">
        <v>3</v>
      </c>
      <c r="F18" s="30" t="str">
        <v>Y</v>
      </c>
      <c r="G18" s="27">
        <v>20</v>
      </c>
      <c r="H18" s="29">
        <v>20</v>
      </c>
      <c r="I18" s="29">
        <v>100</v>
      </c>
      <c r="J18" s="29">
        <v>3</v>
      </c>
      <c r="K18" s="30" t="str">
        <v>Y</v>
      </c>
      <c r="L18" s="27">
        <v>10</v>
      </c>
      <c r="M18" s="29">
        <v>1</v>
      </c>
      <c r="N18" s="29">
        <v>10</v>
      </c>
      <c r="O18" s="29">
        <v>0</v>
      </c>
      <c r="P18" s="30" t="str">
        <v>N</v>
      </c>
      <c r="Q18" s="27">
        <v>0</v>
      </c>
      <c r="R18" s="29">
        <v>0</v>
      </c>
      <c r="S18" s="29" t="str">
        <v>NA</v>
      </c>
      <c r="T18" s="29" t="str">
        <v>NA</v>
      </c>
      <c r="U18" s="30" t="str">
        <v>NA</v>
      </c>
      <c r="V18" s="27">
        <v>0</v>
      </c>
      <c r="W18" s="29">
        <v>0</v>
      </c>
      <c r="X18" s="29" t="str">
        <v>NA</v>
      </c>
      <c r="Y18" s="29" t="str">
        <v>NA</v>
      </c>
      <c r="Z18" s="30" t="str">
        <v>NA</v>
      </c>
      <c r="AA18" s="27">
        <v>0</v>
      </c>
      <c r="AB18" s="29">
        <v>0</v>
      </c>
      <c r="AC18" s="29" t="str">
        <v>NA</v>
      </c>
      <c r="AD18" s="29" t="str">
        <v>NA</v>
      </c>
      <c r="AE18" s="30" t="str">
        <v>NA</v>
      </c>
    </row>
    <row r="19" spans="1:31" x14ac:dyDescent="0.3">
      <c r="A19" s="19" t="str">
        <v>2010992202 </v>
      </c>
      <c r="B19" s="27">
        <v>40</v>
      </c>
      <c r="C19" s="29">
        <v>23</v>
      </c>
      <c r="D19" s="29">
        <v>57.5</v>
      </c>
      <c r="E19" s="29">
        <v>0</v>
      </c>
      <c r="F19" s="30" t="str">
        <v>N</v>
      </c>
      <c r="G19" s="27">
        <v>15</v>
      </c>
      <c r="H19" s="29">
        <v>10</v>
      </c>
      <c r="I19" s="29">
        <v>66.67</v>
      </c>
      <c r="J19" s="29">
        <v>3</v>
      </c>
      <c r="K19" s="30" t="str">
        <v>Y</v>
      </c>
      <c r="L19" s="27">
        <v>10</v>
      </c>
      <c r="M19" s="29">
        <v>1</v>
      </c>
      <c r="N19" s="29">
        <v>10</v>
      </c>
      <c r="O19" s="29">
        <v>0</v>
      </c>
      <c r="P19" s="30" t="str">
        <v>N</v>
      </c>
      <c r="Q19" s="27">
        <v>0</v>
      </c>
      <c r="R19" s="29">
        <v>0</v>
      </c>
      <c r="S19" s="29" t="str">
        <v>NA</v>
      </c>
      <c r="T19" s="29" t="str">
        <v>NA</v>
      </c>
      <c r="U19" s="30" t="str">
        <v>NA</v>
      </c>
      <c r="V19" s="27">
        <v>0</v>
      </c>
      <c r="W19" s="29">
        <v>0</v>
      </c>
      <c r="X19" s="29" t="str">
        <v>NA</v>
      </c>
      <c r="Y19" s="29" t="str">
        <v>NA</v>
      </c>
      <c r="Z19" s="30" t="str">
        <v>NA</v>
      </c>
      <c r="AA19" s="27">
        <v>0</v>
      </c>
      <c r="AB19" s="29">
        <v>0</v>
      </c>
      <c r="AC19" s="29" t="str">
        <v>NA</v>
      </c>
      <c r="AD19" s="29" t="str">
        <v>NA</v>
      </c>
      <c r="AE19" s="30" t="str">
        <v>NA</v>
      </c>
    </row>
    <row r="20" spans="1:31" x14ac:dyDescent="0.3">
      <c r="A20" s="19" t="str">
        <v>2010992203 </v>
      </c>
      <c r="B20" s="27">
        <v>35</v>
      </c>
      <c r="C20" s="29">
        <v>28</v>
      </c>
      <c r="D20" s="29">
        <v>80</v>
      </c>
      <c r="E20" s="29">
        <v>3</v>
      </c>
      <c r="F20" s="30" t="str">
        <v>Y</v>
      </c>
      <c r="G20" s="27">
        <v>20</v>
      </c>
      <c r="H20" s="29">
        <v>17</v>
      </c>
      <c r="I20" s="29">
        <v>85</v>
      </c>
      <c r="J20" s="29">
        <v>3</v>
      </c>
      <c r="K20" s="30" t="str">
        <v>Y</v>
      </c>
      <c r="L20" s="27">
        <v>0</v>
      </c>
      <c r="M20" s="29">
        <v>0</v>
      </c>
      <c r="N20" s="29" t="str">
        <v>NA</v>
      </c>
      <c r="O20" s="29" t="str">
        <v>NA</v>
      </c>
      <c r="P20" s="30" t="str">
        <v>NA</v>
      </c>
      <c r="Q20" s="27">
        <v>0</v>
      </c>
      <c r="R20" s="29">
        <v>0</v>
      </c>
      <c r="S20" s="29" t="str">
        <v>NA</v>
      </c>
      <c r="T20" s="29" t="str">
        <v>NA</v>
      </c>
      <c r="U20" s="30" t="str">
        <v>NA</v>
      </c>
      <c r="V20" s="27">
        <v>0</v>
      </c>
      <c r="W20" s="29">
        <v>0</v>
      </c>
      <c r="X20" s="29" t="str">
        <v>NA</v>
      </c>
      <c r="Y20" s="29" t="str">
        <v>NA</v>
      </c>
      <c r="Z20" s="30" t="str">
        <v>NA</v>
      </c>
      <c r="AA20" s="27">
        <v>0</v>
      </c>
      <c r="AB20" s="29">
        <v>0</v>
      </c>
      <c r="AC20" s="29" t="str">
        <v>NA</v>
      </c>
      <c r="AD20" s="29" t="str">
        <v>NA</v>
      </c>
      <c r="AE20" s="30" t="str">
        <v>NA</v>
      </c>
    </row>
  </sheetData>
  <mergeCells count="6">
    <mergeCell ref="AA1:AE1"/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08ACF-C941-4FC0-8D86-EC9647F0AC00}">
  <sheetPr codeName="Sheet39">
    <tabColor rgb="FF00B0F0"/>
  </sheetPr>
  <dimension ref="A1:AE20"/>
  <sheetViews>
    <sheetView workbookViewId="0">
      <selection activeCell="B3" sqref="B3"/>
    </sheetView>
  </sheetViews>
  <sheetFormatPr defaultRowHeight="14.4" x14ac:dyDescent="0.3"/>
  <cols>
    <col min="1" max="1" width="21" style="19" bestFit="1" customWidth="1"/>
    <col min="2" max="2" width="12.33203125" style="27" bestFit="1" customWidth="1"/>
    <col min="3" max="5" width="8.88671875" style="29"/>
    <col min="6" max="6" width="8.88671875" style="30"/>
    <col min="7" max="7" width="8.88671875" style="27"/>
    <col min="8" max="10" width="8.88671875" style="29"/>
    <col min="11" max="11" width="8.88671875" style="30"/>
    <col min="12" max="12" width="8.88671875" style="27"/>
    <col min="13" max="15" width="8.88671875" style="29"/>
    <col min="16" max="16" width="8.88671875" style="30"/>
    <col min="17" max="17" width="8.88671875" style="27"/>
    <col min="18" max="20" width="8.88671875" style="29"/>
    <col min="21" max="21" width="8.88671875" style="30"/>
    <col min="22" max="22" width="8.88671875" style="27"/>
    <col min="23" max="25" width="8.88671875" style="29"/>
    <col min="26" max="26" width="8.88671875" style="30"/>
    <col min="27" max="27" width="8.88671875" style="27"/>
    <col min="28" max="30" width="8.88671875" style="29"/>
    <col min="31" max="31" width="8.88671875" style="30"/>
  </cols>
  <sheetData>
    <row r="1" spans="1:31" ht="15" thickBot="1" x14ac:dyDescent="0.35">
      <c r="A1" s="19" t="s">
        <v>88</v>
      </c>
      <c r="B1" s="105" t="str">
        <f>'ST1 CO Question Map'!C1</f>
        <v>EC118_CO1</v>
      </c>
      <c r="C1" s="106"/>
      <c r="D1" s="106"/>
      <c r="E1" s="106"/>
      <c r="F1" s="107"/>
      <c r="G1" s="105" t="str">
        <f>'ST1 CO Question Map'!D1</f>
        <v>EC118_CO2</v>
      </c>
      <c r="H1" s="106"/>
      <c r="I1" s="106"/>
      <c r="J1" s="106"/>
      <c r="K1" s="107"/>
      <c r="L1" s="105" t="str">
        <f>'ST1 CO Question Map'!E1</f>
        <v>EC118_CO3</v>
      </c>
      <c r="M1" s="106"/>
      <c r="N1" s="106"/>
      <c r="O1" s="106"/>
      <c r="P1" s="107"/>
      <c r="Q1" s="105" t="str">
        <f>'ST1 CO Question Map'!F1</f>
        <v>EC118_CO4</v>
      </c>
      <c r="R1" s="106"/>
      <c r="S1" s="106"/>
      <c r="T1" s="106"/>
      <c r="U1" s="107"/>
      <c r="V1" s="105" t="str">
        <f>'ST1 CO Question Map'!G1</f>
        <v>EC118_CO5</v>
      </c>
      <c r="W1" s="106"/>
      <c r="X1" s="106"/>
      <c r="Y1" s="106"/>
      <c r="Z1" s="107"/>
      <c r="AA1" s="105" t="str">
        <f>'ST1 CO Question Map'!H1</f>
        <v>EC118_CO6</v>
      </c>
      <c r="AB1" s="106"/>
      <c r="AC1" s="106"/>
      <c r="AD1" s="106"/>
      <c r="AE1" s="107"/>
    </row>
    <row r="2" spans="1:31" ht="15" thickBot="1" x14ac:dyDescent="0.35">
      <c r="A2" s="20" t="str" cm="1">
        <f t="array" ref="A2:A20">'ST2 Result'!$B$1:INDEX('ST2 Result'!$B:$B,COUNTA('ST2 Result'!$B:$B))</f>
        <v>Admission No. (Roll No.)</v>
      </c>
      <c r="B2" s="22" t="s">
        <v>89</v>
      </c>
      <c r="C2" s="23" t="s">
        <v>90</v>
      </c>
      <c r="D2" s="24" t="s">
        <v>91</v>
      </c>
      <c r="E2" s="23" t="s">
        <v>92</v>
      </c>
      <c r="F2" s="25" t="s">
        <v>93</v>
      </c>
      <c r="G2" s="22" t="s">
        <v>89</v>
      </c>
      <c r="H2" s="23" t="s">
        <v>90</v>
      </c>
      <c r="I2" s="24" t="s">
        <v>91</v>
      </c>
      <c r="J2" s="23" t="s">
        <v>92</v>
      </c>
      <c r="K2" s="25" t="s">
        <v>93</v>
      </c>
      <c r="L2" s="22" t="s">
        <v>89</v>
      </c>
      <c r="M2" s="23" t="s">
        <v>90</v>
      </c>
      <c r="N2" s="24" t="s">
        <v>91</v>
      </c>
      <c r="O2" s="23" t="s">
        <v>92</v>
      </c>
      <c r="P2" s="25" t="s">
        <v>93</v>
      </c>
      <c r="Q2" s="22" t="s">
        <v>89</v>
      </c>
      <c r="R2" s="23" t="s">
        <v>90</v>
      </c>
      <c r="S2" s="24" t="s">
        <v>91</v>
      </c>
      <c r="T2" s="23" t="s">
        <v>92</v>
      </c>
      <c r="U2" s="25" t="s">
        <v>93</v>
      </c>
      <c r="V2" s="22" t="s">
        <v>89</v>
      </c>
      <c r="W2" s="23" t="s">
        <v>90</v>
      </c>
      <c r="X2" s="24" t="s">
        <v>91</v>
      </c>
      <c r="Y2" s="23" t="s">
        <v>92</v>
      </c>
      <c r="Z2" s="25" t="s">
        <v>93</v>
      </c>
      <c r="AA2" s="22" t="s">
        <v>89</v>
      </c>
      <c r="AB2" s="23" t="s">
        <v>90</v>
      </c>
      <c r="AC2" s="24" t="s">
        <v>91</v>
      </c>
      <c r="AD2" s="23" t="s">
        <v>92</v>
      </c>
      <c r="AE2" s="25" t="s">
        <v>93</v>
      </c>
    </row>
    <row r="3" spans="1:31" x14ac:dyDescent="0.3">
      <c r="A3" s="21" t="str">
        <v>2010990089 </v>
      </c>
      <c r="B3" s="26" cm="1">
        <f t="array" ref="B3:B20">'ST2 Student MO CO Score'!$B$2:INDEX('ST2 Student MO CO Score'!$B:$B,COUNTA('ST2 Student MO CO Score'!$B:$B))</f>
        <v>7</v>
      </c>
      <c r="C3" s="28" cm="1">
        <f t="array" ref="C3:C20">'ST2 Student Attained CO Score'!$B$2:INDEX('ST2 Student Attained CO Score'!$B:$B,COUNTA('ST2 Student Attained CO Score'!$B:$B))</f>
        <v>7</v>
      </c>
      <c r="D3" s="28" cm="1">
        <f t="array" ref="D3:D20">IFERROR(ROUND('ST2 Student Attainment percent'!$B$2:INDEX('ST2 Student Attainment percent'!$B:$B,COUNTA('ST2 Student Attainment percent'!$B:$B)),2),"NA")</f>
        <v>100</v>
      </c>
      <c r="E3" s="28" cm="1">
        <f t="array" ref="E3:E20">'ST2 CO Attainment Score'!$B$2:INDEX('ST2 CO Attainment Score'!$B:$B,COUNTA('ST2 CO Attainment Score'!$B:$B))</f>
        <v>3</v>
      </c>
      <c r="F3" s="30" t="str" cm="1">
        <f t="array" ref="F3:F20">'ST2 Target Attained'!$B$2:INDEX('ST2 Target Attained'!$B:$B,COUNTA('ST2 Target Attained'!$B:$B))</f>
        <v>Y</v>
      </c>
      <c r="G3" s="26" cm="1">
        <f t="array" ref="G3:G20">'ST2 Student MO CO Score'!$C$2:INDEX('ST2 Student MO CO Score'!$C:$C,COUNTA('ST2 Student MO CO Score'!$C:$C))</f>
        <v>28</v>
      </c>
      <c r="H3" s="28" cm="1">
        <f t="array" ref="H3:H20">'ST2 Student Attained CO Score'!$C$2:INDEX('ST2 Student Attained CO Score'!$C:$C,COUNTA('ST2 Student Attained CO Score'!$C:$C))</f>
        <v>21</v>
      </c>
      <c r="I3" s="28" cm="1">
        <f t="array" ref="I3:I20">IFERROR(ROUND('ST2 Student Attainment percent'!$C$2:INDEX('ST2 Student Attainment percent'!$C:$C,COUNTA('ST2 Student Attainment percent'!$C:$C)),2),"NA")</f>
        <v>75</v>
      </c>
      <c r="J3" s="28" cm="1">
        <f t="array" ref="J3:J20">'ST2 CO Attainment Score'!$C$2:INDEX('ST2 CO Attainment Score'!$C:$C,COUNTA('ST2 CO Attainment Score'!$C:$C))</f>
        <v>3</v>
      </c>
      <c r="K3" s="30" t="str" cm="1">
        <f t="array" ref="K3:K20">'ST2 Target Attained'!$C$2:INDEX('ST2 Target Attained'!$C:$C,COUNTA('ST2 Target Attained'!$C:$C))</f>
        <v>Y</v>
      </c>
      <c r="L3" s="26" cm="1">
        <f t="array" ref="L3:L20">'ST2 Student MO CO Score'!$D$2:INDEX('ST2 Student MO CO Score'!$D:$D,COUNTA('ST2 Student MO CO Score'!$D:$D))</f>
        <v>10</v>
      </c>
      <c r="M3" s="28" cm="1">
        <f t="array" ref="M3:M20">'ST2 Student Attained CO Score'!$D$2:INDEX('ST2 Student Attained CO Score'!$D:$D,COUNTA('ST2 Student Attained CO Score'!$D:$D))</f>
        <v>8</v>
      </c>
      <c r="N3" s="28" cm="1">
        <f t="array" ref="N3:N20">IFERROR(ROUND('ST2 Student Attainment percent'!$D$2:INDEX('ST2 Student Attainment percent'!$D:$D,COUNTA('ST2 Student Attainment percent'!$D:$D)),2),"NA")</f>
        <v>80</v>
      </c>
      <c r="O3" s="28" cm="1">
        <f t="array" ref="O3:O20">'ST2 CO Attainment Score'!$D$2:INDEX('ST2 CO Attainment Score'!$D:$D,COUNTA('ST2 CO Attainment Score'!$D:$D))</f>
        <v>3</v>
      </c>
      <c r="P3" s="30" t="str" cm="1">
        <f t="array" ref="P3:P20">'ST2 Target Attained'!$D$2:INDEX('ST2 Target Attained'!$D:$D,COUNTA('ST2 Target Attained'!$D:$D))</f>
        <v>Y</v>
      </c>
      <c r="Q3" s="26" cm="1">
        <f t="array" ref="Q3:Q20">'ST2 Student MO CO Score'!$E$2:INDEX('ST2 Student MO CO Score'!$E:$E,COUNTA('ST2 Student MO CO Score'!$E:$E))</f>
        <v>0</v>
      </c>
      <c r="R3" s="28" cm="1">
        <f t="array" ref="R3:R20">'ST2 Student Attained CO Score'!$E$2:INDEX('ST2 Student Attained CO Score'!$E:$E,COUNTA('ST2 Student Attained CO Score'!$E:$E))</f>
        <v>0</v>
      </c>
      <c r="S3" s="28" t="str" cm="1">
        <f t="array" ref="S3:S20">IFERROR(ROUND('ST2 Student Attainment percent'!$E$2:INDEX('ST2 Student Attainment percent'!$E:$E,COUNTA('ST2 Student Attainment percent'!$E:$E)),2),"NA")</f>
        <v>NA</v>
      </c>
      <c r="T3" s="28" t="str" cm="1">
        <f t="array" ref="T3:T20">'ST2 CO Attainment Score'!$E$2:INDEX('ST2 CO Attainment Score'!$E:$E,COUNTA('ST2 CO Attainment Score'!$E:$E))</f>
        <v>NA</v>
      </c>
      <c r="U3" s="30" t="str" cm="1">
        <f t="array" ref="U3:U20">'ST2 Target Attained'!$E$2:INDEX('ST2 Target Attained'!$E:$E,COUNTA('ST2 Target Attained'!$E:$E))</f>
        <v>NA</v>
      </c>
      <c r="V3" s="26" cm="1">
        <f t="array" ref="V3:V20">'ST2 Student MO CO Score'!$F$2:INDEX('ST2 Student MO CO Score'!$F:$F,COUNTA('ST2 Student MO CO Score'!$F:$F))</f>
        <v>0</v>
      </c>
      <c r="W3" s="28" cm="1">
        <f t="array" ref="W3:W20">'ST2 Student Attained CO Score'!$F$2:INDEX('ST2 Student Attained CO Score'!$F:$F,COUNTA('ST2 Student Attained CO Score'!$F:$F))</f>
        <v>0</v>
      </c>
      <c r="X3" s="28" t="str" cm="1">
        <f t="array" ref="X3:X20">IFERROR(ROUND('ST2 Student Attainment percent'!$F$2:INDEX('ST2 Student Attainment percent'!$F:$F,COUNTA('ST2 Student Attainment percent'!$F:$F)),2),"NA")</f>
        <v>NA</v>
      </c>
      <c r="Y3" s="28" t="str" cm="1">
        <f t="array" ref="Y3:Y20">'ST2 CO Attainment Score'!$F$2:INDEX('ST2 CO Attainment Score'!$F:$F,COUNTA('ST2 CO Attainment Score'!$F:$F))</f>
        <v>NA</v>
      </c>
      <c r="Z3" s="30" t="str" cm="1">
        <f t="array" ref="Z3:Z20">'ST2 Target Attained'!$F$2:INDEX('ST2 Target Attained'!$F:$F,COUNTA('ST2 Target Attained'!$F:$F))</f>
        <v>NA</v>
      </c>
      <c r="AA3" s="26" cm="1">
        <f t="array" ref="AA3:AA20">'ST2 Student MO CO Score'!$G$2:INDEX('ST2 Student MO CO Score'!$G:$G,COUNTA('ST2 Student MO CO Score'!$G:$G))</f>
        <v>0</v>
      </c>
      <c r="AB3" s="28" cm="1">
        <f t="array" ref="AB3:AB20">'ST2 Student Attained CO Score'!$G$2:INDEX('ST2 Student Attained CO Score'!$G:$G,COUNTA('ST2 Student Attained CO Score'!$G:$G))</f>
        <v>0</v>
      </c>
      <c r="AC3" s="28" t="str" cm="1">
        <f t="array" ref="AC3:AC20">IFERROR(ROUND('ST2 Student Attainment percent'!$G$2:INDEX('ST2 Student Attainment percent'!$G:$G,COUNTA('ST2 Student Attainment percent'!$G:$G)),2),"NA")</f>
        <v>NA</v>
      </c>
      <c r="AD3" s="28" t="str" cm="1">
        <f t="array" ref="AD3:AD20">'ST2 CO Attainment Score'!$G$2:INDEX('ST2 CO Attainment Score'!$G:$G,COUNTA('ST2 CO Attainment Score'!$G:$G))</f>
        <v>NA</v>
      </c>
      <c r="AE3" s="30" t="str" cm="1">
        <f t="array" ref="AE3:AE20">'ST2 Target Attained'!$G$2:INDEX('ST2 Target Attained'!$G:$G,COUNTA('ST2 Target Attained'!$G:$G))</f>
        <v>NA</v>
      </c>
    </row>
    <row r="4" spans="1:31" x14ac:dyDescent="0.3">
      <c r="A4" s="19" t="str">
        <v>2010992002 </v>
      </c>
      <c r="B4" s="27">
        <v>17</v>
      </c>
      <c r="C4" s="29">
        <v>17</v>
      </c>
      <c r="D4" s="29">
        <v>100</v>
      </c>
      <c r="E4" s="29">
        <v>3</v>
      </c>
      <c r="F4" s="30" t="str">
        <v>Y</v>
      </c>
      <c r="G4" s="27">
        <v>45</v>
      </c>
      <c r="H4" s="29">
        <v>47</v>
      </c>
      <c r="I4" s="29">
        <v>104.44</v>
      </c>
      <c r="J4" s="29">
        <v>3</v>
      </c>
      <c r="K4" s="30" t="str">
        <v>Y</v>
      </c>
      <c r="L4" s="27">
        <v>15</v>
      </c>
      <c r="M4" s="29">
        <v>15</v>
      </c>
      <c r="N4" s="29">
        <v>100</v>
      </c>
      <c r="O4" s="29">
        <v>3</v>
      </c>
      <c r="P4" s="30" t="str">
        <v>Y</v>
      </c>
      <c r="Q4" s="27">
        <v>0</v>
      </c>
      <c r="R4" s="29">
        <v>0</v>
      </c>
      <c r="S4" s="29" t="str">
        <v>NA</v>
      </c>
      <c r="T4" s="29" t="str">
        <v>NA</v>
      </c>
      <c r="U4" s="30" t="str">
        <v>NA</v>
      </c>
      <c r="V4" s="27">
        <v>0</v>
      </c>
      <c r="W4" s="29">
        <v>0</v>
      </c>
      <c r="X4" s="29" t="str">
        <v>NA</v>
      </c>
      <c r="Y4" s="29" t="str">
        <v>NA</v>
      </c>
      <c r="Z4" s="30" t="str">
        <v>NA</v>
      </c>
      <c r="AA4" s="27">
        <v>0</v>
      </c>
      <c r="AB4" s="29">
        <v>0</v>
      </c>
      <c r="AC4" s="29" t="str">
        <v>NA</v>
      </c>
      <c r="AD4" s="29" t="str">
        <v>NA</v>
      </c>
      <c r="AE4" s="30" t="str">
        <v>NA</v>
      </c>
    </row>
    <row r="5" spans="1:31" x14ac:dyDescent="0.3">
      <c r="A5" s="19" t="str">
        <v>2010992004 </v>
      </c>
      <c r="B5" s="27">
        <v>0</v>
      </c>
      <c r="C5" s="29">
        <v>0</v>
      </c>
      <c r="D5" s="29" t="str">
        <v>NA</v>
      </c>
      <c r="E5" s="29" t="str">
        <v>NA</v>
      </c>
      <c r="F5" s="30" t="str">
        <v>NA</v>
      </c>
      <c r="G5" s="27">
        <v>10</v>
      </c>
      <c r="H5" s="29">
        <v>6</v>
      </c>
      <c r="I5" s="29">
        <v>60</v>
      </c>
      <c r="J5" s="29">
        <v>3</v>
      </c>
      <c r="K5" s="30" t="str">
        <v>Y</v>
      </c>
      <c r="L5" s="27">
        <v>10</v>
      </c>
      <c r="M5" s="29">
        <v>6</v>
      </c>
      <c r="N5" s="29">
        <v>60</v>
      </c>
      <c r="O5" s="29">
        <v>3</v>
      </c>
      <c r="P5" s="30" t="str">
        <v>Y</v>
      </c>
      <c r="Q5" s="27">
        <v>0</v>
      </c>
      <c r="R5" s="29">
        <v>0</v>
      </c>
      <c r="S5" s="29" t="str">
        <v>NA</v>
      </c>
      <c r="T5" s="29" t="str">
        <v>NA</v>
      </c>
      <c r="U5" s="30" t="str">
        <v>NA</v>
      </c>
      <c r="V5" s="27">
        <v>0</v>
      </c>
      <c r="W5" s="29">
        <v>0</v>
      </c>
      <c r="X5" s="29" t="str">
        <v>NA</v>
      </c>
      <c r="Y5" s="29" t="str">
        <v>NA</v>
      </c>
      <c r="Z5" s="30" t="str">
        <v>NA</v>
      </c>
      <c r="AA5" s="27">
        <v>0</v>
      </c>
      <c r="AB5" s="29">
        <v>0</v>
      </c>
      <c r="AC5" s="29" t="str">
        <v>NA</v>
      </c>
      <c r="AD5" s="29" t="str">
        <v>NA</v>
      </c>
      <c r="AE5" s="30" t="str">
        <v>NA</v>
      </c>
    </row>
    <row r="6" spans="1:31" x14ac:dyDescent="0.3">
      <c r="A6" s="19" t="str">
        <v>2010992005 </v>
      </c>
      <c r="B6" s="27">
        <v>0</v>
      </c>
      <c r="C6" s="29">
        <v>0</v>
      </c>
      <c r="D6" s="29" t="str">
        <v>NA</v>
      </c>
      <c r="E6" s="29" t="str">
        <v>NA</v>
      </c>
      <c r="F6" s="30" t="str">
        <v>NA</v>
      </c>
      <c r="G6" s="27">
        <v>10</v>
      </c>
      <c r="H6" s="29">
        <v>8</v>
      </c>
      <c r="I6" s="29">
        <v>80</v>
      </c>
      <c r="J6" s="29">
        <v>3</v>
      </c>
      <c r="K6" s="30" t="str">
        <v>Y</v>
      </c>
      <c r="L6" s="27">
        <v>10</v>
      </c>
      <c r="M6" s="29">
        <v>8</v>
      </c>
      <c r="N6" s="29">
        <v>80</v>
      </c>
      <c r="O6" s="29">
        <v>3</v>
      </c>
      <c r="P6" s="30" t="str">
        <v>Y</v>
      </c>
      <c r="Q6" s="27">
        <v>0</v>
      </c>
      <c r="R6" s="29">
        <v>0</v>
      </c>
      <c r="S6" s="29" t="str">
        <v>NA</v>
      </c>
      <c r="T6" s="29" t="str">
        <v>NA</v>
      </c>
      <c r="U6" s="30" t="str">
        <v>NA</v>
      </c>
      <c r="V6" s="27">
        <v>0</v>
      </c>
      <c r="W6" s="29">
        <v>0</v>
      </c>
      <c r="X6" s="29" t="str">
        <v>NA</v>
      </c>
      <c r="Y6" s="29" t="str">
        <v>NA</v>
      </c>
      <c r="Z6" s="30" t="str">
        <v>NA</v>
      </c>
      <c r="AA6" s="27">
        <v>0</v>
      </c>
      <c r="AB6" s="29">
        <v>0</v>
      </c>
      <c r="AC6" s="29" t="str">
        <v>NA</v>
      </c>
      <c r="AD6" s="29" t="str">
        <v>NA</v>
      </c>
      <c r="AE6" s="30" t="str">
        <v>NA</v>
      </c>
    </row>
    <row r="7" spans="1:31" x14ac:dyDescent="0.3">
      <c r="A7" s="19" t="str">
        <v>2010992006 </v>
      </c>
      <c r="B7" s="27">
        <v>0</v>
      </c>
      <c r="C7" s="29">
        <v>0</v>
      </c>
      <c r="D7" s="29" t="str">
        <v>NA</v>
      </c>
      <c r="E7" s="29" t="str">
        <v>NA</v>
      </c>
      <c r="F7" s="30" t="str">
        <v>NA</v>
      </c>
      <c r="G7" s="27">
        <v>0</v>
      </c>
      <c r="H7" s="29">
        <v>0</v>
      </c>
      <c r="I7" s="29" t="str">
        <v>NA</v>
      </c>
      <c r="J7" s="29" t="str">
        <v>NA</v>
      </c>
      <c r="K7" s="30" t="str">
        <v>NA</v>
      </c>
      <c r="L7" s="27">
        <v>0</v>
      </c>
      <c r="M7" s="29">
        <v>0</v>
      </c>
      <c r="N7" s="29" t="str">
        <v>NA</v>
      </c>
      <c r="O7" s="29" t="str">
        <v>NA</v>
      </c>
      <c r="P7" s="30" t="str">
        <v>NA</v>
      </c>
      <c r="Q7" s="27">
        <v>0</v>
      </c>
      <c r="R7" s="29">
        <v>0</v>
      </c>
      <c r="S7" s="29" t="str">
        <v>NA</v>
      </c>
      <c r="T7" s="29" t="str">
        <v>NA</v>
      </c>
      <c r="U7" s="30" t="str">
        <v>NA</v>
      </c>
      <c r="V7" s="27">
        <v>0</v>
      </c>
      <c r="W7" s="29">
        <v>0</v>
      </c>
      <c r="X7" s="29" t="str">
        <v>NA</v>
      </c>
      <c r="Y7" s="29" t="str">
        <v>NA</v>
      </c>
      <c r="Z7" s="30" t="str">
        <v>NA</v>
      </c>
      <c r="AA7" s="27">
        <v>0</v>
      </c>
      <c r="AB7" s="29">
        <v>0</v>
      </c>
      <c r="AC7" s="29" t="str">
        <v>NA</v>
      </c>
      <c r="AD7" s="29" t="str">
        <v>NA</v>
      </c>
      <c r="AE7" s="30" t="str">
        <v>NA</v>
      </c>
    </row>
    <row r="8" spans="1:31" x14ac:dyDescent="0.3">
      <c r="A8" s="19" t="str">
        <v>2010992008 </v>
      </c>
      <c r="B8" s="27">
        <v>0</v>
      </c>
      <c r="C8" s="29">
        <v>0</v>
      </c>
      <c r="D8" s="29" t="str">
        <v>NA</v>
      </c>
      <c r="E8" s="29" t="str">
        <v>NA</v>
      </c>
      <c r="F8" s="30" t="str">
        <v>NA</v>
      </c>
      <c r="G8" s="27">
        <v>0</v>
      </c>
      <c r="H8" s="29">
        <v>0</v>
      </c>
      <c r="I8" s="29" t="str">
        <v>NA</v>
      </c>
      <c r="J8" s="29" t="str">
        <v>NA</v>
      </c>
      <c r="K8" s="30" t="str">
        <v>NA</v>
      </c>
      <c r="L8" s="27">
        <v>0</v>
      </c>
      <c r="M8" s="29">
        <v>0</v>
      </c>
      <c r="N8" s="29" t="str">
        <v>NA</v>
      </c>
      <c r="O8" s="29" t="str">
        <v>NA</v>
      </c>
      <c r="P8" s="30" t="str">
        <v>NA</v>
      </c>
      <c r="Q8" s="27">
        <v>0</v>
      </c>
      <c r="R8" s="29">
        <v>0</v>
      </c>
      <c r="S8" s="29" t="str">
        <v>NA</v>
      </c>
      <c r="T8" s="29" t="str">
        <v>NA</v>
      </c>
      <c r="U8" s="30" t="str">
        <v>NA</v>
      </c>
      <c r="V8" s="27">
        <v>0</v>
      </c>
      <c r="W8" s="29">
        <v>0</v>
      </c>
      <c r="X8" s="29" t="str">
        <v>NA</v>
      </c>
      <c r="Y8" s="29" t="str">
        <v>NA</v>
      </c>
      <c r="Z8" s="30" t="str">
        <v>NA</v>
      </c>
      <c r="AA8" s="27">
        <v>0</v>
      </c>
      <c r="AB8" s="29">
        <v>0</v>
      </c>
      <c r="AC8" s="29" t="str">
        <v>NA</v>
      </c>
      <c r="AD8" s="29" t="str">
        <v>NA</v>
      </c>
      <c r="AE8" s="30" t="str">
        <v>NA</v>
      </c>
    </row>
    <row r="9" spans="1:31" x14ac:dyDescent="0.3">
      <c r="A9" s="19" t="str">
        <v>2010992009 </v>
      </c>
      <c r="B9" s="27">
        <v>12</v>
      </c>
      <c r="C9" s="29">
        <v>12</v>
      </c>
      <c r="D9" s="29">
        <v>100</v>
      </c>
      <c r="E9" s="29">
        <v>3</v>
      </c>
      <c r="F9" s="30" t="str">
        <v>Y</v>
      </c>
      <c r="G9" s="27">
        <v>45</v>
      </c>
      <c r="H9" s="29">
        <v>42</v>
      </c>
      <c r="I9" s="29">
        <v>93.33</v>
      </c>
      <c r="J9" s="29">
        <v>3</v>
      </c>
      <c r="K9" s="30" t="str">
        <v>Y</v>
      </c>
      <c r="L9" s="27">
        <v>20</v>
      </c>
      <c r="M9" s="29">
        <v>19</v>
      </c>
      <c r="N9" s="29">
        <v>95</v>
      </c>
      <c r="O9" s="29">
        <v>3</v>
      </c>
      <c r="P9" s="30" t="str">
        <v>Y</v>
      </c>
      <c r="Q9" s="27">
        <v>0</v>
      </c>
      <c r="R9" s="29">
        <v>0</v>
      </c>
      <c r="S9" s="29" t="str">
        <v>NA</v>
      </c>
      <c r="T9" s="29" t="str">
        <v>NA</v>
      </c>
      <c r="U9" s="30" t="str">
        <v>NA</v>
      </c>
      <c r="V9" s="27">
        <v>0</v>
      </c>
      <c r="W9" s="29">
        <v>0</v>
      </c>
      <c r="X9" s="29" t="str">
        <v>NA</v>
      </c>
      <c r="Y9" s="29" t="str">
        <v>NA</v>
      </c>
      <c r="Z9" s="30" t="str">
        <v>NA</v>
      </c>
      <c r="AA9" s="27">
        <v>0</v>
      </c>
      <c r="AB9" s="29">
        <v>0</v>
      </c>
      <c r="AC9" s="29" t="str">
        <v>NA</v>
      </c>
      <c r="AD9" s="29" t="str">
        <v>NA</v>
      </c>
      <c r="AE9" s="30" t="str">
        <v>NA</v>
      </c>
    </row>
    <row r="10" spans="1:31" x14ac:dyDescent="0.3">
      <c r="A10" s="19" t="str">
        <v>2010992010 </v>
      </c>
      <c r="B10" s="27">
        <v>0</v>
      </c>
      <c r="C10" s="29">
        <v>0</v>
      </c>
      <c r="D10" s="29" t="str">
        <v>NA</v>
      </c>
      <c r="E10" s="29" t="str">
        <v>NA</v>
      </c>
      <c r="F10" s="30" t="str">
        <v>NA</v>
      </c>
      <c r="G10" s="27">
        <v>0</v>
      </c>
      <c r="H10" s="29">
        <v>0</v>
      </c>
      <c r="I10" s="29" t="str">
        <v>NA</v>
      </c>
      <c r="J10" s="29" t="str">
        <v>NA</v>
      </c>
      <c r="K10" s="30" t="str">
        <v>NA</v>
      </c>
      <c r="L10" s="27">
        <v>0</v>
      </c>
      <c r="M10" s="29">
        <v>0</v>
      </c>
      <c r="N10" s="29" t="str">
        <v>NA</v>
      </c>
      <c r="O10" s="29" t="str">
        <v>NA</v>
      </c>
      <c r="P10" s="30" t="str">
        <v>NA</v>
      </c>
      <c r="Q10" s="27">
        <v>0</v>
      </c>
      <c r="R10" s="29">
        <v>0</v>
      </c>
      <c r="S10" s="29" t="str">
        <v>NA</v>
      </c>
      <c r="T10" s="29" t="str">
        <v>NA</v>
      </c>
      <c r="U10" s="30" t="str">
        <v>NA</v>
      </c>
      <c r="V10" s="27">
        <v>0</v>
      </c>
      <c r="W10" s="29">
        <v>0</v>
      </c>
      <c r="X10" s="29" t="str">
        <v>NA</v>
      </c>
      <c r="Y10" s="29" t="str">
        <v>NA</v>
      </c>
      <c r="Z10" s="30" t="str">
        <v>NA</v>
      </c>
      <c r="AA10" s="27">
        <v>0</v>
      </c>
      <c r="AB10" s="29">
        <v>0</v>
      </c>
      <c r="AC10" s="29" t="str">
        <v>NA</v>
      </c>
      <c r="AD10" s="29" t="str">
        <v>NA</v>
      </c>
      <c r="AE10" s="30" t="str">
        <v>NA</v>
      </c>
    </row>
    <row r="11" spans="1:31" x14ac:dyDescent="0.3">
      <c r="A11" s="19" t="str">
        <v>2010992011 </v>
      </c>
      <c r="B11" s="27">
        <v>0</v>
      </c>
      <c r="C11" s="29">
        <v>0</v>
      </c>
      <c r="D11" s="29" t="str">
        <v>NA</v>
      </c>
      <c r="E11" s="29" t="str">
        <v>NA</v>
      </c>
      <c r="F11" s="30" t="str">
        <v>NA</v>
      </c>
      <c r="G11" s="27">
        <v>10</v>
      </c>
      <c r="H11" s="29">
        <v>6</v>
      </c>
      <c r="I11" s="29">
        <v>60</v>
      </c>
      <c r="J11" s="29">
        <v>3</v>
      </c>
      <c r="K11" s="30" t="str">
        <v>Y</v>
      </c>
      <c r="L11" s="27">
        <v>10</v>
      </c>
      <c r="M11" s="29">
        <v>6</v>
      </c>
      <c r="N11" s="29">
        <v>60</v>
      </c>
      <c r="O11" s="29">
        <v>3</v>
      </c>
      <c r="P11" s="30" t="str">
        <v>Y</v>
      </c>
      <c r="Q11" s="27">
        <v>0</v>
      </c>
      <c r="R11" s="29">
        <v>0</v>
      </c>
      <c r="S11" s="29" t="str">
        <v>NA</v>
      </c>
      <c r="T11" s="29" t="str">
        <v>NA</v>
      </c>
      <c r="U11" s="30" t="str">
        <v>NA</v>
      </c>
      <c r="V11" s="27">
        <v>0</v>
      </c>
      <c r="W11" s="29">
        <v>0</v>
      </c>
      <c r="X11" s="29" t="str">
        <v>NA</v>
      </c>
      <c r="Y11" s="29" t="str">
        <v>NA</v>
      </c>
      <c r="Z11" s="30" t="str">
        <v>NA</v>
      </c>
      <c r="AA11" s="27">
        <v>0</v>
      </c>
      <c r="AB11" s="29">
        <v>0</v>
      </c>
      <c r="AC11" s="29" t="str">
        <v>NA</v>
      </c>
      <c r="AD11" s="29" t="str">
        <v>NA</v>
      </c>
      <c r="AE11" s="30" t="str">
        <v>NA</v>
      </c>
    </row>
    <row r="12" spans="1:31" x14ac:dyDescent="0.3">
      <c r="A12" s="19" t="str">
        <v>2010992012 </v>
      </c>
      <c r="B12" s="27">
        <v>7</v>
      </c>
      <c r="C12" s="29">
        <v>7</v>
      </c>
      <c r="D12" s="29">
        <v>100</v>
      </c>
      <c r="E12" s="29">
        <v>3</v>
      </c>
      <c r="F12" s="30" t="str">
        <v>Y</v>
      </c>
      <c r="G12" s="27">
        <v>35</v>
      </c>
      <c r="H12" s="29">
        <v>25</v>
      </c>
      <c r="I12" s="29">
        <v>71.430000000000007</v>
      </c>
      <c r="J12" s="29">
        <v>3</v>
      </c>
      <c r="K12" s="30" t="str">
        <v>Y</v>
      </c>
      <c r="L12" s="27">
        <v>15</v>
      </c>
      <c r="M12" s="29">
        <v>9</v>
      </c>
      <c r="N12" s="29">
        <v>60</v>
      </c>
      <c r="O12" s="29">
        <v>3</v>
      </c>
      <c r="P12" s="30" t="str">
        <v>Y</v>
      </c>
      <c r="Q12" s="27">
        <v>0</v>
      </c>
      <c r="R12" s="29">
        <v>0</v>
      </c>
      <c r="S12" s="29" t="str">
        <v>NA</v>
      </c>
      <c r="T12" s="29" t="str">
        <v>NA</v>
      </c>
      <c r="U12" s="30" t="str">
        <v>NA</v>
      </c>
      <c r="V12" s="27">
        <v>0</v>
      </c>
      <c r="W12" s="29">
        <v>0</v>
      </c>
      <c r="X12" s="29" t="str">
        <v>NA</v>
      </c>
      <c r="Y12" s="29" t="str">
        <v>NA</v>
      </c>
      <c r="Z12" s="30" t="str">
        <v>NA</v>
      </c>
      <c r="AA12" s="27">
        <v>0</v>
      </c>
      <c r="AB12" s="29">
        <v>0</v>
      </c>
      <c r="AC12" s="29" t="str">
        <v>NA</v>
      </c>
      <c r="AD12" s="29" t="str">
        <v>NA</v>
      </c>
      <c r="AE12" s="30" t="str">
        <v>NA</v>
      </c>
    </row>
    <row r="13" spans="1:31" x14ac:dyDescent="0.3">
      <c r="A13" s="19" t="str">
        <v>2010992014 </v>
      </c>
      <c r="B13" s="27">
        <v>0</v>
      </c>
      <c r="C13" s="29">
        <v>0</v>
      </c>
      <c r="D13" s="29" t="str">
        <v>NA</v>
      </c>
      <c r="E13" s="29" t="str">
        <v>NA</v>
      </c>
      <c r="F13" s="30" t="str">
        <v>NA</v>
      </c>
      <c r="G13" s="27">
        <v>10</v>
      </c>
      <c r="H13" s="29">
        <v>7</v>
      </c>
      <c r="I13" s="29">
        <v>70</v>
      </c>
      <c r="J13" s="29">
        <v>3</v>
      </c>
      <c r="K13" s="30" t="str">
        <v>Y</v>
      </c>
      <c r="L13" s="27">
        <v>10</v>
      </c>
      <c r="M13" s="29">
        <v>7</v>
      </c>
      <c r="N13" s="29">
        <v>70</v>
      </c>
      <c r="O13" s="29">
        <v>3</v>
      </c>
      <c r="P13" s="30" t="str">
        <v>Y</v>
      </c>
      <c r="Q13" s="27">
        <v>0</v>
      </c>
      <c r="R13" s="29">
        <v>0</v>
      </c>
      <c r="S13" s="29" t="str">
        <v>NA</v>
      </c>
      <c r="T13" s="29" t="str">
        <v>NA</v>
      </c>
      <c r="U13" s="30" t="str">
        <v>NA</v>
      </c>
      <c r="V13" s="27">
        <v>0</v>
      </c>
      <c r="W13" s="29">
        <v>0</v>
      </c>
      <c r="X13" s="29" t="str">
        <v>NA</v>
      </c>
      <c r="Y13" s="29" t="str">
        <v>NA</v>
      </c>
      <c r="Z13" s="30" t="str">
        <v>NA</v>
      </c>
      <c r="AA13" s="27">
        <v>0</v>
      </c>
      <c r="AB13" s="29">
        <v>0</v>
      </c>
      <c r="AC13" s="29" t="str">
        <v>NA</v>
      </c>
      <c r="AD13" s="29" t="str">
        <v>NA</v>
      </c>
      <c r="AE13" s="30" t="str">
        <v>NA</v>
      </c>
    </row>
    <row r="14" spans="1:31" x14ac:dyDescent="0.3">
      <c r="A14" s="19" t="str">
        <v>2010992015 </v>
      </c>
      <c r="B14" s="27">
        <v>2</v>
      </c>
      <c r="C14" s="29">
        <v>2</v>
      </c>
      <c r="D14" s="29">
        <v>100</v>
      </c>
      <c r="E14" s="29">
        <v>3</v>
      </c>
      <c r="F14" s="30" t="str">
        <v>Y</v>
      </c>
      <c r="G14" s="27">
        <v>17</v>
      </c>
      <c r="H14" s="29">
        <v>10</v>
      </c>
      <c r="I14" s="29">
        <v>58.82</v>
      </c>
      <c r="J14" s="29">
        <v>0</v>
      </c>
      <c r="K14" s="30" t="str">
        <v>N</v>
      </c>
      <c r="L14" s="27">
        <v>10</v>
      </c>
      <c r="M14" s="29">
        <v>7</v>
      </c>
      <c r="N14" s="29">
        <v>70</v>
      </c>
      <c r="O14" s="29">
        <v>3</v>
      </c>
      <c r="P14" s="30" t="str">
        <v>Y</v>
      </c>
      <c r="Q14" s="27">
        <v>0</v>
      </c>
      <c r="R14" s="29">
        <v>0</v>
      </c>
      <c r="S14" s="29" t="str">
        <v>NA</v>
      </c>
      <c r="T14" s="29" t="str">
        <v>NA</v>
      </c>
      <c r="U14" s="30" t="str">
        <v>NA</v>
      </c>
      <c r="V14" s="27">
        <v>0</v>
      </c>
      <c r="W14" s="29">
        <v>0</v>
      </c>
      <c r="X14" s="29" t="str">
        <v>NA</v>
      </c>
      <c r="Y14" s="29" t="str">
        <v>NA</v>
      </c>
      <c r="Z14" s="30" t="str">
        <v>NA</v>
      </c>
      <c r="AA14" s="27">
        <v>0</v>
      </c>
      <c r="AB14" s="29">
        <v>0</v>
      </c>
      <c r="AC14" s="29" t="str">
        <v>NA</v>
      </c>
      <c r="AD14" s="29" t="str">
        <v>NA</v>
      </c>
      <c r="AE14" s="30" t="str">
        <v>NA</v>
      </c>
    </row>
    <row r="15" spans="1:31" x14ac:dyDescent="0.3">
      <c r="A15" s="19" t="str">
        <v>2010992016 </v>
      </c>
      <c r="B15" s="27">
        <v>15</v>
      </c>
      <c r="C15" s="29">
        <v>14</v>
      </c>
      <c r="D15" s="29">
        <v>93.33</v>
      </c>
      <c r="E15" s="29">
        <v>3</v>
      </c>
      <c r="F15" s="30" t="str">
        <v>Y</v>
      </c>
      <c r="G15" s="27">
        <v>45</v>
      </c>
      <c r="H15" s="29">
        <v>36</v>
      </c>
      <c r="I15" s="29">
        <v>80</v>
      </c>
      <c r="J15" s="29">
        <v>3</v>
      </c>
      <c r="K15" s="30" t="str">
        <v>Y</v>
      </c>
      <c r="L15" s="27">
        <v>15</v>
      </c>
      <c r="M15" s="29">
        <v>11</v>
      </c>
      <c r="N15" s="29">
        <v>73.33</v>
      </c>
      <c r="O15" s="29">
        <v>3</v>
      </c>
      <c r="P15" s="30" t="str">
        <v>Y</v>
      </c>
      <c r="Q15" s="27">
        <v>0</v>
      </c>
      <c r="R15" s="29">
        <v>0</v>
      </c>
      <c r="S15" s="29" t="str">
        <v>NA</v>
      </c>
      <c r="T15" s="29" t="str">
        <v>NA</v>
      </c>
      <c r="U15" s="30" t="str">
        <v>NA</v>
      </c>
      <c r="V15" s="27">
        <v>0</v>
      </c>
      <c r="W15" s="29">
        <v>0</v>
      </c>
      <c r="X15" s="29" t="str">
        <v>NA</v>
      </c>
      <c r="Y15" s="29" t="str">
        <v>NA</v>
      </c>
      <c r="Z15" s="30" t="str">
        <v>NA</v>
      </c>
      <c r="AA15" s="27">
        <v>0</v>
      </c>
      <c r="AB15" s="29">
        <v>0</v>
      </c>
      <c r="AC15" s="29" t="str">
        <v>NA</v>
      </c>
      <c r="AD15" s="29" t="str">
        <v>NA</v>
      </c>
      <c r="AE15" s="30" t="str">
        <v>NA</v>
      </c>
    </row>
    <row r="16" spans="1:31" x14ac:dyDescent="0.3">
      <c r="A16" s="19" t="str">
        <v>2010992017 </v>
      </c>
      <c r="B16" s="27">
        <v>0</v>
      </c>
      <c r="C16" s="29">
        <v>0</v>
      </c>
      <c r="D16" s="29" t="str">
        <v>NA</v>
      </c>
      <c r="E16" s="29" t="str">
        <v>NA</v>
      </c>
      <c r="F16" s="30" t="str">
        <v>NA</v>
      </c>
      <c r="G16" s="27">
        <v>10</v>
      </c>
      <c r="H16" s="29">
        <v>8</v>
      </c>
      <c r="I16" s="29">
        <v>80</v>
      </c>
      <c r="J16" s="29">
        <v>3</v>
      </c>
      <c r="K16" s="30" t="str">
        <v>Y</v>
      </c>
      <c r="L16" s="27">
        <v>10</v>
      </c>
      <c r="M16" s="29">
        <v>8</v>
      </c>
      <c r="N16" s="29">
        <v>80</v>
      </c>
      <c r="O16" s="29">
        <v>3</v>
      </c>
      <c r="P16" s="30" t="str">
        <v>Y</v>
      </c>
      <c r="Q16" s="27">
        <v>0</v>
      </c>
      <c r="R16" s="29">
        <v>0</v>
      </c>
      <c r="S16" s="29" t="str">
        <v>NA</v>
      </c>
      <c r="T16" s="29" t="str">
        <v>NA</v>
      </c>
      <c r="U16" s="30" t="str">
        <v>NA</v>
      </c>
      <c r="V16" s="27">
        <v>0</v>
      </c>
      <c r="W16" s="29">
        <v>0</v>
      </c>
      <c r="X16" s="29" t="str">
        <v>NA</v>
      </c>
      <c r="Y16" s="29" t="str">
        <v>NA</v>
      </c>
      <c r="Z16" s="30" t="str">
        <v>NA</v>
      </c>
      <c r="AA16" s="27">
        <v>0</v>
      </c>
      <c r="AB16" s="29">
        <v>0</v>
      </c>
      <c r="AC16" s="29" t="str">
        <v>NA</v>
      </c>
      <c r="AD16" s="29" t="str">
        <v>NA</v>
      </c>
      <c r="AE16" s="30" t="str">
        <v>NA</v>
      </c>
    </row>
    <row r="17" spans="1:31" x14ac:dyDescent="0.3">
      <c r="A17" s="19" t="str">
        <v>2010992018 </v>
      </c>
      <c r="B17" s="27">
        <v>17</v>
      </c>
      <c r="C17" s="29">
        <v>16</v>
      </c>
      <c r="D17" s="29">
        <v>94.12</v>
      </c>
      <c r="E17" s="29">
        <v>3</v>
      </c>
      <c r="F17" s="30" t="str">
        <v>Y</v>
      </c>
      <c r="G17" s="27">
        <v>45</v>
      </c>
      <c r="H17" s="29">
        <v>35</v>
      </c>
      <c r="I17" s="29">
        <v>77.78</v>
      </c>
      <c r="J17" s="29">
        <v>3</v>
      </c>
      <c r="K17" s="30" t="str">
        <v>Y</v>
      </c>
      <c r="L17" s="27">
        <v>15</v>
      </c>
      <c r="M17" s="29">
        <v>10</v>
      </c>
      <c r="N17" s="29">
        <v>66.67</v>
      </c>
      <c r="O17" s="29">
        <v>3</v>
      </c>
      <c r="P17" s="30" t="str">
        <v>Y</v>
      </c>
      <c r="Q17" s="27">
        <v>0</v>
      </c>
      <c r="R17" s="29">
        <v>0</v>
      </c>
      <c r="S17" s="29" t="str">
        <v>NA</v>
      </c>
      <c r="T17" s="29" t="str">
        <v>NA</v>
      </c>
      <c r="U17" s="30" t="str">
        <v>NA</v>
      </c>
      <c r="V17" s="27">
        <v>0</v>
      </c>
      <c r="W17" s="29">
        <v>0</v>
      </c>
      <c r="X17" s="29" t="str">
        <v>NA</v>
      </c>
      <c r="Y17" s="29" t="str">
        <v>NA</v>
      </c>
      <c r="Z17" s="30" t="str">
        <v>NA</v>
      </c>
      <c r="AA17" s="27">
        <v>0</v>
      </c>
      <c r="AB17" s="29">
        <v>0</v>
      </c>
      <c r="AC17" s="29" t="str">
        <v>NA</v>
      </c>
      <c r="AD17" s="29" t="str">
        <v>NA</v>
      </c>
      <c r="AE17" s="30" t="str">
        <v>NA</v>
      </c>
    </row>
    <row r="18" spans="1:31" x14ac:dyDescent="0.3">
      <c r="A18" s="19" t="str">
        <v>2010992163 </v>
      </c>
      <c r="B18" s="27">
        <v>12</v>
      </c>
      <c r="C18" s="29">
        <v>12</v>
      </c>
      <c r="D18" s="29">
        <v>100</v>
      </c>
      <c r="E18" s="29">
        <v>3</v>
      </c>
      <c r="F18" s="30" t="str">
        <v>Y</v>
      </c>
      <c r="G18" s="27">
        <v>45</v>
      </c>
      <c r="H18" s="29">
        <v>44</v>
      </c>
      <c r="I18" s="29">
        <v>97.78</v>
      </c>
      <c r="J18" s="29">
        <v>3</v>
      </c>
      <c r="K18" s="30" t="str">
        <v>Y</v>
      </c>
      <c r="L18" s="27">
        <v>20</v>
      </c>
      <c r="M18" s="29">
        <v>19</v>
      </c>
      <c r="N18" s="29">
        <v>95</v>
      </c>
      <c r="O18" s="29">
        <v>3</v>
      </c>
      <c r="P18" s="30" t="str">
        <v>Y</v>
      </c>
      <c r="Q18" s="27">
        <v>0</v>
      </c>
      <c r="R18" s="29">
        <v>0</v>
      </c>
      <c r="S18" s="29" t="str">
        <v>NA</v>
      </c>
      <c r="T18" s="29" t="str">
        <v>NA</v>
      </c>
      <c r="U18" s="30" t="str">
        <v>NA</v>
      </c>
      <c r="V18" s="27">
        <v>0</v>
      </c>
      <c r="W18" s="29">
        <v>0</v>
      </c>
      <c r="X18" s="29" t="str">
        <v>NA</v>
      </c>
      <c r="Y18" s="29" t="str">
        <v>NA</v>
      </c>
      <c r="Z18" s="30" t="str">
        <v>NA</v>
      </c>
      <c r="AA18" s="27">
        <v>0</v>
      </c>
      <c r="AB18" s="29">
        <v>0</v>
      </c>
      <c r="AC18" s="29" t="str">
        <v>NA</v>
      </c>
      <c r="AD18" s="29" t="str">
        <v>NA</v>
      </c>
      <c r="AE18" s="30" t="str">
        <v>NA</v>
      </c>
    </row>
    <row r="19" spans="1:31" x14ac:dyDescent="0.3">
      <c r="A19" s="19" t="str">
        <v>2010992202 </v>
      </c>
      <c r="B19" s="27">
        <v>7</v>
      </c>
      <c r="C19" s="29">
        <v>7</v>
      </c>
      <c r="D19" s="29">
        <v>100</v>
      </c>
      <c r="E19" s="29">
        <v>3</v>
      </c>
      <c r="F19" s="30" t="str">
        <v>Y</v>
      </c>
      <c r="G19" s="27">
        <v>28</v>
      </c>
      <c r="H19" s="29">
        <v>19</v>
      </c>
      <c r="I19" s="29">
        <v>67.86</v>
      </c>
      <c r="J19" s="29">
        <v>3</v>
      </c>
      <c r="K19" s="30" t="str">
        <v>Y</v>
      </c>
      <c r="L19" s="27">
        <v>10</v>
      </c>
      <c r="M19" s="29">
        <v>6</v>
      </c>
      <c r="N19" s="29">
        <v>60</v>
      </c>
      <c r="O19" s="29">
        <v>3</v>
      </c>
      <c r="P19" s="30" t="str">
        <v>Y</v>
      </c>
      <c r="Q19" s="27">
        <v>0</v>
      </c>
      <c r="R19" s="29">
        <v>0</v>
      </c>
      <c r="S19" s="29" t="str">
        <v>NA</v>
      </c>
      <c r="T19" s="29" t="str">
        <v>NA</v>
      </c>
      <c r="U19" s="30" t="str">
        <v>NA</v>
      </c>
      <c r="V19" s="27">
        <v>0</v>
      </c>
      <c r="W19" s="29">
        <v>0</v>
      </c>
      <c r="X19" s="29" t="str">
        <v>NA</v>
      </c>
      <c r="Y19" s="29" t="str">
        <v>NA</v>
      </c>
      <c r="Z19" s="30" t="str">
        <v>NA</v>
      </c>
      <c r="AA19" s="27">
        <v>0</v>
      </c>
      <c r="AB19" s="29">
        <v>0</v>
      </c>
      <c r="AC19" s="29" t="str">
        <v>NA</v>
      </c>
      <c r="AD19" s="29" t="str">
        <v>NA</v>
      </c>
      <c r="AE19" s="30" t="str">
        <v>NA</v>
      </c>
    </row>
    <row r="20" spans="1:31" x14ac:dyDescent="0.3">
      <c r="A20" s="19" t="str">
        <v>2010992203 </v>
      </c>
      <c r="B20" s="27">
        <v>5</v>
      </c>
      <c r="C20" s="29">
        <v>5</v>
      </c>
      <c r="D20" s="29">
        <v>100</v>
      </c>
      <c r="E20" s="29">
        <v>3</v>
      </c>
      <c r="F20" s="30" t="str">
        <v>Y</v>
      </c>
      <c r="G20" s="27">
        <v>28</v>
      </c>
      <c r="H20" s="29">
        <v>22</v>
      </c>
      <c r="I20" s="29">
        <v>78.569999999999993</v>
      </c>
      <c r="J20" s="29">
        <v>3</v>
      </c>
      <c r="K20" s="30" t="str">
        <v>Y</v>
      </c>
      <c r="L20" s="27">
        <v>10</v>
      </c>
      <c r="M20" s="29">
        <v>9</v>
      </c>
      <c r="N20" s="29">
        <v>90</v>
      </c>
      <c r="O20" s="29">
        <v>3</v>
      </c>
      <c r="P20" s="30" t="str">
        <v>Y</v>
      </c>
      <c r="Q20" s="27">
        <v>0</v>
      </c>
      <c r="R20" s="29">
        <v>0</v>
      </c>
      <c r="S20" s="29" t="str">
        <v>NA</v>
      </c>
      <c r="T20" s="29" t="str">
        <v>NA</v>
      </c>
      <c r="U20" s="30" t="str">
        <v>NA</v>
      </c>
      <c r="V20" s="27">
        <v>0</v>
      </c>
      <c r="W20" s="29">
        <v>0</v>
      </c>
      <c r="X20" s="29" t="str">
        <v>NA</v>
      </c>
      <c r="Y20" s="29" t="str">
        <v>NA</v>
      </c>
      <c r="Z20" s="30" t="str">
        <v>NA</v>
      </c>
      <c r="AA20" s="27">
        <v>0</v>
      </c>
      <c r="AB20" s="29">
        <v>0</v>
      </c>
      <c r="AC20" s="29" t="str">
        <v>NA</v>
      </c>
      <c r="AD20" s="29" t="str">
        <v>NA</v>
      </c>
      <c r="AE20" s="30" t="str">
        <v>NA</v>
      </c>
    </row>
  </sheetData>
  <mergeCells count="6">
    <mergeCell ref="AA1:AE1"/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3B6F-A836-4D69-9973-22C89CCDAEC9}">
  <sheetPr codeName="Sheet40">
    <tabColor rgb="FF00B0F0"/>
  </sheetPr>
  <dimension ref="A1:AE20"/>
  <sheetViews>
    <sheetView workbookViewId="0">
      <selection activeCell="B1" sqref="B1:F1"/>
    </sheetView>
  </sheetViews>
  <sheetFormatPr defaultRowHeight="14.4" x14ac:dyDescent="0.3"/>
  <cols>
    <col min="1" max="1" width="21" style="19" bestFit="1" customWidth="1"/>
    <col min="2" max="2" width="12.33203125" style="27" bestFit="1" customWidth="1"/>
    <col min="3" max="5" width="8.88671875" style="29"/>
    <col min="6" max="6" width="8.88671875" style="30"/>
    <col min="7" max="7" width="8.88671875" style="27"/>
    <col min="8" max="10" width="8.88671875" style="29"/>
    <col min="11" max="11" width="8.88671875" style="30"/>
    <col min="12" max="12" width="8.88671875" style="27"/>
    <col min="13" max="15" width="8.88671875" style="29"/>
    <col min="16" max="16" width="8.88671875" style="30"/>
    <col min="17" max="17" width="8.88671875" style="27"/>
    <col min="18" max="20" width="8.88671875" style="29"/>
    <col min="21" max="21" width="8.88671875" style="30"/>
    <col min="22" max="22" width="8.88671875" style="27"/>
    <col min="23" max="25" width="8.88671875" style="29"/>
    <col min="26" max="26" width="8.88671875" style="30"/>
    <col min="27" max="27" width="8.88671875" style="27"/>
    <col min="28" max="30" width="8.88671875" style="29"/>
    <col min="31" max="31" width="8.88671875" style="30"/>
  </cols>
  <sheetData>
    <row r="1" spans="1:31" ht="15" thickBot="1" x14ac:dyDescent="0.35">
      <c r="A1" s="19" t="s">
        <v>88</v>
      </c>
      <c r="B1" s="105" t="str">
        <f>'ST1 CO Question Map'!C1</f>
        <v>EC118_CO1</v>
      </c>
      <c r="C1" s="106"/>
      <c r="D1" s="106"/>
      <c r="E1" s="106"/>
      <c r="F1" s="107"/>
      <c r="G1" s="105" t="str">
        <f>'ST1 CO Question Map'!D1</f>
        <v>EC118_CO2</v>
      </c>
      <c r="H1" s="106"/>
      <c r="I1" s="106"/>
      <c r="J1" s="106"/>
      <c r="K1" s="107"/>
      <c r="L1" s="105" t="str">
        <f>'ST1 CO Question Map'!E1</f>
        <v>EC118_CO3</v>
      </c>
      <c r="M1" s="106"/>
      <c r="N1" s="106"/>
      <c r="O1" s="106"/>
      <c r="P1" s="107"/>
      <c r="Q1" s="105" t="str">
        <f>'ST1 CO Question Map'!F1</f>
        <v>EC118_CO4</v>
      </c>
      <c r="R1" s="106"/>
      <c r="S1" s="106"/>
      <c r="T1" s="106"/>
      <c r="U1" s="107"/>
      <c r="V1" s="105" t="str">
        <f>'ST1 CO Question Map'!G1</f>
        <v>EC118_CO5</v>
      </c>
      <c r="W1" s="106"/>
      <c r="X1" s="106"/>
      <c r="Y1" s="106"/>
      <c r="Z1" s="107"/>
      <c r="AA1" s="105" t="str">
        <f>'ST1 CO Question Map'!H1</f>
        <v>EC118_CO6</v>
      </c>
      <c r="AB1" s="106"/>
      <c r="AC1" s="106"/>
      <c r="AD1" s="106"/>
      <c r="AE1" s="107"/>
    </row>
    <row r="2" spans="1:31" ht="15" thickBot="1" x14ac:dyDescent="0.35">
      <c r="A2" s="20" t="str" cm="1">
        <f t="array" ref="A2:A20">'ST3 Result'!$B$1:INDEX('ST3 Result'!$B:$B,COUNTA('ST3 Result'!$B:$B))</f>
        <v>Admission No. (Roll No.)</v>
      </c>
      <c r="B2" s="22" t="s">
        <v>89</v>
      </c>
      <c r="C2" s="23" t="s">
        <v>90</v>
      </c>
      <c r="D2" s="24" t="s">
        <v>91</v>
      </c>
      <c r="E2" s="23" t="s">
        <v>92</v>
      </c>
      <c r="F2" s="25" t="s">
        <v>93</v>
      </c>
      <c r="G2" s="22" t="s">
        <v>89</v>
      </c>
      <c r="H2" s="23" t="s">
        <v>90</v>
      </c>
      <c r="I2" s="24" t="s">
        <v>91</v>
      </c>
      <c r="J2" s="23" t="s">
        <v>92</v>
      </c>
      <c r="K2" s="25" t="s">
        <v>93</v>
      </c>
      <c r="L2" s="22" t="s">
        <v>89</v>
      </c>
      <c r="M2" s="23" t="s">
        <v>90</v>
      </c>
      <c r="N2" s="24" t="s">
        <v>91</v>
      </c>
      <c r="O2" s="23" t="s">
        <v>92</v>
      </c>
      <c r="P2" s="25" t="s">
        <v>93</v>
      </c>
      <c r="Q2" s="22" t="s">
        <v>89</v>
      </c>
      <c r="R2" s="23" t="s">
        <v>90</v>
      </c>
      <c r="S2" s="24" t="s">
        <v>91</v>
      </c>
      <c r="T2" s="23" t="s">
        <v>92</v>
      </c>
      <c r="U2" s="25" t="s">
        <v>93</v>
      </c>
      <c r="V2" s="22" t="s">
        <v>89</v>
      </c>
      <c r="W2" s="23" t="s">
        <v>90</v>
      </c>
      <c r="X2" s="24" t="s">
        <v>91</v>
      </c>
      <c r="Y2" s="23" t="s">
        <v>92</v>
      </c>
      <c r="Z2" s="25" t="s">
        <v>93</v>
      </c>
      <c r="AA2" s="22" t="s">
        <v>89</v>
      </c>
      <c r="AB2" s="23" t="s">
        <v>90</v>
      </c>
      <c r="AC2" s="24" t="s">
        <v>91</v>
      </c>
      <c r="AD2" s="23" t="s">
        <v>92</v>
      </c>
      <c r="AE2" s="25" t="s">
        <v>93</v>
      </c>
    </row>
    <row r="3" spans="1:31" x14ac:dyDescent="0.3">
      <c r="A3" s="21" t="str">
        <v>2010990089 </v>
      </c>
      <c r="B3" s="26" cm="1">
        <f t="array" ref="B3:B20">'ST3 Student MO CO Score'!$B$2:INDEX('ST3 Student MO CO Score'!$B:$B,COUNTA('ST3 Student MO CO Score'!$B:$B))</f>
        <v>5</v>
      </c>
      <c r="C3" s="28" cm="1">
        <f t="array" ref="C3:C20">'ST3 Student Attained CO Score'!$B$2:INDEX('ST3 Student Attained CO Score'!$B:$B,COUNTA('ST3 Student Attained CO Score'!$B:$B))</f>
        <v>5</v>
      </c>
      <c r="D3" s="28" cm="1">
        <f t="array" ref="D3:D20">IFERROR(ROUND('ST3 Student Attainment percent'!$B$2:INDEX('ST3 Student Attainment percent'!$B:$B,COUNTA('ST3 Student Attainment percent'!$B:$B)),2),"NA")</f>
        <v>100</v>
      </c>
      <c r="E3" s="28" cm="1">
        <f t="array" ref="E3:E20">'ST3 CO Attainment Score'!$B$2:INDEX('ST3 CO Attainment Score'!$B:$B,COUNTA('ST3 CO Attainment Score'!$B:$B))</f>
        <v>3</v>
      </c>
      <c r="F3" s="30" t="str" cm="1">
        <f t="array" ref="F3:F20">'ST3 Target Attained'!$B$2:INDEX('ST3 Target Attained'!$B:$B,COUNTA('ST3 Target Attained'!$B:$B))</f>
        <v>Y</v>
      </c>
      <c r="G3" s="26" cm="1">
        <f t="array" ref="G3:G20">'ST3 Student MO CO Score'!$C$2:INDEX('ST3 Student MO CO Score'!$C:$C,COUNTA('ST3 Student MO CO Score'!$C:$C))</f>
        <v>0</v>
      </c>
      <c r="H3" s="28" cm="1">
        <f t="array" ref="H3:H20">'ST3 Student Attained CO Score'!$C$2:INDEX('ST3 Student Attained CO Score'!$C:$C,COUNTA('ST3 Student Attained CO Score'!$C:$C))</f>
        <v>0</v>
      </c>
      <c r="I3" s="28" t="str" cm="1">
        <f t="array" ref="I3:I20">IFERROR(ROUND('ST3 Student Attainment percent'!$C$2:INDEX('ST3 Student Attainment percent'!$C:$C,COUNTA('ST3 Student Attainment percent'!$C:$C)),2),"NA")</f>
        <v>NA</v>
      </c>
      <c r="J3" s="28" t="str" cm="1">
        <f t="array" ref="J3:J20">'ST3 CO Attainment Score'!$C$2:INDEX('ST3 CO Attainment Score'!$C:$C,COUNTA('ST3 CO Attainment Score'!$C:$C))</f>
        <v>NA</v>
      </c>
      <c r="K3" s="30" t="str" cm="1">
        <f t="array" ref="K3:K20">'ST3 Target Attained'!$C$2:INDEX('ST3 Target Attained'!$C:$C,COUNTA('ST3 Target Attained'!$C:$C))</f>
        <v>NA</v>
      </c>
      <c r="L3" s="26" cm="1">
        <f t="array" ref="L3:L20">'ST3 Student MO CO Score'!$D$2:INDEX('ST3 Student MO CO Score'!$D:$D,COUNTA('ST3 Student MO CO Score'!$D:$D))</f>
        <v>5</v>
      </c>
      <c r="M3" s="28" cm="1">
        <f t="array" ref="M3:M20">'ST3 Student Attained CO Score'!$D$2:INDEX('ST3 Student Attained CO Score'!$D:$D,COUNTA('ST3 Student Attained CO Score'!$D:$D))</f>
        <v>1</v>
      </c>
      <c r="N3" s="28" cm="1">
        <f t="array" ref="N3:N20">IFERROR(ROUND('ST3 Student Attainment percent'!$D$2:INDEX('ST3 Student Attainment percent'!$D:$D,COUNTA('ST3 Student Attainment percent'!$D:$D)),2),"NA")</f>
        <v>20</v>
      </c>
      <c r="O3" s="28" cm="1">
        <f t="array" ref="O3:O20">'ST3 CO Attainment Score'!$D$2:INDEX('ST3 CO Attainment Score'!$D:$D,COUNTA('ST3 CO Attainment Score'!$D:$D))</f>
        <v>0</v>
      </c>
      <c r="P3" s="30" t="str" cm="1">
        <f t="array" ref="P3:P20">'ST3 Target Attained'!$D$2:INDEX('ST3 Target Attained'!$D:$D,COUNTA('ST3 Target Attained'!$D:$D))</f>
        <v>N</v>
      </c>
      <c r="Q3" s="26" cm="1">
        <f t="array" ref="Q3:Q20">'ST3 Student MO CO Score'!$E$2:INDEX('ST3 Student MO CO Score'!$E:$E,COUNTA('ST3 Student MO CO Score'!$E:$E))</f>
        <v>0</v>
      </c>
      <c r="R3" s="28" cm="1">
        <f t="array" ref="R3:R20">'ST3 Student Attained CO Score'!$E$2:INDEX('ST3 Student Attained CO Score'!$E:$E,COUNTA('ST3 Student Attained CO Score'!$E:$E))</f>
        <v>0</v>
      </c>
      <c r="S3" s="28" t="str" cm="1">
        <f t="array" ref="S3:S20">IFERROR(ROUND('ST3 Student Attainment percent'!$E$2:INDEX('ST3 Student Attainment percent'!$E:$E,COUNTA('ST3 Student Attainment percent'!$E:$E)),2),"NA")</f>
        <v>NA</v>
      </c>
      <c r="T3" s="28" t="str" cm="1">
        <f t="array" ref="T3:T20">'ST3 CO Attainment Score'!$E$2:INDEX('ST3 CO Attainment Score'!$E:$E,COUNTA('ST3 CO Attainment Score'!$E:$E))</f>
        <v>NA</v>
      </c>
      <c r="U3" s="30" t="str" cm="1">
        <f t="array" ref="U3:U20">'ST3 Target Attained'!$E$2:INDEX('ST3 Target Attained'!$E:$E,COUNTA('ST3 Target Attained'!$E:$E))</f>
        <v>NA</v>
      </c>
      <c r="V3" s="26" cm="1">
        <f t="array" ref="V3:V20">'ST3 Student MO CO Score'!$F$2:INDEX('ST3 Student MO CO Score'!$F:$F,COUNTA('ST3 Student MO CO Score'!$F:$F))</f>
        <v>0</v>
      </c>
      <c r="W3" s="28" cm="1">
        <f t="array" ref="W3:W20">'ST3 Student Attained CO Score'!$F$2:INDEX('ST3 Student Attained CO Score'!$F:$F,COUNTA('ST3 Student Attained CO Score'!$F:$F))</f>
        <v>0</v>
      </c>
      <c r="X3" s="28" t="str" cm="1">
        <f t="array" ref="X3:X20">IFERROR(ROUND('ST3 Student Attainment percent'!$F$2:INDEX('ST3 Student Attainment percent'!$F:$F,COUNTA('ST3 Student Attainment percent'!$F:$F)),2),"NA")</f>
        <v>NA</v>
      </c>
      <c r="Y3" s="28" t="str" cm="1">
        <f t="array" ref="Y3:Y20">'ST3 CO Attainment Score'!$F$2:INDEX('ST3 CO Attainment Score'!$F:$F,COUNTA('ST3 CO Attainment Score'!$F:$F))</f>
        <v>NA</v>
      </c>
      <c r="Z3" s="30" t="str" cm="1">
        <f t="array" ref="Z3:Z20">'ST3 Target Attained'!$F$2:INDEX('ST3 Target Attained'!$F:$F,COUNTA('ST3 Target Attained'!$F:$F))</f>
        <v>NA</v>
      </c>
      <c r="AA3" s="26" cm="1">
        <f t="array" ref="AA3:AA20">'ST3 Student MO CO Score'!$G$2:INDEX('ST3 Student MO CO Score'!$G:$G,COUNTA('ST3 Student MO CO Score'!$G:$G))</f>
        <v>0</v>
      </c>
      <c r="AB3" s="28" cm="1">
        <f t="array" ref="AB3:AB20">'ST3 Student Attained CO Score'!$G$2:INDEX('ST3 Student Attained CO Score'!$G:$G,COUNTA('ST3 Student Attained CO Score'!$G:$G))</f>
        <v>0</v>
      </c>
      <c r="AC3" s="28" t="str" cm="1">
        <f t="array" ref="AC3:AC20">IFERROR(ROUND('ST3 Student Attainment percent'!$G$2:INDEX('ST3 Student Attainment percent'!$G:$G,COUNTA('ST3 Student Attainment percent'!$G:$G)),2),"NA")</f>
        <v>NA</v>
      </c>
      <c r="AD3" s="28" t="str" cm="1">
        <f t="array" ref="AD3:AD20">'ST3 CO Attainment Score'!$G$2:INDEX('ST3 CO Attainment Score'!$G:$G,COUNTA('ST3 CO Attainment Score'!$G:$G))</f>
        <v>NA</v>
      </c>
      <c r="AE3" s="30" t="str" cm="1">
        <f t="array" ref="AE3:AE20">'ST3 Target Attained'!$G$2:INDEX('ST3 Target Attained'!$G:$G,COUNTA('ST3 Target Attained'!$G:$G))</f>
        <v>NA</v>
      </c>
    </row>
    <row r="4" spans="1:31" x14ac:dyDescent="0.3">
      <c r="A4" s="19" t="str">
        <v>2010992002 </v>
      </c>
      <c r="B4" s="27">
        <v>19</v>
      </c>
      <c r="C4" s="29">
        <v>19</v>
      </c>
      <c r="D4" s="29">
        <v>100</v>
      </c>
      <c r="E4" s="29">
        <v>3</v>
      </c>
      <c r="F4" s="30" t="str">
        <v>Y</v>
      </c>
      <c r="G4" s="27">
        <v>14</v>
      </c>
      <c r="H4" s="29">
        <v>14</v>
      </c>
      <c r="I4" s="29">
        <v>100</v>
      </c>
      <c r="J4" s="29">
        <v>3</v>
      </c>
      <c r="K4" s="30" t="str">
        <v>Y</v>
      </c>
      <c r="L4" s="27">
        <v>2</v>
      </c>
      <c r="M4" s="29">
        <v>2</v>
      </c>
      <c r="N4" s="29">
        <v>100</v>
      </c>
      <c r="O4" s="29">
        <v>3</v>
      </c>
      <c r="P4" s="30" t="str">
        <v>Y</v>
      </c>
      <c r="Q4" s="27">
        <v>0</v>
      </c>
      <c r="R4" s="29">
        <v>0</v>
      </c>
      <c r="S4" s="29" t="str">
        <v>NA</v>
      </c>
      <c r="T4" s="29" t="str">
        <v>NA</v>
      </c>
      <c r="U4" s="30" t="str">
        <v>NA</v>
      </c>
      <c r="V4" s="27">
        <v>0</v>
      </c>
      <c r="W4" s="29">
        <v>0</v>
      </c>
      <c r="X4" s="29" t="str">
        <v>NA</v>
      </c>
      <c r="Y4" s="29" t="str">
        <v>NA</v>
      </c>
      <c r="Z4" s="30" t="str">
        <v>NA</v>
      </c>
      <c r="AA4" s="27">
        <v>0</v>
      </c>
      <c r="AB4" s="29">
        <v>0</v>
      </c>
      <c r="AC4" s="29" t="str">
        <v>NA</v>
      </c>
      <c r="AD4" s="29" t="str">
        <v>NA</v>
      </c>
      <c r="AE4" s="30" t="str">
        <v>NA</v>
      </c>
    </row>
    <row r="5" spans="1:31" x14ac:dyDescent="0.3">
      <c r="A5" s="19" t="str">
        <v>2010992004 </v>
      </c>
      <c r="B5" s="27">
        <v>14</v>
      </c>
      <c r="C5" s="29">
        <v>10</v>
      </c>
      <c r="D5" s="29">
        <v>71.430000000000007</v>
      </c>
      <c r="E5" s="29">
        <v>3</v>
      </c>
      <c r="F5" s="30" t="str">
        <v>Y</v>
      </c>
      <c r="G5" s="27">
        <v>9</v>
      </c>
      <c r="H5" s="29">
        <v>5</v>
      </c>
      <c r="I5" s="29">
        <v>55.56</v>
      </c>
      <c r="J5" s="29">
        <v>0</v>
      </c>
      <c r="K5" s="30" t="str">
        <v>N</v>
      </c>
      <c r="L5" s="27">
        <v>2</v>
      </c>
      <c r="M5" s="29">
        <v>2</v>
      </c>
      <c r="N5" s="29">
        <v>100</v>
      </c>
      <c r="O5" s="29">
        <v>3</v>
      </c>
      <c r="P5" s="30" t="str">
        <v>Y</v>
      </c>
      <c r="Q5" s="27">
        <v>0</v>
      </c>
      <c r="R5" s="29">
        <v>0</v>
      </c>
      <c r="S5" s="29" t="str">
        <v>NA</v>
      </c>
      <c r="T5" s="29" t="str">
        <v>NA</v>
      </c>
      <c r="U5" s="30" t="str">
        <v>NA</v>
      </c>
      <c r="V5" s="27">
        <v>0</v>
      </c>
      <c r="W5" s="29">
        <v>0</v>
      </c>
      <c r="X5" s="29" t="str">
        <v>NA</v>
      </c>
      <c r="Y5" s="29" t="str">
        <v>NA</v>
      </c>
      <c r="Z5" s="30" t="str">
        <v>NA</v>
      </c>
      <c r="AA5" s="27">
        <v>0</v>
      </c>
      <c r="AB5" s="29">
        <v>0</v>
      </c>
      <c r="AC5" s="29" t="str">
        <v>NA</v>
      </c>
      <c r="AD5" s="29" t="str">
        <v>NA</v>
      </c>
      <c r="AE5" s="30" t="str">
        <v>NA</v>
      </c>
    </row>
    <row r="6" spans="1:31" x14ac:dyDescent="0.3">
      <c r="A6" s="19" t="str">
        <v>2010992005 </v>
      </c>
      <c r="B6" s="27">
        <v>7</v>
      </c>
      <c r="C6" s="29">
        <v>6</v>
      </c>
      <c r="D6" s="29">
        <v>85.71</v>
      </c>
      <c r="E6" s="29">
        <v>3</v>
      </c>
      <c r="F6" s="30" t="str">
        <v>Y</v>
      </c>
      <c r="G6" s="27">
        <v>2</v>
      </c>
      <c r="H6" s="29">
        <v>2</v>
      </c>
      <c r="I6" s="29">
        <v>100</v>
      </c>
      <c r="J6" s="29">
        <v>3</v>
      </c>
      <c r="K6" s="30" t="str">
        <v>Y</v>
      </c>
      <c r="L6" s="27">
        <v>5</v>
      </c>
      <c r="M6" s="29">
        <v>1</v>
      </c>
      <c r="N6" s="29">
        <v>20</v>
      </c>
      <c r="O6" s="29">
        <v>0</v>
      </c>
      <c r="P6" s="30" t="str">
        <v>N</v>
      </c>
      <c r="Q6" s="27">
        <v>0</v>
      </c>
      <c r="R6" s="29">
        <v>0</v>
      </c>
      <c r="S6" s="29" t="str">
        <v>NA</v>
      </c>
      <c r="T6" s="29" t="str">
        <v>NA</v>
      </c>
      <c r="U6" s="30" t="str">
        <v>NA</v>
      </c>
      <c r="V6" s="27">
        <v>0</v>
      </c>
      <c r="W6" s="29">
        <v>0</v>
      </c>
      <c r="X6" s="29" t="str">
        <v>NA</v>
      </c>
      <c r="Y6" s="29" t="str">
        <v>NA</v>
      </c>
      <c r="Z6" s="30" t="str">
        <v>NA</v>
      </c>
      <c r="AA6" s="27">
        <v>0</v>
      </c>
      <c r="AB6" s="29">
        <v>0</v>
      </c>
      <c r="AC6" s="29" t="str">
        <v>NA</v>
      </c>
      <c r="AD6" s="29" t="str">
        <v>NA</v>
      </c>
      <c r="AE6" s="30" t="str">
        <v>NA</v>
      </c>
    </row>
    <row r="7" spans="1:31" x14ac:dyDescent="0.3">
      <c r="A7" s="19" t="str">
        <v>2010992006 </v>
      </c>
      <c r="B7" s="27">
        <v>14</v>
      </c>
      <c r="C7" s="29">
        <v>9</v>
      </c>
      <c r="D7" s="29">
        <v>64.290000000000006</v>
      </c>
      <c r="E7" s="29">
        <v>3</v>
      </c>
      <c r="F7" s="30" t="str">
        <v>Y</v>
      </c>
      <c r="G7" s="27">
        <v>0</v>
      </c>
      <c r="H7" s="29">
        <v>0</v>
      </c>
      <c r="I7" s="29" t="str">
        <v>NA</v>
      </c>
      <c r="J7" s="29" t="str">
        <v>NA</v>
      </c>
      <c r="K7" s="30" t="str">
        <v>NA</v>
      </c>
      <c r="L7" s="27">
        <v>0</v>
      </c>
      <c r="M7" s="29">
        <v>0</v>
      </c>
      <c r="N7" s="29" t="str">
        <v>NA</v>
      </c>
      <c r="O7" s="29" t="str">
        <v>NA</v>
      </c>
      <c r="P7" s="30" t="str">
        <v>NA</v>
      </c>
      <c r="Q7" s="27">
        <v>0</v>
      </c>
      <c r="R7" s="29">
        <v>0</v>
      </c>
      <c r="S7" s="29" t="str">
        <v>NA</v>
      </c>
      <c r="T7" s="29" t="str">
        <v>NA</v>
      </c>
      <c r="U7" s="30" t="str">
        <v>NA</v>
      </c>
      <c r="V7" s="27">
        <v>0</v>
      </c>
      <c r="W7" s="29">
        <v>0</v>
      </c>
      <c r="X7" s="29" t="str">
        <v>NA</v>
      </c>
      <c r="Y7" s="29" t="str">
        <v>NA</v>
      </c>
      <c r="Z7" s="30" t="str">
        <v>NA</v>
      </c>
      <c r="AA7" s="27">
        <v>0</v>
      </c>
      <c r="AB7" s="29">
        <v>0</v>
      </c>
      <c r="AC7" s="29" t="str">
        <v>NA</v>
      </c>
      <c r="AD7" s="29" t="str">
        <v>NA</v>
      </c>
      <c r="AE7" s="30" t="str">
        <v>NA</v>
      </c>
    </row>
    <row r="8" spans="1:31" x14ac:dyDescent="0.3">
      <c r="A8" s="19" t="str">
        <v>2010992008 </v>
      </c>
      <c r="B8" s="27">
        <v>10</v>
      </c>
      <c r="C8" s="29">
        <v>6</v>
      </c>
      <c r="D8" s="29">
        <v>60</v>
      </c>
      <c r="E8" s="29">
        <v>3</v>
      </c>
      <c r="F8" s="30" t="str">
        <v>Y</v>
      </c>
      <c r="G8" s="27">
        <v>6</v>
      </c>
      <c r="H8" s="29">
        <v>5</v>
      </c>
      <c r="I8" s="29">
        <v>83.33</v>
      </c>
      <c r="J8" s="29">
        <v>3</v>
      </c>
      <c r="K8" s="30" t="str">
        <v>Y</v>
      </c>
      <c r="L8" s="27">
        <v>2</v>
      </c>
      <c r="M8" s="29">
        <v>2</v>
      </c>
      <c r="N8" s="29">
        <v>100</v>
      </c>
      <c r="O8" s="29">
        <v>3</v>
      </c>
      <c r="P8" s="30" t="str">
        <v>Y</v>
      </c>
      <c r="Q8" s="27">
        <v>0</v>
      </c>
      <c r="R8" s="29">
        <v>0</v>
      </c>
      <c r="S8" s="29" t="str">
        <v>NA</v>
      </c>
      <c r="T8" s="29" t="str">
        <v>NA</v>
      </c>
      <c r="U8" s="30" t="str">
        <v>NA</v>
      </c>
      <c r="V8" s="27">
        <v>0</v>
      </c>
      <c r="W8" s="29">
        <v>0</v>
      </c>
      <c r="X8" s="29" t="str">
        <v>NA</v>
      </c>
      <c r="Y8" s="29" t="str">
        <v>NA</v>
      </c>
      <c r="Z8" s="30" t="str">
        <v>NA</v>
      </c>
      <c r="AA8" s="27">
        <v>0</v>
      </c>
      <c r="AB8" s="29">
        <v>0</v>
      </c>
      <c r="AC8" s="29" t="str">
        <v>NA</v>
      </c>
      <c r="AD8" s="29" t="str">
        <v>NA</v>
      </c>
      <c r="AE8" s="30" t="str">
        <v>NA</v>
      </c>
    </row>
    <row r="9" spans="1:31" x14ac:dyDescent="0.3">
      <c r="A9" s="19" t="str">
        <v>2010992009 </v>
      </c>
      <c r="B9" s="27">
        <v>0</v>
      </c>
      <c r="C9" s="29">
        <v>0</v>
      </c>
      <c r="D9" s="29" t="str">
        <v>NA</v>
      </c>
      <c r="E9" s="29" t="str">
        <v>NA</v>
      </c>
      <c r="F9" s="30" t="str">
        <v>NA</v>
      </c>
      <c r="G9" s="27">
        <v>0</v>
      </c>
      <c r="H9" s="29">
        <v>0</v>
      </c>
      <c r="I9" s="29" t="str">
        <v>NA</v>
      </c>
      <c r="J9" s="29" t="str">
        <v>NA</v>
      </c>
      <c r="K9" s="30" t="str">
        <v>NA</v>
      </c>
      <c r="L9" s="27">
        <v>0</v>
      </c>
      <c r="M9" s="29">
        <v>0</v>
      </c>
      <c r="N9" s="29" t="str">
        <v>NA</v>
      </c>
      <c r="O9" s="29" t="str">
        <v>NA</v>
      </c>
      <c r="P9" s="30" t="str">
        <v>NA</v>
      </c>
      <c r="Q9" s="27">
        <v>0</v>
      </c>
      <c r="R9" s="29">
        <v>0</v>
      </c>
      <c r="S9" s="29" t="str">
        <v>NA</v>
      </c>
      <c r="T9" s="29" t="str">
        <v>NA</v>
      </c>
      <c r="U9" s="30" t="str">
        <v>NA</v>
      </c>
      <c r="V9" s="27">
        <v>0</v>
      </c>
      <c r="W9" s="29">
        <v>0</v>
      </c>
      <c r="X9" s="29" t="str">
        <v>NA</v>
      </c>
      <c r="Y9" s="29" t="str">
        <v>NA</v>
      </c>
      <c r="Z9" s="30" t="str">
        <v>NA</v>
      </c>
      <c r="AA9" s="27">
        <v>0</v>
      </c>
      <c r="AB9" s="29">
        <v>0</v>
      </c>
      <c r="AC9" s="29" t="str">
        <v>NA</v>
      </c>
      <c r="AD9" s="29" t="str">
        <v>NA</v>
      </c>
      <c r="AE9" s="30" t="str">
        <v>NA</v>
      </c>
    </row>
    <row r="10" spans="1:31" x14ac:dyDescent="0.3">
      <c r="A10" s="19" t="str">
        <v>2010992010 </v>
      </c>
      <c r="B10" s="27">
        <v>12</v>
      </c>
      <c r="C10" s="29">
        <v>7</v>
      </c>
      <c r="D10" s="29">
        <v>58.33</v>
      </c>
      <c r="E10" s="29">
        <v>0</v>
      </c>
      <c r="F10" s="30" t="str">
        <v>N</v>
      </c>
      <c r="G10" s="27">
        <v>2</v>
      </c>
      <c r="H10" s="29">
        <v>2</v>
      </c>
      <c r="I10" s="29">
        <v>100</v>
      </c>
      <c r="J10" s="29">
        <v>3</v>
      </c>
      <c r="K10" s="30" t="str">
        <v>Y</v>
      </c>
      <c r="L10" s="27">
        <v>2</v>
      </c>
      <c r="M10" s="29">
        <v>2</v>
      </c>
      <c r="N10" s="29">
        <v>100</v>
      </c>
      <c r="O10" s="29">
        <v>3</v>
      </c>
      <c r="P10" s="30" t="str">
        <v>Y</v>
      </c>
      <c r="Q10" s="27">
        <v>0</v>
      </c>
      <c r="R10" s="29">
        <v>0</v>
      </c>
      <c r="S10" s="29" t="str">
        <v>NA</v>
      </c>
      <c r="T10" s="29" t="str">
        <v>NA</v>
      </c>
      <c r="U10" s="30" t="str">
        <v>NA</v>
      </c>
      <c r="V10" s="27">
        <v>0</v>
      </c>
      <c r="W10" s="29">
        <v>0</v>
      </c>
      <c r="X10" s="29" t="str">
        <v>NA</v>
      </c>
      <c r="Y10" s="29" t="str">
        <v>NA</v>
      </c>
      <c r="Z10" s="30" t="str">
        <v>NA</v>
      </c>
      <c r="AA10" s="27">
        <v>0</v>
      </c>
      <c r="AB10" s="29">
        <v>0</v>
      </c>
      <c r="AC10" s="29" t="str">
        <v>NA</v>
      </c>
      <c r="AD10" s="29" t="str">
        <v>NA</v>
      </c>
      <c r="AE10" s="30" t="str">
        <v>NA</v>
      </c>
    </row>
    <row r="11" spans="1:31" x14ac:dyDescent="0.3">
      <c r="A11" s="19" t="str">
        <v>2010992011 </v>
      </c>
      <c r="B11" s="27">
        <v>7</v>
      </c>
      <c r="C11" s="29">
        <v>6</v>
      </c>
      <c r="D11" s="29">
        <v>85.71</v>
      </c>
      <c r="E11" s="29">
        <v>3</v>
      </c>
      <c r="F11" s="30" t="str">
        <v>Y</v>
      </c>
      <c r="G11" s="27">
        <v>6</v>
      </c>
      <c r="H11" s="29">
        <v>6</v>
      </c>
      <c r="I11" s="29">
        <v>100</v>
      </c>
      <c r="J11" s="29">
        <v>3</v>
      </c>
      <c r="K11" s="30" t="str">
        <v>Y</v>
      </c>
      <c r="L11" s="27">
        <v>7</v>
      </c>
      <c r="M11" s="29">
        <v>3</v>
      </c>
      <c r="N11" s="29">
        <v>42.86</v>
      </c>
      <c r="O11" s="29">
        <v>0</v>
      </c>
      <c r="P11" s="30" t="str">
        <v>N</v>
      </c>
      <c r="Q11" s="27">
        <v>0</v>
      </c>
      <c r="R11" s="29">
        <v>0</v>
      </c>
      <c r="S11" s="29" t="str">
        <v>NA</v>
      </c>
      <c r="T11" s="29" t="str">
        <v>NA</v>
      </c>
      <c r="U11" s="30" t="str">
        <v>NA</v>
      </c>
      <c r="V11" s="27">
        <v>0</v>
      </c>
      <c r="W11" s="29">
        <v>0</v>
      </c>
      <c r="X11" s="29" t="str">
        <v>NA</v>
      </c>
      <c r="Y11" s="29" t="str">
        <v>NA</v>
      </c>
      <c r="Z11" s="30" t="str">
        <v>NA</v>
      </c>
      <c r="AA11" s="27">
        <v>0</v>
      </c>
      <c r="AB11" s="29">
        <v>0</v>
      </c>
      <c r="AC11" s="29" t="str">
        <v>NA</v>
      </c>
      <c r="AD11" s="29" t="str">
        <v>NA</v>
      </c>
      <c r="AE11" s="30" t="str">
        <v>NA</v>
      </c>
    </row>
    <row r="12" spans="1:31" x14ac:dyDescent="0.3">
      <c r="A12" s="19" t="str">
        <v>2010992012 </v>
      </c>
      <c r="B12" s="27">
        <v>10</v>
      </c>
      <c r="C12" s="29">
        <v>6</v>
      </c>
      <c r="D12" s="29">
        <v>60</v>
      </c>
      <c r="E12" s="29">
        <v>3</v>
      </c>
      <c r="F12" s="30" t="str">
        <v>Y</v>
      </c>
      <c r="G12" s="27">
        <v>6</v>
      </c>
      <c r="H12" s="29">
        <v>4</v>
      </c>
      <c r="I12" s="29">
        <v>66.67</v>
      </c>
      <c r="J12" s="29">
        <v>3</v>
      </c>
      <c r="K12" s="30" t="str">
        <v>Y</v>
      </c>
      <c r="L12" s="27">
        <v>0</v>
      </c>
      <c r="M12" s="29">
        <v>0</v>
      </c>
      <c r="N12" s="29" t="str">
        <v>NA</v>
      </c>
      <c r="O12" s="29" t="str">
        <v>NA</v>
      </c>
      <c r="P12" s="30" t="str">
        <v>NA</v>
      </c>
      <c r="Q12" s="27">
        <v>0</v>
      </c>
      <c r="R12" s="29">
        <v>0</v>
      </c>
      <c r="S12" s="29" t="str">
        <v>NA</v>
      </c>
      <c r="T12" s="29" t="str">
        <v>NA</v>
      </c>
      <c r="U12" s="30" t="str">
        <v>NA</v>
      </c>
      <c r="V12" s="27">
        <v>0</v>
      </c>
      <c r="W12" s="29">
        <v>0</v>
      </c>
      <c r="X12" s="29" t="str">
        <v>NA</v>
      </c>
      <c r="Y12" s="29" t="str">
        <v>NA</v>
      </c>
      <c r="Z12" s="30" t="str">
        <v>NA</v>
      </c>
      <c r="AA12" s="27">
        <v>0</v>
      </c>
      <c r="AB12" s="29">
        <v>0</v>
      </c>
      <c r="AC12" s="29" t="str">
        <v>NA</v>
      </c>
      <c r="AD12" s="29" t="str">
        <v>NA</v>
      </c>
      <c r="AE12" s="30" t="str">
        <v>NA</v>
      </c>
    </row>
    <row r="13" spans="1:31" x14ac:dyDescent="0.3">
      <c r="A13" s="19" t="str">
        <v>2010992014 </v>
      </c>
      <c r="B13" s="27">
        <v>10</v>
      </c>
      <c r="C13" s="29">
        <v>6</v>
      </c>
      <c r="D13" s="29">
        <v>60</v>
      </c>
      <c r="E13" s="29">
        <v>3</v>
      </c>
      <c r="F13" s="30" t="str">
        <v>Y</v>
      </c>
      <c r="G13" s="27">
        <v>2</v>
      </c>
      <c r="H13" s="29">
        <v>1</v>
      </c>
      <c r="I13" s="29">
        <v>50</v>
      </c>
      <c r="J13" s="29">
        <v>0</v>
      </c>
      <c r="K13" s="30" t="str">
        <v>N</v>
      </c>
      <c r="L13" s="27">
        <v>0</v>
      </c>
      <c r="M13" s="29">
        <v>0</v>
      </c>
      <c r="N13" s="29" t="str">
        <v>NA</v>
      </c>
      <c r="O13" s="29" t="str">
        <v>NA</v>
      </c>
      <c r="P13" s="30" t="str">
        <v>NA</v>
      </c>
      <c r="Q13" s="27">
        <v>0</v>
      </c>
      <c r="R13" s="29">
        <v>0</v>
      </c>
      <c r="S13" s="29" t="str">
        <v>NA</v>
      </c>
      <c r="T13" s="29" t="str">
        <v>NA</v>
      </c>
      <c r="U13" s="30" t="str">
        <v>NA</v>
      </c>
      <c r="V13" s="27">
        <v>0</v>
      </c>
      <c r="W13" s="29">
        <v>0</v>
      </c>
      <c r="X13" s="29" t="str">
        <v>NA</v>
      </c>
      <c r="Y13" s="29" t="str">
        <v>NA</v>
      </c>
      <c r="Z13" s="30" t="str">
        <v>NA</v>
      </c>
      <c r="AA13" s="27">
        <v>0</v>
      </c>
      <c r="AB13" s="29">
        <v>0</v>
      </c>
      <c r="AC13" s="29" t="str">
        <v>NA</v>
      </c>
      <c r="AD13" s="29" t="str">
        <v>NA</v>
      </c>
      <c r="AE13" s="30" t="str">
        <v>NA</v>
      </c>
    </row>
    <row r="14" spans="1:31" x14ac:dyDescent="0.3">
      <c r="A14" s="19" t="str">
        <v>2010992015 </v>
      </c>
      <c r="B14" s="27">
        <v>12</v>
      </c>
      <c r="C14" s="29">
        <v>10</v>
      </c>
      <c r="D14" s="29">
        <v>83.33</v>
      </c>
      <c r="E14" s="29">
        <v>3</v>
      </c>
      <c r="F14" s="30" t="str">
        <v>Y</v>
      </c>
      <c r="G14" s="27">
        <v>6</v>
      </c>
      <c r="H14" s="29">
        <v>6</v>
      </c>
      <c r="I14" s="29">
        <v>100</v>
      </c>
      <c r="J14" s="29">
        <v>3</v>
      </c>
      <c r="K14" s="30" t="str">
        <v>Y</v>
      </c>
      <c r="L14" s="27">
        <v>7</v>
      </c>
      <c r="M14" s="29">
        <v>3</v>
      </c>
      <c r="N14" s="29">
        <v>42.86</v>
      </c>
      <c r="O14" s="29">
        <v>0</v>
      </c>
      <c r="P14" s="30" t="str">
        <v>N</v>
      </c>
      <c r="Q14" s="27">
        <v>0</v>
      </c>
      <c r="R14" s="29">
        <v>0</v>
      </c>
      <c r="S14" s="29" t="str">
        <v>NA</v>
      </c>
      <c r="T14" s="29" t="str">
        <v>NA</v>
      </c>
      <c r="U14" s="30" t="str">
        <v>NA</v>
      </c>
      <c r="V14" s="27">
        <v>0</v>
      </c>
      <c r="W14" s="29">
        <v>0</v>
      </c>
      <c r="X14" s="29" t="str">
        <v>NA</v>
      </c>
      <c r="Y14" s="29" t="str">
        <v>NA</v>
      </c>
      <c r="Z14" s="30" t="str">
        <v>NA</v>
      </c>
      <c r="AA14" s="27">
        <v>0</v>
      </c>
      <c r="AB14" s="29">
        <v>0</v>
      </c>
      <c r="AC14" s="29" t="str">
        <v>NA</v>
      </c>
      <c r="AD14" s="29" t="str">
        <v>NA</v>
      </c>
      <c r="AE14" s="30" t="str">
        <v>NA</v>
      </c>
    </row>
    <row r="15" spans="1:31" x14ac:dyDescent="0.3">
      <c r="A15" s="19" t="str">
        <v>2010992016 </v>
      </c>
      <c r="B15" s="27">
        <v>19</v>
      </c>
      <c r="C15" s="29">
        <v>19</v>
      </c>
      <c r="D15" s="29">
        <v>100</v>
      </c>
      <c r="E15" s="29">
        <v>3</v>
      </c>
      <c r="F15" s="30" t="str">
        <v>Y</v>
      </c>
      <c r="G15" s="27">
        <v>14</v>
      </c>
      <c r="H15" s="29">
        <v>14</v>
      </c>
      <c r="I15" s="29">
        <v>100</v>
      </c>
      <c r="J15" s="29">
        <v>3</v>
      </c>
      <c r="K15" s="30" t="str">
        <v>Y</v>
      </c>
      <c r="L15" s="27">
        <v>2</v>
      </c>
      <c r="M15" s="29">
        <v>2</v>
      </c>
      <c r="N15" s="29">
        <v>100</v>
      </c>
      <c r="O15" s="29">
        <v>3</v>
      </c>
      <c r="P15" s="30" t="str">
        <v>Y</v>
      </c>
      <c r="Q15" s="27">
        <v>0</v>
      </c>
      <c r="R15" s="29">
        <v>0</v>
      </c>
      <c r="S15" s="29" t="str">
        <v>NA</v>
      </c>
      <c r="T15" s="29" t="str">
        <v>NA</v>
      </c>
      <c r="U15" s="30" t="str">
        <v>NA</v>
      </c>
      <c r="V15" s="27">
        <v>0</v>
      </c>
      <c r="W15" s="29">
        <v>0</v>
      </c>
      <c r="X15" s="29" t="str">
        <v>NA</v>
      </c>
      <c r="Y15" s="29" t="str">
        <v>NA</v>
      </c>
      <c r="Z15" s="30" t="str">
        <v>NA</v>
      </c>
      <c r="AA15" s="27">
        <v>0</v>
      </c>
      <c r="AB15" s="29">
        <v>0</v>
      </c>
      <c r="AC15" s="29" t="str">
        <v>NA</v>
      </c>
      <c r="AD15" s="29" t="str">
        <v>NA</v>
      </c>
      <c r="AE15" s="30" t="str">
        <v>NA</v>
      </c>
    </row>
    <row r="16" spans="1:31" x14ac:dyDescent="0.3">
      <c r="A16" s="19" t="str">
        <v>2010992017 </v>
      </c>
      <c r="B16" s="27">
        <v>14</v>
      </c>
      <c r="C16" s="29">
        <v>9</v>
      </c>
      <c r="D16" s="29">
        <v>64.290000000000006</v>
      </c>
      <c r="E16" s="29">
        <v>3</v>
      </c>
      <c r="F16" s="30" t="str">
        <v>Y</v>
      </c>
      <c r="G16" s="27">
        <v>2</v>
      </c>
      <c r="H16" s="29">
        <v>2</v>
      </c>
      <c r="I16" s="29">
        <v>100</v>
      </c>
      <c r="J16" s="29">
        <v>3</v>
      </c>
      <c r="K16" s="30" t="str">
        <v>Y</v>
      </c>
      <c r="L16" s="27">
        <v>0</v>
      </c>
      <c r="M16" s="29">
        <v>0</v>
      </c>
      <c r="N16" s="29" t="str">
        <v>NA</v>
      </c>
      <c r="O16" s="29" t="str">
        <v>NA</v>
      </c>
      <c r="P16" s="30" t="str">
        <v>NA</v>
      </c>
      <c r="Q16" s="27">
        <v>0</v>
      </c>
      <c r="R16" s="29">
        <v>0</v>
      </c>
      <c r="S16" s="29" t="str">
        <v>NA</v>
      </c>
      <c r="T16" s="29" t="str">
        <v>NA</v>
      </c>
      <c r="U16" s="30" t="str">
        <v>NA</v>
      </c>
      <c r="V16" s="27">
        <v>0</v>
      </c>
      <c r="W16" s="29">
        <v>0</v>
      </c>
      <c r="X16" s="29" t="str">
        <v>NA</v>
      </c>
      <c r="Y16" s="29" t="str">
        <v>NA</v>
      </c>
      <c r="Z16" s="30" t="str">
        <v>NA</v>
      </c>
      <c r="AA16" s="27">
        <v>0</v>
      </c>
      <c r="AB16" s="29">
        <v>0</v>
      </c>
      <c r="AC16" s="29" t="str">
        <v>NA</v>
      </c>
      <c r="AD16" s="29" t="str">
        <v>NA</v>
      </c>
      <c r="AE16" s="30" t="str">
        <v>NA</v>
      </c>
    </row>
    <row r="17" spans="1:31" x14ac:dyDescent="0.3">
      <c r="A17" s="19" t="str">
        <v>2010992018 </v>
      </c>
      <c r="B17" s="27">
        <v>14</v>
      </c>
      <c r="C17" s="29">
        <v>10</v>
      </c>
      <c r="D17" s="29">
        <v>71.430000000000007</v>
      </c>
      <c r="E17" s="29">
        <v>3</v>
      </c>
      <c r="F17" s="30" t="str">
        <v>Y</v>
      </c>
      <c r="G17" s="27">
        <v>11</v>
      </c>
      <c r="H17" s="29">
        <v>11</v>
      </c>
      <c r="I17" s="29">
        <v>100</v>
      </c>
      <c r="J17" s="29">
        <v>3</v>
      </c>
      <c r="K17" s="30" t="str">
        <v>Y</v>
      </c>
      <c r="L17" s="27">
        <v>5</v>
      </c>
      <c r="M17" s="29">
        <v>1</v>
      </c>
      <c r="N17" s="29">
        <v>20</v>
      </c>
      <c r="O17" s="29">
        <v>0</v>
      </c>
      <c r="P17" s="30" t="str">
        <v>N</v>
      </c>
      <c r="Q17" s="27">
        <v>0</v>
      </c>
      <c r="R17" s="29">
        <v>0</v>
      </c>
      <c r="S17" s="29" t="str">
        <v>NA</v>
      </c>
      <c r="T17" s="29" t="str">
        <v>NA</v>
      </c>
      <c r="U17" s="30" t="str">
        <v>NA</v>
      </c>
      <c r="V17" s="27">
        <v>0</v>
      </c>
      <c r="W17" s="29">
        <v>0</v>
      </c>
      <c r="X17" s="29" t="str">
        <v>NA</v>
      </c>
      <c r="Y17" s="29" t="str">
        <v>NA</v>
      </c>
      <c r="Z17" s="30" t="str">
        <v>NA</v>
      </c>
      <c r="AA17" s="27">
        <v>0</v>
      </c>
      <c r="AB17" s="29">
        <v>0</v>
      </c>
      <c r="AC17" s="29" t="str">
        <v>NA</v>
      </c>
      <c r="AD17" s="29" t="str">
        <v>NA</v>
      </c>
      <c r="AE17" s="30" t="str">
        <v>NA</v>
      </c>
    </row>
    <row r="18" spans="1:31" x14ac:dyDescent="0.3">
      <c r="A18" s="19" t="str">
        <v>2010992163 </v>
      </c>
      <c r="B18" s="27">
        <v>0</v>
      </c>
      <c r="C18" s="29">
        <v>0</v>
      </c>
      <c r="D18" s="29" t="str">
        <v>NA</v>
      </c>
      <c r="E18" s="29" t="str">
        <v>NA</v>
      </c>
      <c r="F18" s="30" t="str">
        <v>NA</v>
      </c>
      <c r="G18" s="27">
        <v>0</v>
      </c>
      <c r="H18" s="29">
        <v>0</v>
      </c>
      <c r="I18" s="29" t="str">
        <v>NA</v>
      </c>
      <c r="J18" s="29" t="str">
        <v>NA</v>
      </c>
      <c r="K18" s="30" t="str">
        <v>NA</v>
      </c>
      <c r="L18" s="27">
        <v>0</v>
      </c>
      <c r="M18" s="29">
        <v>0</v>
      </c>
      <c r="N18" s="29" t="str">
        <v>NA</v>
      </c>
      <c r="O18" s="29" t="str">
        <v>NA</v>
      </c>
      <c r="P18" s="30" t="str">
        <v>NA</v>
      </c>
      <c r="Q18" s="27">
        <v>0</v>
      </c>
      <c r="R18" s="29">
        <v>0</v>
      </c>
      <c r="S18" s="29" t="str">
        <v>NA</v>
      </c>
      <c r="T18" s="29" t="str">
        <v>NA</v>
      </c>
      <c r="U18" s="30" t="str">
        <v>NA</v>
      </c>
      <c r="V18" s="27">
        <v>0</v>
      </c>
      <c r="W18" s="29">
        <v>0</v>
      </c>
      <c r="X18" s="29" t="str">
        <v>NA</v>
      </c>
      <c r="Y18" s="29" t="str">
        <v>NA</v>
      </c>
      <c r="Z18" s="30" t="str">
        <v>NA</v>
      </c>
      <c r="AA18" s="27">
        <v>0</v>
      </c>
      <c r="AB18" s="29">
        <v>0</v>
      </c>
      <c r="AC18" s="29" t="str">
        <v>NA</v>
      </c>
      <c r="AD18" s="29" t="str">
        <v>NA</v>
      </c>
      <c r="AE18" s="30" t="str">
        <v>NA</v>
      </c>
    </row>
    <row r="19" spans="1:31" x14ac:dyDescent="0.3">
      <c r="A19" s="19" t="str">
        <v>2010992202 </v>
      </c>
      <c r="B19" s="27">
        <v>9</v>
      </c>
      <c r="C19" s="29">
        <v>8</v>
      </c>
      <c r="D19" s="29">
        <v>88.89</v>
      </c>
      <c r="E19" s="29">
        <v>3</v>
      </c>
      <c r="F19" s="30" t="str">
        <v>Y</v>
      </c>
      <c r="G19" s="27">
        <v>11</v>
      </c>
      <c r="H19" s="29">
        <v>7</v>
      </c>
      <c r="I19" s="29">
        <v>63.64</v>
      </c>
      <c r="J19" s="29">
        <v>3</v>
      </c>
      <c r="K19" s="30" t="str">
        <v>Y</v>
      </c>
      <c r="L19" s="27">
        <v>5</v>
      </c>
      <c r="M19" s="29">
        <v>1</v>
      </c>
      <c r="N19" s="29">
        <v>20</v>
      </c>
      <c r="O19" s="29">
        <v>0</v>
      </c>
      <c r="P19" s="30" t="str">
        <v>N</v>
      </c>
      <c r="Q19" s="27">
        <v>0</v>
      </c>
      <c r="R19" s="29">
        <v>0</v>
      </c>
      <c r="S19" s="29" t="str">
        <v>NA</v>
      </c>
      <c r="T19" s="29" t="str">
        <v>NA</v>
      </c>
      <c r="U19" s="30" t="str">
        <v>NA</v>
      </c>
      <c r="V19" s="27">
        <v>0</v>
      </c>
      <c r="W19" s="29">
        <v>0</v>
      </c>
      <c r="X19" s="29" t="str">
        <v>NA</v>
      </c>
      <c r="Y19" s="29" t="str">
        <v>NA</v>
      </c>
      <c r="Z19" s="30" t="str">
        <v>NA</v>
      </c>
      <c r="AA19" s="27">
        <v>0</v>
      </c>
      <c r="AB19" s="29">
        <v>0</v>
      </c>
      <c r="AC19" s="29" t="str">
        <v>NA</v>
      </c>
      <c r="AD19" s="29" t="str">
        <v>NA</v>
      </c>
      <c r="AE19" s="30" t="str">
        <v>NA</v>
      </c>
    </row>
    <row r="20" spans="1:31" x14ac:dyDescent="0.3">
      <c r="A20" s="19" t="str">
        <v>2010992203 </v>
      </c>
      <c r="B20" s="27">
        <v>9</v>
      </c>
      <c r="C20" s="29">
        <v>7</v>
      </c>
      <c r="D20" s="29">
        <v>77.78</v>
      </c>
      <c r="E20" s="29">
        <v>3</v>
      </c>
      <c r="F20" s="30" t="str">
        <v>Y</v>
      </c>
      <c r="G20" s="27">
        <v>2</v>
      </c>
      <c r="H20" s="29">
        <v>2</v>
      </c>
      <c r="I20" s="29">
        <v>100</v>
      </c>
      <c r="J20" s="29">
        <v>3</v>
      </c>
      <c r="K20" s="30" t="str">
        <v>Y</v>
      </c>
      <c r="L20" s="27">
        <v>7</v>
      </c>
      <c r="M20" s="29">
        <v>3</v>
      </c>
      <c r="N20" s="29">
        <v>42.86</v>
      </c>
      <c r="O20" s="29">
        <v>0</v>
      </c>
      <c r="P20" s="30" t="str">
        <v>N</v>
      </c>
      <c r="Q20" s="27">
        <v>0</v>
      </c>
      <c r="R20" s="29">
        <v>0</v>
      </c>
      <c r="S20" s="29" t="str">
        <v>NA</v>
      </c>
      <c r="T20" s="29" t="str">
        <v>NA</v>
      </c>
      <c r="U20" s="30" t="str">
        <v>NA</v>
      </c>
      <c r="V20" s="27">
        <v>0</v>
      </c>
      <c r="W20" s="29">
        <v>0</v>
      </c>
      <c r="X20" s="29" t="str">
        <v>NA</v>
      </c>
      <c r="Y20" s="29" t="str">
        <v>NA</v>
      </c>
      <c r="Z20" s="30" t="str">
        <v>NA</v>
      </c>
      <c r="AA20" s="27">
        <v>0</v>
      </c>
      <c r="AB20" s="29">
        <v>0</v>
      </c>
      <c r="AC20" s="29" t="str">
        <v>NA</v>
      </c>
      <c r="AD20" s="29" t="str">
        <v>NA</v>
      </c>
      <c r="AE20" s="30" t="str">
        <v>NA</v>
      </c>
    </row>
  </sheetData>
  <mergeCells count="6">
    <mergeCell ref="AA1:AE1"/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DFD6F-9F0E-402F-87FD-4260D835C0B5}">
  <sheetPr codeName="Sheet41">
    <tabColor rgb="FF00B0F0"/>
  </sheetPr>
  <dimension ref="A1:AE53"/>
  <sheetViews>
    <sheetView workbookViewId="0">
      <selection activeCell="A2" sqref="A2"/>
    </sheetView>
  </sheetViews>
  <sheetFormatPr defaultRowHeight="14.4" x14ac:dyDescent="0.3"/>
  <cols>
    <col min="1" max="1" width="21" style="19" bestFit="1" customWidth="1"/>
    <col min="2" max="2" width="12.33203125" style="27" bestFit="1" customWidth="1"/>
    <col min="3" max="5" width="8.88671875" style="29"/>
    <col min="6" max="6" width="8.88671875" style="30"/>
    <col min="7" max="7" width="8.88671875" style="27"/>
    <col min="8" max="10" width="8.88671875" style="29"/>
    <col min="11" max="11" width="8.88671875" style="30"/>
    <col min="12" max="12" width="8.88671875" style="27"/>
    <col min="13" max="15" width="8.88671875" style="29"/>
    <col min="16" max="16" width="8.88671875" style="30"/>
    <col min="17" max="17" width="8.88671875" style="27"/>
    <col min="18" max="20" width="8.88671875" style="29"/>
    <col min="21" max="21" width="8.88671875" style="30"/>
    <col min="22" max="22" width="8.88671875" style="27"/>
    <col min="23" max="25" width="8.88671875" style="29"/>
    <col min="26" max="26" width="8.88671875" style="30"/>
    <col min="27" max="27" width="8.88671875" style="27"/>
    <col min="28" max="30" width="8.88671875" style="29"/>
    <col min="31" max="31" width="8.88671875" style="30"/>
  </cols>
  <sheetData>
    <row r="1" spans="1:31" ht="15" thickBot="1" x14ac:dyDescent="0.35">
      <c r="A1" s="19" t="s">
        <v>88</v>
      </c>
      <c r="B1" s="105" t="str">
        <f>'ST1 CO Question Map'!C1</f>
        <v>EC118_CO1</v>
      </c>
      <c r="C1" s="106"/>
      <c r="D1" s="106"/>
      <c r="E1" s="106"/>
      <c r="F1" s="107"/>
      <c r="G1" s="105" t="str">
        <f>'ST1 CO Question Map'!D1</f>
        <v>EC118_CO2</v>
      </c>
      <c r="H1" s="106"/>
      <c r="I1" s="106"/>
      <c r="J1" s="106"/>
      <c r="K1" s="107"/>
      <c r="L1" s="105" t="str">
        <f>'ST1 CO Question Map'!E1</f>
        <v>EC118_CO3</v>
      </c>
      <c r="M1" s="106"/>
      <c r="N1" s="106"/>
      <c r="O1" s="106"/>
      <c r="P1" s="107"/>
      <c r="Q1" s="105" t="str">
        <f>'ST1 CO Question Map'!F1</f>
        <v>EC118_CO4</v>
      </c>
      <c r="R1" s="106"/>
      <c r="S1" s="106"/>
      <c r="T1" s="106"/>
      <c r="U1" s="107"/>
      <c r="V1" s="105" t="str">
        <f>'ST1 CO Question Map'!G1</f>
        <v>EC118_CO5</v>
      </c>
      <c r="W1" s="106"/>
      <c r="X1" s="106"/>
      <c r="Y1" s="106"/>
      <c r="Z1" s="107"/>
      <c r="AA1" s="105" t="str">
        <f>'ST1 CO Question Map'!H1</f>
        <v>EC118_CO6</v>
      </c>
      <c r="AB1" s="106"/>
      <c r="AC1" s="106"/>
      <c r="AD1" s="106"/>
      <c r="AE1" s="107"/>
    </row>
    <row r="2" spans="1:31" ht="15" thickBot="1" x14ac:dyDescent="0.35">
      <c r="A2" s="20" t="str" cm="1">
        <f t="array" ref="A2:A20">'ETE Result'!$B$1:INDEX('ETE Result'!$B:$B,COUNTA('ETE Result'!$B:$B))</f>
        <v>Admission No. (Roll No.)</v>
      </c>
      <c r="B2" s="22" t="s">
        <v>89</v>
      </c>
      <c r="C2" s="23" t="s">
        <v>90</v>
      </c>
      <c r="D2" s="24" t="s">
        <v>91</v>
      </c>
      <c r="E2" s="23" t="s">
        <v>92</v>
      </c>
      <c r="F2" s="25" t="s">
        <v>93</v>
      </c>
      <c r="G2" s="22" t="s">
        <v>89</v>
      </c>
      <c r="H2" s="23" t="s">
        <v>90</v>
      </c>
      <c r="I2" s="24" t="s">
        <v>91</v>
      </c>
      <c r="J2" s="23" t="s">
        <v>92</v>
      </c>
      <c r="K2" s="25" t="s">
        <v>93</v>
      </c>
      <c r="L2" s="22" t="s">
        <v>89</v>
      </c>
      <c r="M2" s="23" t="s">
        <v>90</v>
      </c>
      <c r="N2" s="24" t="s">
        <v>91</v>
      </c>
      <c r="O2" s="23" t="s">
        <v>92</v>
      </c>
      <c r="P2" s="25" t="s">
        <v>93</v>
      </c>
      <c r="Q2" s="22" t="s">
        <v>89</v>
      </c>
      <c r="R2" s="23" t="s">
        <v>90</v>
      </c>
      <c r="S2" s="24" t="s">
        <v>91</v>
      </c>
      <c r="T2" s="23" t="s">
        <v>92</v>
      </c>
      <c r="U2" s="25" t="s">
        <v>93</v>
      </c>
      <c r="V2" s="22" t="s">
        <v>89</v>
      </c>
      <c r="W2" s="23" t="s">
        <v>90</v>
      </c>
      <c r="X2" s="24" t="s">
        <v>91</v>
      </c>
      <c r="Y2" s="23" t="s">
        <v>92</v>
      </c>
      <c r="Z2" s="25" t="s">
        <v>93</v>
      </c>
      <c r="AA2" s="22" t="s">
        <v>89</v>
      </c>
      <c r="AB2" s="23" t="s">
        <v>90</v>
      </c>
      <c r="AC2" s="24" t="s">
        <v>91</v>
      </c>
      <c r="AD2" s="23" t="s">
        <v>92</v>
      </c>
      <c r="AE2" s="25" t="s">
        <v>93</v>
      </c>
    </row>
    <row r="3" spans="1:31" x14ac:dyDescent="0.3">
      <c r="A3" s="21" t="str">
        <v>2010990089 </v>
      </c>
      <c r="B3" s="26" cm="1">
        <f t="array" ref="B3:B20">'ETE Student MO CO Score'!$B$2:INDEX('ETE Student MO CO Score'!$B:$B,COUNTA('ETE Student MO CO Score'!$B:$B))</f>
        <v>9</v>
      </c>
      <c r="C3" s="28" cm="1">
        <f t="array" ref="C3:C20">'ETE Student Attained CO Score'!$B$2:INDEX('ETE Student Attained CO Score'!$B:$B,COUNTA('ETE Student Attained CO Score'!$B:$B))</f>
        <v>9</v>
      </c>
      <c r="D3" s="28" cm="1">
        <f t="array" ref="D3:D20">IFERROR(ROUND('ETE Student Attainment percent'!$B$2:INDEX('ETE Student Attainment percent'!$B:$B,COUNTA('ETE Student Attainment percent'!$B:$B)),2),"NA")</f>
        <v>100</v>
      </c>
      <c r="E3" s="28" cm="1">
        <f t="array" ref="E3:E20">'ETE CO Attainment Score'!$B$2:INDEX('ETE CO Attainment Score'!$B:$B,COUNTA('ETE CO Attainment Score'!$B:$B))</f>
        <v>3</v>
      </c>
      <c r="F3" s="30" t="str" cm="1">
        <f t="array" ref="F3:F20">'ETE Target Attained'!$B$2:INDEX('ETE Target Attained'!$B:$B,COUNTA('ETE Target Attained'!$B:$B))</f>
        <v>Y</v>
      </c>
      <c r="G3" s="26" cm="1">
        <f t="array" ref="G3:G20">'ETE Student MO CO Score'!$C$2:INDEX('ETE Student MO CO Score'!$C:$C,COUNTA('ETE Student MO CO Score'!$C:$C))</f>
        <v>36</v>
      </c>
      <c r="H3" s="28" cm="1">
        <f t="array" ref="H3:H20">'ETE Student Attained CO Score'!$C$2:INDEX('ETE Student Attained CO Score'!$C:$C,COUNTA('ETE Student Attained CO Score'!$C:$C))</f>
        <v>26</v>
      </c>
      <c r="I3" s="28" cm="1">
        <f t="array" ref="I3:I20">IFERROR(ROUND('ETE Student Attainment percent'!$C$2:INDEX('ETE Student Attainment percent'!$C:$C,COUNTA('ETE Student Attainment percent'!$C:$C)),2),"NA")</f>
        <v>72.22</v>
      </c>
      <c r="J3" s="28" cm="1">
        <f t="array" ref="J3:J20">'ETE CO Attainment Score'!$C$2:INDEX('ETE CO Attainment Score'!$C:$C,COUNTA('ETE CO Attainment Score'!$C:$C))</f>
        <v>3</v>
      </c>
      <c r="K3" s="30" t="str" cm="1">
        <f t="array" ref="K3:K20">'ETE Target Attained'!$C$2:INDEX('ETE Target Attained'!$C:$C,COUNTA('ETE Target Attained'!$C:$C))</f>
        <v>Y</v>
      </c>
      <c r="L3" s="26" cm="1">
        <f t="array" ref="L3:L20">'ETE Student MO CO Score'!$D$2:INDEX('ETE Student MO CO Score'!$D:$D,COUNTA('ETE Student MO CO Score'!$D:$D))</f>
        <v>25</v>
      </c>
      <c r="M3" s="28" cm="1">
        <f t="array" ref="M3:M20">'ETE Student Attained CO Score'!$D$2:INDEX('ETE Student Attained CO Score'!$D:$D,COUNTA('ETE Student Attained CO Score'!$D:$D))</f>
        <v>17</v>
      </c>
      <c r="N3" s="28" cm="1">
        <f t="array" ref="N3:N20">IFERROR(ROUND('ETE Student Attainment percent'!$D$2:INDEX('ETE Student Attainment percent'!$D:$D,COUNTA('ETE Student Attainment percent'!$D:$D)),2),"NA")</f>
        <v>68</v>
      </c>
      <c r="O3" s="28" cm="1">
        <f t="array" ref="O3:O20">'ETE CO Attainment Score'!$D$2:INDEX('ETE CO Attainment Score'!$D:$D,COUNTA('ETE CO Attainment Score'!$D:$D))</f>
        <v>3</v>
      </c>
      <c r="P3" s="30" t="str" cm="1">
        <f t="array" ref="P3:P20">'ETE Target Attained'!$D$2:INDEX('ETE Target Attained'!$D:$D,COUNTA('ETE Target Attained'!$D:$D))</f>
        <v>Y</v>
      </c>
      <c r="Q3" s="26" cm="1">
        <f t="array" ref="Q3:Q20">'ETE Student MO CO Score'!$E$2:INDEX('ETE Student MO CO Score'!$E:$E,COUNTA('ETE Student MO CO Score'!$E:$E))</f>
        <v>0</v>
      </c>
      <c r="R3" s="28" cm="1">
        <f t="array" ref="R3:R20">'ETE Student Attained CO Score'!$E$2:INDEX('ETE Student Attained CO Score'!$E:$E,COUNTA('ETE Student Attained CO Score'!$E:$E))</f>
        <v>0</v>
      </c>
      <c r="S3" s="28" t="str" cm="1">
        <f t="array" ref="S3:S20">IFERROR(ROUND('ETE Student Attainment percent'!$E$2:INDEX('ETE Student Attainment percent'!$E:$E,COUNTA('ETE Student Attainment percent'!$E:$E)),2),"NA")</f>
        <v>NA</v>
      </c>
      <c r="T3" s="28" t="str" cm="1">
        <f t="array" ref="T3:T20">'ETE CO Attainment Score'!$E$2:INDEX('ETE CO Attainment Score'!$E:$E,COUNTA('ETE CO Attainment Score'!$E:$E))</f>
        <v>NA</v>
      </c>
      <c r="U3" s="30" t="str" cm="1">
        <f t="array" ref="U3:U20">'ETE Target Attained'!$E$2:INDEX('ETE Target Attained'!$E:$E,COUNTA('ETE Target Attained'!$E:$E))</f>
        <v>NA</v>
      </c>
      <c r="V3" s="26" cm="1">
        <f t="array" ref="V3:V20">'ETE Student MO CO Score'!$F$2:INDEX('ETE Student MO CO Score'!$F:$F,COUNTA('ETE Student MO CO Score'!$F:$F))</f>
        <v>0</v>
      </c>
      <c r="W3" s="28" cm="1">
        <f t="array" ref="W3:W20">'ETE Student Attained CO Score'!$F$2:INDEX('ETE Student Attained CO Score'!$F:$F,COUNTA('ETE Student Attained CO Score'!$F:$F))</f>
        <v>0</v>
      </c>
      <c r="X3" s="28" t="str" cm="1">
        <f t="array" ref="X3:X20">IFERROR(ROUND('ETE Student Attainment percent'!$F$2:INDEX('ETE Student Attainment percent'!$F:$F,COUNTA('ETE Student Attainment percent'!$F:$F)),2),"NA")</f>
        <v>NA</v>
      </c>
      <c r="Y3" s="28" t="str" cm="1">
        <f t="array" ref="Y3:Y20">'ETE CO Attainment Score'!$F$2:INDEX('ETE CO Attainment Score'!$F:$F,COUNTA('ETE CO Attainment Score'!$F:$F))</f>
        <v>NA</v>
      </c>
      <c r="Z3" s="30" t="str" cm="1">
        <f t="array" ref="Z3:Z20">'ETE Target Attained'!$F$2:INDEX('ETE Target Attained'!$F:$F,COUNTA('ETE Target Attained'!$F:$F))</f>
        <v>NA</v>
      </c>
      <c r="AA3" s="26" cm="1">
        <f t="array" ref="AA3:AA20">'ETE Student MO CO Score'!$G$2:INDEX('ETE Student MO CO Score'!$G:$G,COUNTA('ETE Student MO CO Score'!$G:$G))</f>
        <v>0</v>
      </c>
      <c r="AB3" s="28" cm="1">
        <f t="array" ref="AB3:AB20">'ETE Student Attained CO Score'!$G$2:INDEX('ETE Student Attained CO Score'!$G:$G,COUNTA('ETE Student Attained CO Score'!$G:$G))</f>
        <v>0</v>
      </c>
      <c r="AC3" s="28" t="str" cm="1">
        <f t="array" ref="AC3:AC20">IFERROR(ROUND('ETE Student Attainment percent'!$G$2:INDEX('ETE Student Attainment percent'!$G:$G,COUNTA('ETE Student Attainment percent'!$G:$G)),2),"NA")</f>
        <v>NA</v>
      </c>
      <c r="AD3" s="28" t="str" cm="1">
        <f t="array" ref="AD3:AD20">'ETE CO Attainment Score'!$G$2:INDEX('ETE CO Attainment Score'!$G:$G,COUNTA('ETE CO Attainment Score'!$G:$G))</f>
        <v>NA</v>
      </c>
      <c r="AE3" s="30" t="str" cm="1">
        <f t="array" ref="AE3:AE20">'ETE Target Attained'!$G$2:INDEX('ETE Target Attained'!$G:$G,COUNTA('ETE Target Attained'!$G:$G))</f>
        <v>NA</v>
      </c>
    </row>
    <row r="4" spans="1:31" x14ac:dyDescent="0.3">
      <c r="A4" s="19" t="str">
        <v>2010992002 </v>
      </c>
      <c r="B4" s="27">
        <v>16</v>
      </c>
      <c r="C4" s="29">
        <v>16</v>
      </c>
      <c r="D4" s="29">
        <v>100</v>
      </c>
      <c r="E4" s="29">
        <v>3</v>
      </c>
      <c r="F4" s="30" t="str">
        <v>Y</v>
      </c>
      <c r="G4" s="27">
        <v>41</v>
      </c>
      <c r="H4" s="29">
        <v>36</v>
      </c>
      <c r="I4" s="29">
        <v>87.8</v>
      </c>
      <c r="J4" s="29">
        <v>3</v>
      </c>
      <c r="K4" s="30" t="str">
        <v>Y</v>
      </c>
      <c r="L4" s="27">
        <v>30</v>
      </c>
      <c r="M4" s="29">
        <v>25</v>
      </c>
      <c r="N4" s="29">
        <v>83.33</v>
      </c>
      <c r="O4" s="29">
        <v>3</v>
      </c>
      <c r="P4" s="30" t="str">
        <v>Y</v>
      </c>
      <c r="Q4" s="27">
        <v>0</v>
      </c>
      <c r="R4" s="29">
        <v>0</v>
      </c>
      <c r="S4" s="29" t="str">
        <v>NA</v>
      </c>
      <c r="T4" s="29" t="str">
        <v>NA</v>
      </c>
      <c r="U4" s="30" t="str">
        <v>NA</v>
      </c>
      <c r="V4" s="27">
        <v>0</v>
      </c>
      <c r="W4" s="29">
        <v>0</v>
      </c>
      <c r="X4" s="29" t="str">
        <v>NA</v>
      </c>
      <c r="Y4" s="29" t="str">
        <v>NA</v>
      </c>
      <c r="Z4" s="30" t="str">
        <v>NA</v>
      </c>
      <c r="AA4" s="27">
        <v>0</v>
      </c>
      <c r="AB4" s="29">
        <v>0</v>
      </c>
      <c r="AC4" s="29" t="str">
        <v>NA</v>
      </c>
      <c r="AD4" s="29" t="str">
        <v>NA</v>
      </c>
      <c r="AE4" s="30" t="str">
        <v>NA</v>
      </c>
    </row>
    <row r="5" spans="1:31" x14ac:dyDescent="0.3">
      <c r="A5" s="19" t="str">
        <v>2010992004 </v>
      </c>
      <c r="B5" s="27">
        <v>14</v>
      </c>
      <c r="C5" s="29">
        <v>14</v>
      </c>
      <c r="D5" s="29">
        <v>100</v>
      </c>
      <c r="E5" s="29">
        <v>3</v>
      </c>
      <c r="F5" s="30" t="str">
        <v>Y</v>
      </c>
      <c r="G5" s="27">
        <v>26</v>
      </c>
      <c r="H5" s="29">
        <v>17</v>
      </c>
      <c r="I5" s="29">
        <v>65.38</v>
      </c>
      <c r="J5" s="29">
        <v>3</v>
      </c>
      <c r="K5" s="30" t="str">
        <v>Y</v>
      </c>
      <c r="L5" s="27">
        <v>15</v>
      </c>
      <c r="M5" s="29">
        <v>7</v>
      </c>
      <c r="N5" s="29">
        <v>46.67</v>
      </c>
      <c r="O5" s="29">
        <v>0</v>
      </c>
      <c r="P5" s="30" t="str">
        <v>N</v>
      </c>
      <c r="Q5" s="27">
        <v>0</v>
      </c>
      <c r="R5" s="29">
        <v>0</v>
      </c>
      <c r="S5" s="29" t="str">
        <v>NA</v>
      </c>
      <c r="T5" s="29" t="str">
        <v>NA</v>
      </c>
      <c r="U5" s="30" t="str">
        <v>NA</v>
      </c>
      <c r="V5" s="27">
        <v>0</v>
      </c>
      <c r="W5" s="29">
        <v>0</v>
      </c>
      <c r="X5" s="29" t="str">
        <v>NA</v>
      </c>
      <c r="Y5" s="29" t="str">
        <v>NA</v>
      </c>
      <c r="Z5" s="30" t="str">
        <v>NA</v>
      </c>
      <c r="AA5" s="27">
        <v>0</v>
      </c>
      <c r="AB5" s="29">
        <v>0</v>
      </c>
      <c r="AC5" s="29" t="str">
        <v>NA</v>
      </c>
      <c r="AD5" s="29" t="str">
        <v>NA</v>
      </c>
      <c r="AE5" s="30" t="str">
        <v>NA</v>
      </c>
    </row>
    <row r="6" spans="1:31" x14ac:dyDescent="0.3">
      <c r="A6" s="19" t="str">
        <v>2010992005 </v>
      </c>
      <c r="B6" s="27">
        <v>15</v>
      </c>
      <c r="C6" s="29">
        <v>6</v>
      </c>
      <c r="D6" s="29">
        <v>40</v>
      </c>
      <c r="E6" s="29">
        <v>0</v>
      </c>
      <c r="F6" s="30" t="str">
        <v>N</v>
      </c>
      <c r="G6" s="27">
        <v>5</v>
      </c>
      <c r="H6" s="29">
        <v>5</v>
      </c>
      <c r="I6" s="29">
        <v>100</v>
      </c>
      <c r="J6" s="29">
        <v>3</v>
      </c>
      <c r="K6" s="30" t="str">
        <v>Y</v>
      </c>
      <c r="L6" s="27">
        <v>5</v>
      </c>
      <c r="M6" s="29">
        <v>5</v>
      </c>
      <c r="N6" s="29">
        <v>100</v>
      </c>
      <c r="O6" s="29">
        <v>3</v>
      </c>
      <c r="P6" s="30" t="str">
        <v>Y</v>
      </c>
      <c r="Q6" s="27">
        <v>0</v>
      </c>
      <c r="R6" s="29">
        <v>0</v>
      </c>
      <c r="S6" s="29" t="str">
        <v>NA</v>
      </c>
      <c r="T6" s="29" t="str">
        <v>NA</v>
      </c>
      <c r="U6" s="30" t="str">
        <v>NA</v>
      </c>
      <c r="V6" s="27">
        <v>0</v>
      </c>
      <c r="W6" s="29">
        <v>0</v>
      </c>
      <c r="X6" s="29" t="str">
        <v>NA</v>
      </c>
      <c r="Y6" s="29" t="str">
        <v>NA</v>
      </c>
      <c r="Z6" s="30" t="str">
        <v>NA</v>
      </c>
      <c r="AA6" s="27">
        <v>0</v>
      </c>
      <c r="AB6" s="29">
        <v>0</v>
      </c>
      <c r="AC6" s="29" t="str">
        <v>NA</v>
      </c>
      <c r="AD6" s="29" t="str">
        <v>NA</v>
      </c>
      <c r="AE6" s="30" t="str">
        <v>NA</v>
      </c>
    </row>
    <row r="7" spans="1:31" x14ac:dyDescent="0.3">
      <c r="A7" s="19" t="str">
        <v>2010992006 </v>
      </c>
      <c r="B7" s="27">
        <v>24</v>
      </c>
      <c r="C7" s="29">
        <v>14</v>
      </c>
      <c r="D7" s="29">
        <v>58.33</v>
      </c>
      <c r="E7" s="29">
        <v>0</v>
      </c>
      <c r="F7" s="30" t="str">
        <v>N</v>
      </c>
      <c r="G7" s="27">
        <v>16</v>
      </c>
      <c r="H7" s="29">
        <v>16</v>
      </c>
      <c r="I7" s="29">
        <v>100</v>
      </c>
      <c r="J7" s="29">
        <v>3</v>
      </c>
      <c r="K7" s="30" t="str">
        <v>Y</v>
      </c>
      <c r="L7" s="27">
        <v>5</v>
      </c>
      <c r="M7" s="29">
        <v>5</v>
      </c>
      <c r="N7" s="29">
        <v>100</v>
      </c>
      <c r="O7" s="29">
        <v>3</v>
      </c>
      <c r="P7" s="30" t="str">
        <v>Y</v>
      </c>
      <c r="Q7" s="27">
        <v>0</v>
      </c>
      <c r="R7" s="29">
        <v>0</v>
      </c>
      <c r="S7" s="29" t="str">
        <v>NA</v>
      </c>
      <c r="T7" s="29" t="str">
        <v>NA</v>
      </c>
      <c r="U7" s="30" t="str">
        <v>NA</v>
      </c>
      <c r="V7" s="27">
        <v>0</v>
      </c>
      <c r="W7" s="29">
        <v>0</v>
      </c>
      <c r="X7" s="29" t="str">
        <v>NA</v>
      </c>
      <c r="Y7" s="29" t="str">
        <v>NA</v>
      </c>
      <c r="Z7" s="30" t="str">
        <v>NA</v>
      </c>
      <c r="AA7" s="27">
        <v>0</v>
      </c>
      <c r="AB7" s="29">
        <v>0</v>
      </c>
      <c r="AC7" s="29" t="str">
        <v>NA</v>
      </c>
      <c r="AD7" s="29" t="str">
        <v>NA</v>
      </c>
      <c r="AE7" s="30" t="str">
        <v>NA</v>
      </c>
    </row>
    <row r="8" spans="1:31" x14ac:dyDescent="0.3">
      <c r="A8" s="19" t="str">
        <v>2010992008 </v>
      </c>
      <c r="B8" s="27">
        <v>19</v>
      </c>
      <c r="C8" s="29">
        <v>11</v>
      </c>
      <c r="D8" s="29">
        <v>57.89</v>
      </c>
      <c r="E8" s="29">
        <v>0</v>
      </c>
      <c r="F8" s="30" t="str">
        <v>N</v>
      </c>
      <c r="G8" s="27">
        <v>21</v>
      </c>
      <c r="H8" s="29">
        <v>21</v>
      </c>
      <c r="I8" s="29">
        <v>100</v>
      </c>
      <c r="J8" s="29">
        <v>3</v>
      </c>
      <c r="K8" s="30" t="str">
        <v>Y</v>
      </c>
      <c r="L8" s="27">
        <v>10</v>
      </c>
      <c r="M8" s="29">
        <v>10</v>
      </c>
      <c r="N8" s="29">
        <v>100</v>
      </c>
      <c r="O8" s="29">
        <v>3</v>
      </c>
      <c r="P8" s="30" t="str">
        <v>Y</v>
      </c>
      <c r="Q8" s="27">
        <v>0</v>
      </c>
      <c r="R8" s="29">
        <v>0</v>
      </c>
      <c r="S8" s="29" t="str">
        <v>NA</v>
      </c>
      <c r="T8" s="29" t="str">
        <v>NA</v>
      </c>
      <c r="U8" s="30" t="str">
        <v>NA</v>
      </c>
      <c r="V8" s="27">
        <v>0</v>
      </c>
      <c r="W8" s="29">
        <v>0</v>
      </c>
      <c r="X8" s="29" t="str">
        <v>NA</v>
      </c>
      <c r="Y8" s="29" t="str">
        <v>NA</v>
      </c>
      <c r="Z8" s="30" t="str">
        <v>NA</v>
      </c>
      <c r="AA8" s="27">
        <v>0</v>
      </c>
      <c r="AB8" s="29">
        <v>0</v>
      </c>
      <c r="AC8" s="29" t="str">
        <v>NA</v>
      </c>
      <c r="AD8" s="29" t="str">
        <v>NA</v>
      </c>
      <c r="AE8" s="30" t="str">
        <v>NA</v>
      </c>
    </row>
    <row r="9" spans="1:31" x14ac:dyDescent="0.3">
      <c r="A9" s="19" t="str">
        <v>2010992009 </v>
      </c>
      <c r="B9" s="27">
        <v>24</v>
      </c>
      <c r="C9" s="29">
        <v>21</v>
      </c>
      <c r="D9" s="29">
        <v>87.5</v>
      </c>
      <c r="E9" s="29">
        <v>3</v>
      </c>
      <c r="F9" s="30" t="str">
        <v>Y</v>
      </c>
      <c r="G9" s="27">
        <v>38</v>
      </c>
      <c r="H9" s="29">
        <v>38</v>
      </c>
      <c r="I9" s="29">
        <v>100</v>
      </c>
      <c r="J9" s="29">
        <v>3</v>
      </c>
      <c r="K9" s="30" t="str">
        <v>Y</v>
      </c>
      <c r="L9" s="27">
        <v>25</v>
      </c>
      <c r="M9" s="29">
        <v>25</v>
      </c>
      <c r="N9" s="29">
        <v>100</v>
      </c>
      <c r="O9" s="29">
        <v>3</v>
      </c>
      <c r="P9" s="30" t="str">
        <v>Y</v>
      </c>
      <c r="Q9" s="27">
        <v>0</v>
      </c>
      <c r="R9" s="29">
        <v>0</v>
      </c>
      <c r="S9" s="29" t="str">
        <v>NA</v>
      </c>
      <c r="T9" s="29" t="str">
        <v>NA</v>
      </c>
      <c r="U9" s="30" t="str">
        <v>NA</v>
      </c>
      <c r="V9" s="27">
        <v>0</v>
      </c>
      <c r="W9" s="29">
        <v>0</v>
      </c>
      <c r="X9" s="29" t="str">
        <v>NA</v>
      </c>
      <c r="Y9" s="29" t="str">
        <v>NA</v>
      </c>
      <c r="Z9" s="30" t="str">
        <v>NA</v>
      </c>
      <c r="AA9" s="27">
        <v>0</v>
      </c>
      <c r="AB9" s="29">
        <v>0</v>
      </c>
      <c r="AC9" s="29" t="str">
        <v>NA</v>
      </c>
      <c r="AD9" s="29" t="str">
        <v>NA</v>
      </c>
      <c r="AE9" s="30" t="str">
        <v>NA</v>
      </c>
    </row>
    <row r="10" spans="1:31" x14ac:dyDescent="0.3">
      <c r="A10" s="19" t="str">
        <v>2010992010 </v>
      </c>
      <c r="B10" s="27">
        <v>14</v>
      </c>
      <c r="C10" s="29">
        <v>13</v>
      </c>
      <c r="D10" s="29">
        <v>92.86</v>
      </c>
      <c r="E10" s="29">
        <v>3</v>
      </c>
      <c r="F10" s="30" t="str">
        <v>Y</v>
      </c>
      <c r="G10" s="27">
        <v>21</v>
      </c>
      <c r="H10" s="29">
        <v>13</v>
      </c>
      <c r="I10" s="29">
        <v>61.9</v>
      </c>
      <c r="J10" s="29">
        <v>3</v>
      </c>
      <c r="K10" s="30" t="str">
        <v>Y</v>
      </c>
      <c r="L10" s="27">
        <v>15</v>
      </c>
      <c r="M10" s="29">
        <v>7</v>
      </c>
      <c r="N10" s="29">
        <v>46.67</v>
      </c>
      <c r="O10" s="29">
        <v>0</v>
      </c>
      <c r="P10" s="30" t="str">
        <v>N</v>
      </c>
      <c r="Q10" s="27">
        <v>0</v>
      </c>
      <c r="R10" s="29">
        <v>0</v>
      </c>
      <c r="S10" s="29" t="str">
        <v>NA</v>
      </c>
      <c r="T10" s="29" t="str">
        <v>NA</v>
      </c>
      <c r="U10" s="30" t="str">
        <v>NA</v>
      </c>
      <c r="V10" s="27">
        <v>0</v>
      </c>
      <c r="W10" s="29">
        <v>0</v>
      </c>
      <c r="X10" s="29" t="str">
        <v>NA</v>
      </c>
      <c r="Y10" s="29" t="str">
        <v>NA</v>
      </c>
      <c r="Z10" s="30" t="str">
        <v>NA</v>
      </c>
      <c r="AA10" s="27">
        <v>0</v>
      </c>
      <c r="AB10" s="29">
        <v>0</v>
      </c>
      <c r="AC10" s="29" t="str">
        <v>NA</v>
      </c>
      <c r="AD10" s="29" t="str">
        <v>NA</v>
      </c>
      <c r="AE10" s="30" t="str">
        <v>NA</v>
      </c>
    </row>
    <row r="11" spans="1:31" x14ac:dyDescent="0.3">
      <c r="A11" s="19" t="str">
        <v>2010992011 </v>
      </c>
      <c r="B11" s="27">
        <v>16</v>
      </c>
      <c r="C11" s="29">
        <v>16</v>
      </c>
      <c r="D11" s="29">
        <v>100</v>
      </c>
      <c r="E11" s="29">
        <v>3</v>
      </c>
      <c r="F11" s="30" t="str">
        <v>Y</v>
      </c>
      <c r="G11" s="27">
        <v>29</v>
      </c>
      <c r="H11" s="29">
        <v>19</v>
      </c>
      <c r="I11" s="29">
        <v>65.52</v>
      </c>
      <c r="J11" s="29">
        <v>3</v>
      </c>
      <c r="K11" s="30" t="str">
        <v>Y</v>
      </c>
      <c r="L11" s="27">
        <v>20</v>
      </c>
      <c r="M11" s="29">
        <v>12</v>
      </c>
      <c r="N11" s="29">
        <v>60</v>
      </c>
      <c r="O11" s="29">
        <v>3</v>
      </c>
      <c r="P11" s="30" t="str">
        <v>Y</v>
      </c>
      <c r="Q11" s="27">
        <v>0</v>
      </c>
      <c r="R11" s="29">
        <v>0</v>
      </c>
      <c r="S11" s="29" t="str">
        <v>NA</v>
      </c>
      <c r="T11" s="29" t="str">
        <v>NA</v>
      </c>
      <c r="U11" s="30" t="str">
        <v>NA</v>
      </c>
      <c r="V11" s="27">
        <v>0</v>
      </c>
      <c r="W11" s="29">
        <v>0</v>
      </c>
      <c r="X11" s="29" t="str">
        <v>NA</v>
      </c>
      <c r="Y11" s="29" t="str">
        <v>NA</v>
      </c>
      <c r="Z11" s="30" t="str">
        <v>NA</v>
      </c>
      <c r="AA11" s="27">
        <v>0</v>
      </c>
      <c r="AB11" s="29">
        <v>0</v>
      </c>
      <c r="AC11" s="29" t="str">
        <v>NA</v>
      </c>
      <c r="AD11" s="29" t="str">
        <v>NA</v>
      </c>
      <c r="AE11" s="30" t="str">
        <v>NA</v>
      </c>
    </row>
    <row r="12" spans="1:31" x14ac:dyDescent="0.3">
      <c r="A12" s="19" t="str">
        <v>2010992012 </v>
      </c>
      <c r="B12" s="27">
        <v>19</v>
      </c>
      <c r="C12" s="29">
        <v>11</v>
      </c>
      <c r="D12" s="29">
        <v>57.89</v>
      </c>
      <c r="E12" s="29">
        <v>0</v>
      </c>
      <c r="F12" s="30" t="str">
        <v>N</v>
      </c>
      <c r="G12" s="27">
        <v>21</v>
      </c>
      <c r="H12" s="29">
        <v>19</v>
      </c>
      <c r="I12" s="29">
        <v>90.48</v>
      </c>
      <c r="J12" s="29">
        <v>3</v>
      </c>
      <c r="K12" s="30" t="str">
        <v>Y</v>
      </c>
      <c r="L12" s="27">
        <v>15</v>
      </c>
      <c r="M12" s="29">
        <v>15</v>
      </c>
      <c r="N12" s="29">
        <v>100</v>
      </c>
      <c r="O12" s="29">
        <v>3</v>
      </c>
      <c r="P12" s="30" t="str">
        <v>Y</v>
      </c>
      <c r="Q12" s="27">
        <v>0</v>
      </c>
      <c r="R12" s="29">
        <v>0</v>
      </c>
      <c r="S12" s="29" t="str">
        <v>NA</v>
      </c>
      <c r="T12" s="29" t="str">
        <v>NA</v>
      </c>
      <c r="U12" s="30" t="str">
        <v>NA</v>
      </c>
      <c r="V12" s="27">
        <v>0</v>
      </c>
      <c r="W12" s="29">
        <v>0</v>
      </c>
      <c r="X12" s="29" t="str">
        <v>NA</v>
      </c>
      <c r="Y12" s="29" t="str">
        <v>NA</v>
      </c>
      <c r="Z12" s="30" t="str">
        <v>NA</v>
      </c>
      <c r="AA12" s="27">
        <v>0</v>
      </c>
      <c r="AB12" s="29">
        <v>0</v>
      </c>
      <c r="AC12" s="29" t="str">
        <v>NA</v>
      </c>
      <c r="AD12" s="29" t="str">
        <v>NA</v>
      </c>
      <c r="AE12" s="30" t="str">
        <v>NA</v>
      </c>
    </row>
    <row r="13" spans="1:31" x14ac:dyDescent="0.3">
      <c r="A13" s="19" t="str">
        <v>2010992014 </v>
      </c>
      <c r="B13" s="27">
        <v>7</v>
      </c>
      <c r="C13" s="29">
        <v>7</v>
      </c>
      <c r="D13" s="29">
        <v>100</v>
      </c>
      <c r="E13" s="29">
        <v>3</v>
      </c>
      <c r="F13" s="30" t="str">
        <v>Y</v>
      </c>
      <c r="G13" s="27">
        <v>21</v>
      </c>
      <c r="H13" s="29">
        <v>13</v>
      </c>
      <c r="I13" s="29">
        <v>61.9</v>
      </c>
      <c r="J13" s="29">
        <v>3</v>
      </c>
      <c r="K13" s="30" t="str">
        <v>Y</v>
      </c>
      <c r="L13" s="27">
        <v>15</v>
      </c>
      <c r="M13" s="29">
        <v>7</v>
      </c>
      <c r="N13" s="29">
        <v>46.67</v>
      </c>
      <c r="O13" s="29">
        <v>0</v>
      </c>
      <c r="P13" s="30" t="str">
        <v>N</v>
      </c>
      <c r="Q13" s="27">
        <v>0</v>
      </c>
      <c r="R13" s="29">
        <v>0</v>
      </c>
      <c r="S13" s="29" t="str">
        <v>NA</v>
      </c>
      <c r="T13" s="29" t="str">
        <v>NA</v>
      </c>
      <c r="U13" s="30" t="str">
        <v>NA</v>
      </c>
      <c r="V13" s="27">
        <v>0</v>
      </c>
      <c r="W13" s="29">
        <v>0</v>
      </c>
      <c r="X13" s="29" t="str">
        <v>NA</v>
      </c>
      <c r="Y13" s="29" t="str">
        <v>NA</v>
      </c>
      <c r="Z13" s="30" t="str">
        <v>NA</v>
      </c>
      <c r="AA13" s="27">
        <v>0</v>
      </c>
      <c r="AB13" s="29">
        <v>0</v>
      </c>
      <c r="AC13" s="29" t="str">
        <v>NA</v>
      </c>
      <c r="AD13" s="29" t="str">
        <v>NA</v>
      </c>
      <c r="AE13" s="30" t="str">
        <v>NA</v>
      </c>
    </row>
    <row r="14" spans="1:31" x14ac:dyDescent="0.3">
      <c r="A14" s="19" t="str">
        <v>2010992015 </v>
      </c>
      <c r="B14" s="27">
        <v>14</v>
      </c>
      <c r="C14" s="29">
        <v>14</v>
      </c>
      <c r="D14" s="29">
        <v>100</v>
      </c>
      <c r="E14" s="29">
        <v>3</v>
      </c>
      <c r="F14" s="30" t="str">
        <v>Y</v>
      </c>
      <c r="G14" s="27">
        <v>21</v>
      </c>
      <c r="H14" s="29">
        <v>13</v>
      </c>
      <c r="I14" s="29">
        <v>61.9</v>
      </c>
      <c r="J14" s="29">
        <v>3</v>
      </c>
      <c r="K14" s="30" t="str">
        <v>Y</v>
      </c>
      <c r="L14" s="27">
        <v>20</v>
      </c>
      <c r="M14" s="29">
        <v>9</v>
      </c>
      <c r="N14" s="29">
        <v>45</v>
      </c>
      <c r="O14" s="29">
        <v>0</v>
      </c>
      <c r="P14" s="30" t="str">
        <v>N</v>
      </c>
      <c r="Q14" s="27">
        <v>0</v>
      </c>
      <c r="R14" s="29">
        <v>0</v>
      </c>
      <c r="S14" s="29" t="str">
        <v>NA</v>
      </c>
      <c r="T14" s="29" t="str">
        <v>NA</v>
      </c>
      <c r="U14" s="30" t="str">
        <v>NA</v>
      </c>
      <c r="V14" s="27">
        <v>0</v>
      </c>
      <c r="W14" s="29">
        <v>0</v>
      </c>
      <c r="X14" s="29" t="str">
        <v>NA</v>
      </c>
      <c r="Y14" s="29" t="str">
        <v>NA</v>
      </c>
      <c r="Z14" s="30" t="str">
        <v>NA</v>
      </c>
      <c r="AA14" s="27">
        <v>0</v>
      </c>
      <c r="AB14" s="29">
        <v>0</v>
      </c>
      <c r="AC14" s="29" t="str">
        <v>NA</v>
      </c>
      <c r="AD14" s="29" t="str">
        <v>NA</v>
      </c>
      <c r="AE14" s="30" t="str">
        <v>NA</v>
      </c>
    </row>
    <row r="15" spans="1:31" x14ac:dyDescent="0.3">
      <c r="A15" s="19" t="str">
        <v>2010992016 </v>
      </c>
      <c r="B15" s="27">
        <v>26</v>
      </c>
      <c r="C15" s="29">
        <v>18</v>
      </c>
      <c r="D15" s="29">
        <v>69.23</v>
      </c>
      <c r="E15" s="29">
        <v>3</v>
      </c>
      <c r="F15" s="30" t="str">
        <v>Y</v>
      </c>
      <c r="G15" s="27">
        <v>34</v>
      </c>
      <c r="H15" s="29">
        <v>26</v>
      </c>
      <c r="I15" s="29">
        <v>76.47</v>
      </c>
      <c r="J15" s="29">
        <v>3</v>
      </c>
      <c r="K15" s="30" t="str">
        <v>Y</v>
      </c>
      <c r="L15" s="27">
        <v>20</v>
      </c>
      <c r="M15" s="29">
        <v>12</v>
      </c>
      <c r="N15" s="29">
        <v>60</v>
      </c>
      <c r="O15" s="29">
        <v>3</v>
      </c>
      <c r="P15" s="30" t="str">
        <v>Y</v>
      </c>
      <c r="Q15" s="27">
        <v>0</v>
      </c>
      <c r="R15" s="29">
        <v>0</v>
      </c>
      <c r="S15" s="29" t="str">
        <v>NA</v>
      </c>
      <c r="T15" s="29" t="str">
        <v>NA</v>
      </c>
      <c r="U15" s="30" t="str">
        <v>NA</v>
      </c>
      <c r="V15" s="27">
        <v>0</v>
      </c>
      <c r="W15" s="29">
        <v>0</v>
      </c>
      <c r="X15" s="29" t="str">
        <v>NA</v>
      </c>
      <c r="Y15" s="29" t="str">
        <v>NA</v>
      </c>
      <c r="Z15" s="30" t="str">
        <v>NA</v>
      </c>
      <c r="AA15" s="27">
        <v>0</v>
      </c>
      <c r="AB15" s="29">
        <v>0</v>
      </c>
      <c r="AC15" s="29" t="str">
        <v>NA</v>
      </c>
      <c r="AD15" s="29" t="str">
        <v>NA</v>
      </c>
      <c r="AE15" s="30" t="str">
        <v>NA</v>
      </c>
    </row>
    <row r="16" spans="1:31" x14ac:dyDescent="0.3">
      <c r="A16" s="19" t="str">
        <v>2010992017 </v>
      </c>
      <c r="B16" s="27">
        <v>7</v>
      </c>
      <c r="C16" s="29">
        <v>7</v>
      </c>
      <c r="D16" s="29">
        <v>100</v>
      </c>
      <c r="E16" s="29">
        <v>3</v>
      </c>
      <c r="F16" s="30" t="str">
        <v>Y</v>
      </c>
      <c r="G16" s="27">
        <v>26</v>
      </c>
      <c r="H16" s="29">
        <v>18</v>
      </c>
      <c r="I16" s="29">
        <v>69.23</v>
      </c>
      <c r="J16" s="29">
        <v>3</v>
      </c>
      <c r="K16" s="30" t="str">
        <v>Y</v>
      </c>
      <c r="L16" s="27">
        <v>15</v>
      </c>
      <c r="M16" s="29">
        <v>7</v>
      </c>
      <c r="N16" s="29">
        <v>46.67</v>
      </c>
      <c r="O16" s="29">
        <v>0</v>
      </c>
      <c r="P16" s="30" t="str">
        <v>N</v>
      </c>
      <c r="Q16" s="27">
        <v>0</v>
      </c>
      <c r="R16" s="29">
        <v>0</v>
      </c>
      <c r="S16" s="29" t="str">
        <v>NA</v>
      </c>
      <c r="T16" s="29" t="str">
        <v>NA</v>
      </c>
      <c r="U16" s="30" t="str">
        <v>NA</v>
      </c>
      <c r="V16" s="27">
        <v>0</v>
      </c>
      <c r="W16" s="29">
        <v>0</v>
      </c>
      <c r="X16" s="29" t="str">
        <v>NA</v>
      </c>
      <c r="Y16" s="29" t="str">
        <v>NA</v>
      </c>
      <c r="Z16" s="30" t="str">
        <v>NA</v>
      </c>
      <c r="AA16" s="27">
        <v>0</v>
      </c>
      <c r="AB16" s="29">
        <v>0</v>
      </c>
      <c r="AC16" s="29" t="str">
        <v>NA</v>
      </c>
      <c r="AD16" s="29" t="str">
        <v>NA</v>
      </c>
      <c r="AE16" s="30" t="str">
        <v>NA</v>
      </c>
    </row>
    <row r="17" spans="1:31" x14ac:dyDescent="0.3">
      <c r="A17" s="19" t="str">
        <v>2010992018 </v>
      </c>
      <c r="B17" s="27">
        <v>14</v>
      </c>
      <c r="C17" s="29">
        <v>11</v>
      </c>
      <c r="D17" s="29">
        <v>78.569999999999993</v>
      </c>
      <c r="E17" s="29">
        <v>3</v>
      </c>
      <c r="F17" s="30" t="str">
        <v>Y</v>
      </c>
      <c r="G17" s="27">
        <v>31</v>
      </c>
      <c r="H17" s="29">
        <v>23</v>
      </c>
      <c r="I17" s="29">
        <v>74.19</v>
      </c>
      <c r="J17" s="29">
        <v>3</v>
      </c>
      <c r="K17" s="30" t="str">
        <v>Y</v>
      </c>
      <c r="L17" s="27">
        <v>15</v>
      </c>
      <c r="M17" s="29">
        <v>7</v>
      </c>
      <c r="N17" s="29">
        <v>46.67</v>
      </c>
      <c r="O17" s="29">
        <v>0</v>
      </c>
      <c r="P17" s="30" t="str">
        <v>N</v>
      </c>
      <c r="Q17" s="27">
        <v>0</v>
      </c>
      <c r="R17" s="29">
        <v>0</v>
      </c>
      <c r="S17" s="29" t="str">
        <v>NA</v>
      </c>
      <c r="T17" s="29" t="str">
        <v>NA</v>
      </c>
      <c r="U17" s="30" t="str">
        <v>NA</v>
      </c>
      <c r="V17" s="27">
        <v>0</v>
      </c>
      <c r="W17" s="29">
        <v>0</v>
      </c>
      <c r="X17" s="29" t="str">
        <v>NA</v>
      </c>
      <c r="Y17" s="29" t="str">
        <v>NA</v>
      </c>
      <c r="Z17" s="30" t="str">
        <v>NA</v>
      </c>
      <c r="AA17" s="27">
        <v>0</v>
      </c>
      <c r="AB17" s="29">
        <v>0</v>
      </c>
      <c r="AC17" s="29" t="str">
        <v>NA</v>
      </c>
      <c r="AD17" s="29" t="str">
        <v>NA</v>
      </c>
      <c r="AE17" s="30" t="str">
        <v>NA</v>
      </c>
    </row>
    <row r="18" spans="1:31" x14ac:dyDescent="0.3">
      <c r="A18" s="19" t="str">
        <v>2010992163 </v>
      </c>
      <c r="B18" s="27">
        <v>26</v>
      </c>
      <c r="C18" s="29">
        <v>18</v>
      </c>
      <c r="D18" s="29">
        <v>69.23</v>
      </c>
      <c r="E18" s="29">
        <v>3</v>
      </c>
      <c r="F18" s="30" t="str">
        <v>Y</v>
      </c>
      <c r="G18" s="27">
        <v>34</v>
      </c>
      <c r="H18" s="29">
        <v>32</v>
      </c>
      <c r="I18" s="29">
        <v>94.12</v>
      </c>
      <c r="J18" s="29">
        <v>3</v>
      </c>
      <c r="K18" s="30" t="str">
        <v>Y</v>
      </c>
      <c r="L18" s="27">
        <v>25</v>
      </c>
      <c r="M18" s="29">
        <v>23</v>
      </c>
      <c r="N18" s="29">
        <v>92</v>
      </c>
      <c r="O18" s="29">
        <v>3</v>
      </c>
      <c r="P18" s="30" t="str">
        <v>Y</v>
      </c>
      <c r="Q18" s="27">
        <v>0</v>
      </c>
      <c r="R18" s="29">
        <v>0</v>
      </c>
      <c r="S18" s="29" t="str">
        <v>NA</v>
      </c>
      <c r="T18" s="29" t="str">
        <v>NA</v>
      </c>
      <c r="U18" s="30" t="str">
        <v>NA</v>
      </c>
      <c r="V18" s="27">
        <v>0</v>
      </c>
      <c r="W18" s="29">
        <v>0</v>
      </c>
      <c r="X18" s="29" t="str">
        <v>NA</v>
      </c>
      <c r="Y18" s="29" t="str">
        <v>NA</v>
      </c>
      <c r="Z18" s="30" t="str">
        <v>NA</v>
      </c>
      <c r="AA18" s="27">
        <v>0</v>
      </c>
      <c r="AB18" s="29">
        <v>0</v>
      </c>
      <c r="AC18" s="29" t="str">
        <v>NA</v>
      </c>
      <c r="AD18" s="29" t="str">
        <v>NA</v>
      </c>
      <c r="AE18" s="30" t="str">
        <v>NA</v>
      </c>
    </row>
    <row r="19" spans="1:31" x14ac:dyDescent="0.3">
      <c r="A19" s="19" t="str">
        <v>2010992202 </v>
      </c>
      <c r="B19" s="27">
        <v>19</v>
      </c>
      <c r="C19" s="29">
        <v>11</v>
      </c>
      <c r="D19" s="29">
        <v>57.89</v>
      </c>
      <c r="E19" s="29">
        <v>0</v>
      </c>
      <c r="F19" s="30" t="str">
        <v>N</v>
      </c>
      <c r="G19" s="27">
        <v>36</v>
      </c>
      <c r="H19" s="29">
        <v>27</v>
      </c>
      <c r="I19" s="29">
        <v>75</v>
      </c>
      <c r="J19" s="29">
        <v>3</v>
      </c>
      <c r="K19" s="30" t="str">
        <v>Y</v>
      </c>
      <c r="L19" s="27">
        <v>25</v>
      </c>
      <c r="M19" s="29">
        <v>16</v>
      </c>
      <c r="N19" s="29">
        <v>64</v>
      </c>
      <c r="O19" s="29">
        <v>3</v>
      </c>
      <c r="P19" s="30" t="str">
        <v>Y</v>
      </c>
      <c r="Q19" s="27">
        <v>0</v>
      </c>
      <c r="R19" s="29">
        <v>0</v>
      </c>
      <c r="S19" s="29" t="str">
        <v>NA</v>
      </c>
      <c r="T19" s="29" t="str">
        <v>NA</v>
      </c>
      <c r="U19" s="30" t="str">
        <v>NA</v>
      </c>
      <c r="V19" s="27">
        <v>0</v>
      </c>
      <c r="W19" s="29">
        <v>0</v>
      </c>
      <c r="X19" s="29" t="str">
        <v>NA</v>
      </c>
      <c r="Y19" s="29" t="str">
        <v>NA</v>
      </c>
      <c r="Z19" s="30" t="str">
        <v>NA</v>
      </c>
      <c r="AA19" s="27">
        <v>0</v>
      </c>
      <c r="AB19" s="29">
        <v>0</v>
      </c>
      <c r="AC19" s="29" t="str">
        <v>NA</v>
      </c>
      <c r="AD19" s="29" t="str">
        <v>NA</v>
      </c>
      <c r="AE19" s="30" t="str">
        <v>NA</v>
      </c>
    </row>
    <row r="20" spans="1:31" x14ac:dyDescent="0.3">
      <c r="A20" s="19" t="str">
        <v>2010992203 </v>
      </c>
      <c r="B20" s="27">
        <v>24</v>
      </c>
      <c r="C20" s="29">
        <v>16</v>
      </c>
      <c r="D20" s="29">
        <v>66.67</v>
      </c>
      <c r="E20" s="29">
        <v>3</v>
      </c>
      <c r="F20" s="30" t="str">
        <v>Y</v>
      </c>
      <c r="G20" s="27">
        <v>26</v>
      </c>
      <c r="H20" s="29">
        <v>22</v>
      </c>
      <c r="I20" s="29">
        <v>84.62</v>
      </c>
      <c r="J20" s="29">
        <v>3</v>
      </c>
      <c r="K20" s="30" t="str">
        <v>Y</v>
      </c>
      <c r="L20" s="27">
        <v>15</v>
      </c>
      <c r="M20" s="29">
        <v>15</v>
      </c>
      <c r="N20" s="29">
        <v>100</v>
      </c>
      <c r="O20" s="29">
        <v>3</v>
      </c>
      <c r="P20" s="30" t="str">
        <v>Y</v>
      </c>
      <c r="Q20" s="27">
        <v>0</v>
      </c>
      <c r="R20" s="29">
        <v>0</v>
      </c>
      <c r="S20" s="29" t="str">
        <v>NA</v>
      </c>
      <c r="T20" s="29" t="str">
        <v>NA</v>
      </c>
      <c r="U20" s="30" t="str">
        <v>NA</v>
      </c>
      <c r="V20" s="27">
        <v>0</v>
      </c>
      <c r="W20" s="29">
        <v>0</v>
      </c>
      <c r="X20" s="29" t="str">
        <v>NA</v>
      </c>
      <c r="Y20" s="29" t="str">
        <v>NA</v>
      </c>
      <c r="Z20" s="30" t="str">
        <v>NA</v>
      </c>
      <c r="AA20" s="27">
        <v>0</v>
      </c>
      <c r="AB20" s="29">
        <v>0</v>
      </c>
      <c r="AC20" s="29" t="str">
        <v>NA</v>
      </c>
      <c r="AD20" s="29" t="str">
        <v>NA</v>
      </c>
      <c r="AE20" s="30" t="str">
        <v>NA</v>
      </c>
    </row>
    <row r="52" spans="26:26" x14ac:dyDescent="0.3">
      <c r="Z52" s="30">
        <f>COUNTIF(_xlfn.ANCHORARRAY(Z3),"Y")</f>
        <v>0</v>
      </c>
    </row>
    <row r="53" spans="26:26" x14ac:dyDescent="0.3">
      <c r="Z53" s="30">
        <f>COUNTIF(_xlfn.ANCHORARRAY(Z3),"N")</f>
        <v>0</v>
      </c>
    </row>
  </sheetData>
  <mergeCells count="6">
    <mergeCell ref="AA1:AE1"/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BEA2-CBD2-4FC1-952A-9EB1A77AC548}">
  <sheetPr codeName="Sheet42">
    <tabColor rgb="FF00B0F0"/>
  </sheetPr>
  <dimension ref="A1:Y17"/>
  <sheetViews>
    <sheetView zoomScale="69" zoomScaleNormal="85" workbookViewId="0">
      <selection activeCell="E19" sqref="E19"/>
    </sheetView>
  </sheetViews>
  <sheetFormatPr defaultRowHeight="14.4" x14ac:dyDescent="0.3"/>
  <cols>
    <col min="1" max="1" width="23" bestFit="1" customWidth="1"/>
    <col min="2" max="2" width="22.33203125" bestFit="1" customWidth="1"/>
    <col min="3" max="3" width="32.44140625" bestFit="1" customWidth="1"/>
    <col min="4" max="4" width="22.88671875" bestFit="1" customWidth="1"/>
    <col min="5" max="5" width="24" style="66" bestFit="1" customWidth="1"/>
    <col min="6" max="6" width="22.33203125" bestFit="1" customWidth="1"/>
    <col min="7" max="7" width="32.44140625" bestFit="1" customWidth="1"/>
    <col min="8" max="8" width="22.88671875" bestFit="1" customWidth="1"/>
    <col min="9" max="9" width="24" style="66" bestFit="1" customWidth="1"/>
    <col min="10" max="10" width="22.33203125" bestFit="1" customWidth="1"/>
    <col min="11" max="11" width="32.44140625" bestFit="1" customWidth="1"/>
    <col min="12" max="12" width="22.88671875" style="66" bestFit="1" customWidth="1"/>
    <col min="13" max="13" width="24" style="66" bestFit="1" customWidth="1"/>
    <col min="14" max="14" width="22.33203125" bestFit="1" customWidth="1"/>
    <col min="15" max="15" width="32.44140625" bestFit="1" customWidth="1"/>
    <col min="16" max="16" width="22.88671875" style="66" bestFit="1" customWidth="1"/>
    <col min="17" max="17" width="24" style="66" bestFit="1" customWidth="1"/>
    <col min="18" max="18" width="22.33203125" bestFit="1" customWidth="1"/>
    <col min="19" max="19" width="32.44140625" bestFit="1" customWidth="1"/>
    <col min="20" max="20" width="22.88671875" style="66" bestFit="1" customWidth="1"/>
    <col min="21" max="21" width="24" style="66" bestFit="1" customWidth="1"/>
    <col min="22" max="22" width="22.33203125" bestFit="1" customWidth="1"/>
    <col min="23" max="23" width="32.44140625" bestFit="1" customWidth="1"/>
    <col min="24" max="24" width="22.88671875" style="66" bestFit="1" customWidth="1"/>
    <col min="25" max="25" width="24" style="66" bestFit="1" customWidth="1"/>
  </cols>
  <sheetData>
    <row r="1" spans="1:25" s="32" customFormat="1" ht="15" thickBot="1" x14ac:dyDescent="0.35">
      <c r="A1" s="31" t="s">
        <v>88</v>
      </c>
      <c r="B1" s="108" t="str">
        <f>'ST1 CO Question Map'!C1</f>
        <v>EC118_CO1</v>
      </c>
      <c r="C1" s="109"/>
      <c r="D1" s="109"/>
      <c r="E1" s="110"/>
      <c r="F1" s="108" t="str">
        <f>'ST1 CO Question Map'!D1</f>
        <v>EC118_CO2</v>
      </c>
      <c r="G1" s="109"/>
      <c r="H1" s="109"/>
      <c r="I1" s="110"/>
      <c r="J1" s="108" t="str">
        <f>'ST1 CO Question Map'!E1</f>
        <v>EC118_CO3</v>
      </c>
      <c r="K1" s="109"/>
      <c r="L1" s="109"/>
      <c r="M1" s="110"/>
      <c r="N1" s="108" t="str">
        <f>'ST1 CO Question Map'!F1</f>
        <v>EC118_CO4</v>
      </c>
      <c r="O1" s="109"/>
      <c r="P1" s="109"/>
      <c r="Q1" s="110"/>
      <c r="R1" s="108" t="str">
        <f>'ST1 CO Question Map'!G1</f>
        <v>EC118_CO5</v>
      </c>
      <c r="S1" s="109"/>
      <c r="T1" s="109"/>
      <c r="U1" s="110"/>
      <c r="V1" s="108" t="str">
        <f>'ST1 CO Question Map'!H1</f>
        <v>EC118_CO6</v>
      </c>
      <c r="W1" s="109"/>
      <c r="X1" s="109"/>
      <c r="Y1" s="110"/>
    </row>
    <row r="2" spans="1:25" ht="15" thickBot="1" x14ac:dyDescent="0.35">
      <c r="A2" s="33" t="s">
        <v>94</v>
      </c>
      <c r="B2" s="34" t="s">
        <v>95</v>
      </c>
      <c r="C2" s="35" t="s">
        <v>96</v>
      </c>
      <c r="D2" s="36" t="s">
        <v>97</v>
      </c>
      <c r="E2" s="37" t="s">
        <v>98</v>
      </c>
      <c r="F2" s="34" t="s">
        <v>95</v>
      </c>
      <c r="G2" s="35" t="s">
        <v>96</v>
      </c>
      <c r="H2" s="36" t="s">
        <v>97</v>
      </c>
      <c r="I2" s="37" t="s">
        <v>98</v>
      </c>
      <c r="J2" s="34" t="s">
        <v>95</v>
      </c>
      <c r="K2" s="35" t="s">
        <v>96</v>
      </c>
      <c r="L2" s="36" t="s">
        <v>97</v>
      </c>
      <c r="M2" s="37" t="s">
        <v>98</v>
      </c>
      <c r="N2" s="34" t="s">
        <v>95</v>
      </c>
      <c r="O2" s="35" t="s">
        <v>96</v>
      </c>
      <c r="P2" s="36" t="s">
        <v>97</v>
      </c>
      <c r="Q2" s="37" t="s">
        <v>98</v>
      </c>
      <c r="R2" s="34" t="s">
        <v>95</v>
      </c>
      <c r="S2" s="35" t="s">
        <v>96</v>
      </c>
      <c r="T2" s="36" t="s">
        <v>97</v>
      </c>
      <c r="U2" s="37" t="s">
        <v>98</v>
      </c>
      <c r="V2" s="38" t="s">
        <v>95</v>
      </c>
      <c r="W2" s="35" t="s">
        <v>96</v>
      </c>
      <c r="X2" s="36" t="s">
        <v>97</v>
      </c>
      <c r="Y2" s="37" t="s">
        <v>98</v>
      </c>
    </row>
    <row r="3" spans="1:25" ht="15" thickBot="1" x14ac:dyDescent="0.35">
      <c r="A3" s="39" t="s">
        <v>48</v>
      </c>
      <c r="B3" s="40">
        <f>AVERAGE(_xlfn.ANCHORARRAY('ST1 Student Wise'!D3))</f>
        <v>74.763888888888886</v>
      </c>
      <c r="C3" s="41">
        <f>AVERAGE(_xlfn.ANCHORARRAY('ST1 Student Wise'!E3))</f>
        <v>2.8333333333333335</v>
      </c>
      <c r="D3" s="42">
        <f>COUNTIF('ST1 Student Wise'!F:F,"Y")/(COUNTIF('ST1 Student Wise'!F:F,"N")+COUNTIF('ST1 Student Wise'!F:F,"Y"))</f>
        <v>0.94444444444444442</v>
      </c>
      <c r="E3" s="43" cm="1">
        <f t="array" ref="E3">IFERROR(_xlfn.IFS(D3="","",D3&gt;='OBE Details'!$B$13,3,D3&gt;='OBE Details'!$B$14,2,D3&gt;='OBE Details'!$B$15,1,D3&lt;'OBE Details'!$B$15,0),"")</f>
        <v>3</v>
      </c>
      <c r="F3" s="44">
        <f>AVERAGE(_xlfn.ANCHORARRAY('ST1 Student Wise'!I3))</f>
        <v>84.259444444444455</v>
      </c>
      <c r="G3" s="41">
        <f>AVERAGE(_xlfn.ANCHORARRAY('ST1 Student Wise'!J3))</f>
        <v>3</v>
      </c>
      <c r="H3" s="42">
        <f>COUNTIF('ST1 Student Wise'!K:K,"Y")/(COUNTIF('ST1 Student Wise'!K:K,"N")+COUNTIF('ST1 Student Wise'!K:K,"Y"))</f>
        <v>1</v>
      </c>
      <c r="I3" s="60" cm="1">
        <f t="array" ref="I3">IFERROR(_xlfn.IFS(H3="","",H3&gt;='OBE Details'!$B$13,3,H3&gt;='OBE Details'!$B$14,2,H3&gt;='OBE Details'!$B$15,1,H3&lt;'OBE Details'!$B$15,0),"")</f>
        <v>3</v>
      </c>
      <c r="J3" s="44">
        <f>AVERAGE(_xlfn.ANCHORARRAY('ST1 Student Wise'!N3))</f>
        <v>21.666666666666668</v>
      </c>
      <c r="K3" s="41">
        <f>AVERAGE(_xlfn.ANCHORARRAY('ST1 Student Wise'!O3))</f>
        <v>0.5</v>
      </c>
      <c r="L3" s="42">
        <f>COUNTIF('ST1 Student Wise'!P:P,"Y")/(COUNTIF('ST1 Student Wise'!P:P,"N")+COUNTIF('ST1 Student Wise'!P:P,"Y"))</f>
        <v>0.16666666666666666</v>
      </c>
      <c r="M3" s="43" cm="1">
        <f t="array" ref="M3">IFERROR(_xlfn.IFS(L3="","",L3&gt;='OBE Details'!$B$13,3,L3&gt;='OBE Details'!$B$14,2,L3&gt;='OBE Details'!$B$15,1,L3&lt;'OBE Details'!$B$15,0),"")</f>
        <v>0</v>
      </c>
      <c r="N3" s="44" t="e">
        <f>AVERAGE(_xlfn.ANCHORARRAY('ST1 Student Wise'!S3))</f>
        <v>#DIV/0!</v>
      </c>
      <c r="O3" s="41" t="e">
        <f>AVERAGE(_xlfn.ANCHORARRAY('ST1 Student Wise'!T3))</f>
        <v>#DIV/0!</v>
      </c>
      <c r="P3" s="45" t="e">
        <f>COUNTIF('ST1 Student Wise'!U:U,"Y")/(COUNTIF('ST1 Student Wise'!U:U,"N")+COUNTIF('ST1 Student Wise'!U:U,"Y"))</f>
        <v>#DIV/0!</v>
      </c>
      <c r="Q3" s="43" t="str" cm="1">
        <f t="array" ref="Q3">IFERROR(_xlfn.IFS(P3="","",P3&gt;='OBE Details'!$B$13,3,P3&gt;='OBE Details'!$B$14,2,P3&gt;='OBE Details'!$B$15,1,P3&lt;'OBE Details'!$B$15,0),"")</f>
        <v/>
      </c>
      <c r="R3" s="44" t="e">
        <f>AVERAGE(_xlfn.ANCHORARRAY('ST2 Student Wise'!X3))</f>
        <v>#DIV/0!</v>
      </c>
      <c r="S3" s="41" t="e">
        <f>AVERAGE(_xlfn.ANCHORARRAY('ST1 Student Wise'!Y3))</f>
        <v>#DIV/0!</v>
      </c>
      <c r="T3" s="45" t="e">
        <f>COUNTIF('ST1 Student Wise'!Z:Z,"Y")/(COUNTIF('ST1 Student Wise'!Z:Z,"N")+COUNTIF('ST1 Student Wise'!Z:Z,"Y"))</f>
        <v>#DIV/0!</v>
      </c>
      <c r="U3" s="60" t="str" cm="1">
        <f t="array" ref="U3">IFERROR(_xlfn.IFS(T3="","",T3&gt;='OBE Details'!$B$13,3,T3&gt;='OBE Details'!$B$14,2,T3&gt;='OBE Details'!$B$15,1,T3&lt;'OBE Details'!$B$15,0),"")</f>
        <v/>
      </c>
      <c r="V3" s="46" t="e">
        <f>AVERAGE(_xlfn.ANCHORARRAY('ST1 Student Wise'!AC3))</f>
        <v>#DIV/0!</v>
      </c>
      <c r="W3" s="41" t="e">
        <f>AVERAGE(_xlfn.ANCHORARRAY('ST1 Student Wise'!AD3))</f>
        <v>#DIV/0!</v>
      </c>
      <c r="X3" s="45" t="e">
        <f>COUNTIF('ST1 Student Wise'!AE:AE,"Y")/(COUNTIF('ST1 Student Wise'!AE:AE,"N")+COUNTIF('ST1 Student Wise'!AE:AE,"Y"))</f>
        <v>#DIV/0!</v>
      </c>
      <c r="Y3" s="60" t="str" cm="1">
        <f t="array" ref="Y3">IFERROR(_xlfn.IFS(X3="","",X3&gt;='OBE Details'!$B$13,3,X3&gt;='OBE Details'!$B$14,2,X3&gt;='OBE Details'!$B$15,1,X3&lt;'OBE Details'!$B$15,0),"")</f>
        <v/>
      </c>
    </row>
    <row r="4" spans="1:25" ht="15" thickBot="1" x14ac:dyDescent="0.35">
      <c r="A4" s="47" t="s">
        <v>85</v>
      </c>
      <c r="B4" s="48">
        <f>AVERAGE(_xlfn.ANCHORARRAY('ST2 Student Wise'!D3))</f>
        <v>98.745000000000005</v>
      </c>
      <c r="C4" s="49">
        <f>AVERAGE(_xlfn.ANCHORARRAY('ST2 Student Wise'!E3))</f>
        <v>3</v>
      </c>
      <c r="D4" s="50">
        <f>COUNTIF('ST2 Student Wise'!F:F,"Y")/(COUNTIF('ST2 Student Wise'!F:F,"N")+COUNTIF('ST2 Student Wise'!F:F,"Y"))</f>
        <v>1</v>
      </c>
      <c r="E4" s="43" cm="1">
        <f t="array" ref="E4">IFERROR(_xlfn.IFS(D4="","",D4&gt;='OBE Details'!$B$13,3,D4&gt;='OBE Details'!$B$14,2,D4&gt;='OBE Details'!$B$15,1,D4&lt;'OBE Details'!$B$15,0),"")</f>
        <v>3</v>
      </c>
      <c r="F4" s="51">
        <f>AVERAGE(_xlfn.ANCHORARRAY('ST2 Student Wise'!I3))</f>
        <v>77.00066666666666</v>
      </c>
      <c r="G4" s="49">
        <f>AVERAGE(_xlfn.ANCHORARRAY('ST2 Student Wise'!J3))</f>
        <v>2.8</v>
      </c>
      <c r="H4" s="50">
        <f>COUNTIF('ST2 Student Wise'!K:K,"Y")/(COUNTIF('ST2 Student Wise'!K:K,"N")+COUNTIF('ST2 Student Wise'!K:K,"Y"))</f>
        <v>0.93333333333333335</v>
      </c>
      <c r="I4" s="60" cm="1">
        <f t="array" ref="I4">IFERROR(_xlfn.IFS(H4="","",H4&gt;='OBE Details'!$B$13,3,H4&gt;='OBE Details'!$B$14,2,H4&gt;='OBE Details'!$B$15,1,H4&lt;'OBE Details'!$B$15,0),"")</f>
        <v>3</v>
      </c>
      <c r="J4" s="51">
        <f>AVERAGE(_xlfn.ANCHORARRAY('ST2 Student Wise'!N3))</f>
        <v>76</v>
      </c>
      <c r="K4" s="49">
        <f>AVERAGE(_xlfn.ANCHORARRAY('ST2 Student Wise'!O3))</f>
        <v>3</v>
      </c>
      <c r="L4" s="50">
        <f>COUNTIF('ST2 Student Wise'!P:P,"Y")/(COUNTIF('ST2 Student Wise'!P:P,"N")+COUNTIF('ST2 Student Wise'!P:P,"Y"))</f>
        <v>1</v>
      </c>
      <c r="M4" s="43" cm="1">
        <f t="array" ref="M4">IFERROR(_xlfn.IFS(L4="","",L4&gt;='OBE Details'!$B$13,3,L4&gt;='OBE Details'!$B$14,2,L4&gt;='OBE Details'!$B$15,1,L4&lt;'OBE Details'!$B$15,0),"")</f>
        <v>3</v>
      </c>
      <c r="N4" s="51" t="e">
        <f>AVERAGE(_xlfn.ANCHORARRAY('ST2 Student Wise'!S3))</f>
        <v>#DIV/0!</v>
      </c>
      <c r="O4" s="49" t="e">
        <f>AVERAGE(_xlfn.ANCHORARRAY('ST2 Student Wise'!T3))</f>
        <v>#DIV/0!</v>
      </c>
      <c r="P4" s="52" t="e">
        <f>COUNTIF('ST2 Student Wise'!U:U,"Y")/(COUNTIF('ST2 Student Wise'!U:U,"N")+COUNTIF('ST2 Student Wise'!U:U,"Y"))</f>
        <v>#DIV/0!</v>
      </c>
      <c r="Q4" s="43" t="str" cm="1">
        <f t="array" ref="Q4">IFERROR(_xlfn.IFS(P4="","",P4&gt;='OBE Details'!$B$13,3,P4&gt;='OBE Details'!$B$14,2,P4&gt;='OBE Details'!$B$15,1,P4&lt;'OBE Details'!$B$15,0),"")</f>
        <v/>
      </c>
      <c r="R4" s="51" t="e">
        <f>AVERAGE(_xlfn.ANCHORARRAY('ST2 Student Wise'!X3))</f>
        <v>#DIV/0!</v>
      </c>
      <c r="S4" s="49" t="e">
        <f>AVERAGE(_xlfn.ANCHORARRAY('ST2 Student Wise'!Y3))</f>
        <v>#DIV/0!</v>
      </c>
      <c r="T4" s="52" t="e">
        <f>COUNTIF('ST2 Student Wise'!Z:Z,"Y")/(COUNTIF('ST2 Student Wise'!Z:Z,"N")+COUNTIF('ST2 Student Wise'!Z:Z,"Y"))</f>
        <v>#DIV/0!</v>
      </c>
      <c r="U4" s="60" t="str" cm="1">
        <f t="array" ref="U4">IFERROR(_xlfn.IFS(T4="","",T4&gt;='OBE Details'!$B$13,3,T4&gt;='OBE Details'!$B$14,2,T4&gt;='OBE Details'!$B$15,1,T4&lt;'OBE Details'!$B$15,0),"")</f>
        <v/>
      </c>
      <c r="V4" s="53" t="e">
        <f>AVERAGE(_xlfn.ANCHORARRAY('ST2 Student Wise'!AC3))</f>
        <v>#DIV/0!</v>
      </c>
      <c r="W4" s="49" t="e">
        <f>AVERAGE(_xlfn.ANCHORARRAY('ST2 Student Wise'!AD3))</f>
        <v>#DIV/0!</v>
      </c>
      <c r="X4" s="52" t="e">
        <f>COUNTIF('ST2 Student Wise'!AE:AE,"Y")/(COUNTIF('ST2 Student Wise'!AE:AE,"N")+COUNTIF('ST2 Student Wise'!AE:AE,"Y"))</f>
        <v>#DIV/0!</v>
      </c>
      <c r="Y4" s="60" t="str" cm="1">
        <f t="array" ref="Y4">IFERROR(_xlfn.IFS(X4="","",X4&gt;='OBE Details'!$B$13,3,X4&gt;='OBE Details'!$B$14,2,X4&gt;='OBE Details'!$B$15,1,X4&lt;'OBE Details'!$B$15,0),"")</f>
        <v/>
      </c>
    </row>
    <row r="5" spans="1:25" ht="15" thickBot="1" x14ac:dyDescent="0.35">
      <c r="A5" s="54" t="s">
        <v>86</v>
      </c>
      <c r="B5" s="55">
        <f>AVERAGE(_xlfn.ANCHORARRAY('ST3 Student Wise'!D3))</f>
        <v>76.949375000000003</v>
      </c>
      <c r="C5" s="56">
        <f>(AVERAGE(_xlfn.ANCHORARRAY('ST3 Student Wise'!E3)))</f>
        <v>2.8125</v>
      </c>
      <c r="D5" s="57">
        <f>COUNTIF('ST3 Student Wise'!F:F,"Y")/(COUNTIF('ST3 Student Wise'!F:F,"N")+COUNTIF('ST3 Student Wise'!F:F,"Y"))</f>
        <v>0.9375</v>
      </c>
      <c r="E5" s="43" cm="1">
        <f t="array" ref="E5">IFERROR(_xlfn.IFS(D5="","",D5&gt;='OBE Details'!$B$13,3,D5&gt;='OBE Details'!$B$14,2,D5&gt;='OBE Details'!$B$15,1,D5&lt;'OBE Details'!$B$15,0),"")</f>
        <v>3</v>
      </c>
      <c r="F5" s="55">
        <f>AVERAGE(_xlfn.ANCHORARRAY('ST3 Student Wise'!I3))</f>
        <v>87.085714285714289</v>
      </c>
      <c r="G5" s="56">
        <f>AVERAGE(_xlfn.ANCHORARRAY('ST3 Student Wise'!J3))</f>
        <v>2.5714285714285716</v>
      </c>
      <c r="H5" s="57">
        <f>COUNTIF('ST3 Student Wise'!K:K,"Y")/(COUNTIF('ST3 Student Wise'!K:K,"N")+COUNTIF('ST3 Student Wise'!K:K,"Y"))</f>
        <v>0.8571428571428571</v>
      </c>
      <c r="I5" s="60" cm="1">
        <f t="array" ref="I5">IFERROR(_xlfn.IFS(H5="","",H5&gt;='OBE Details'!$B$13,3,H5&gt;='OBE Details'!$B$14,2,H5&gt;='OBE Details'!$B$15,1,H5&lt;'OBE Details'!$B$15,0),"")</f>
        <v>3</v>
      </c>
      <c r="J5" s="55">
        <f>AVERAGE(_xlfn.ANCHORARRAY('ST3 Student Wise'!N3))</f>
        <v>59.048333333333339</v>
      </c>
      <c r="K5" s="56">
        <f>AVERAGE(_xlfn.ANCHORARRAY('ST3 Student Wise'!O3))</f>
        <v>1.25</v>
      </c>
      <c r="L5" s="57">
        <f>IFERROR(COUNTIF('ST3 Student Wise'!P:P,"Y")/(COUNTIF('ST3 Student Wise'!P:P,"N")+COUNTIF('ST3 Student Wise'!P:P,"Y")),"")</f>
        <v>0.41666666666666669</v>
      </c>
      <c r="M5" s="43" cm="1">
        <f t="array" ref="M5">IFERROR(_xlfn.IFS(L5="","",L5&gt;='OBE Details'!$B$13,3,L5&gt;='OBE Details'!$B$14,2,L5&gt;='OBE Details'!$B$15,1,L5&lt;'OBE Details'!$B$15,0),"")</f>
        <v>0</v>
      </c>
      <c r="N5" s="55" t="e">
        <f>AVERAGE(_xlfn.ANCHORARRAY('ST3 Student Wise'!S3))</f>
        <v>#DIV/0!</v>
      </c>
      <c r="O5" s="56" t="e">
        <f>AVERAGE(_xlfn.ANCHORARRAY('ST3 Student Wise'!T3))</f>
        <v>#DIV/0!</v>
      </c>
      <c r="P5" s="58" t="e">
        <f>COUNTIF('ST3 Student Wise'!U:U,"Y")/(COUNTIF('ST3 Student Wise'!U:U,"N")+COUNTIF('ST3 Student Wise'!U:U,"Y"))</f>
        <v>#DIV/0!</v>
      </c>
      <c r="Q5" s="43" t="str" cm="1">
        <f t="array" ref="Q5">IFERROR(_xlfn.IFS(P5="","",P5&gt;='OBE Details'!$B$13,3,P5&gt;='OBE Details'!$B$14,2,P5&gt;='OBE Details'!$B$15,1,P5&lt;'OBE Details'!$B$15,0),"")</f>
        <v/>
      </c>
      <c r="R5" s="55" t="e">
        <f>AVERAGE(_xlfn.ANCHORARRAY('ST3 Student Wise'!X3))</f>
        <v>#DIV/0!</v>
      </c>
      <c r="S5" s="56" t="e">
        <f>AVERAGE(_xlfn.ANCHORARRAY('ST3 Student Wise'!Y3))</f>
        <v>#DIV/0!</v>
      </c>
      <c r="T5" s="58" t="e">
        <f>COUNTIF('ST3 Student Wise'!Z:Z,"Y")/(COUNTIF('ST3 Student Wise'!Z:Z,"N")+COUNTIF('ST3 Student Wise'!Z:Z,"Y"))</f>
        <v>#DIV/0!</v>
      </c>
      <c r="U5" s="60" t="str" cm="1">
        <f t="array" ref="U5">IFERROR(_xlfn.IFS(T5="","",T5&gt;='OBE Details'!$B$13,3,T5&gt;='OBE Details'!$B$14,2,T5&gt;='OBE Details'!$B$15,1,T5&lt;'OBE Details'!$B$15,0),"")</f>
        <v/>
      </c>
      <c r="V5" s="59" t="e">
        <f>AVERAGE(_xlfn.ANCHORARRAY('ST3 Student Wise'!AC3))</f>
        <v>#DIV/0!</v>
      </c>
      <c r="W5" s="56" t="e">
        <f>AVERAGE(_xlfn.ANCHORARRAY('ST3 Student Wise'!AD3))</f>
        <v>#DIV/0!</v>
      </c>
      <c r="X5" s="58" t="e">
        <f>COUNTIF('ST3 Student Wise'!AE:AE,"Y")/(COUNTIF('ST3 Student Wise'!AE:AE,"N")+COUNTIF('ST3 Student Wise'!AE:AE,"Y"))</f>
        <v>#DIV/0!</v>
      </c>
      <c r="Y5" s="60" t="str" cm="1">
        <f t="array" ref="Y5">IFERROR(_xlfn.IFS(X5="","",X5&gt;='OBE Details'!$B$13,3,X5&gt;='OBE Details'!$B$14,2,X5&gt;='OBE Details'!$B$15,1,X5&lt;'OBE Details'!$B$15,0),"")</f>
        <v/>
      </c>
    </row>
    <row r="6" spans="1:25" ht="15" thickBot="1" x14ac:dyDescent="0.35">
      <c r="A6" s="20" t="s">
        <v>99</v>
      </c>
      <c r="B6" s="22" cm="1">
        <f t="array" ref="B6">ROUND(AVERAGE(IFERROR(B3:B5,"")),2)</f>
        <v>83.49</v>
      </c>
      <c r="C6" s="23" cm="1">
        <f t="array" ref="C6">ROUND(AVERAGE(IFERROR(C3:C5,"")),2)</f>
        <v>2.88</v>
      </c>
      <c r="D6" s="24" cm="1">
        <f t="array" ref="D6">ROUND(AVERAGE(IFERROR(D3:D5,"")),2)</f>
        <v>0.96</v>
      </c>
      <c r="E6" s="43" cm="1">
        <f t="array" ref="E6">IFERROR(_xlfn.IFS(D6="","",D6&gt;='OBE Details'!$B$13,3,D6&gt;='OBE Details'!$B$14,2,D6&gt;='OBE Details'!$B$15,1,D6&lt;'OBE Details'!$B$15,0),"")</f>
        <v>3</v>
      </c>
      <c r="F6" s="22" cm="1">
        <f t="array" ref="F6">ROUND(AVERAGE(IFERROR(F3:F5,"")),2)</f>
        <v>82.78</v>
      </c>
      <c r="G6" s="23" cm="1">
        <f t="array" ref="G6">ROUND(AVERAGE(IFERROR(G3:G5,"")),2)</f>
        <v>2.79</v>
      </c>
      <c r="H6" s="24" cm="1">
        <f t="array" ref="H6">ROUND(AVERAGE(IFERROR(H3:H5,"")),2)</f>
        <v>0.93</v>
      </c>
      <c r="I6" s="60" cm="1">
        <f t="array" ref="I6">IFERROR(_xlfn.IFS(H6="","",H6&gt;='OBE Details'!$B$13,3,H6&gt;='OBE Details'!$B$14,2,H6&gt;='OBE Details'!$B$15,1,H6&lt;'OBE Details'!$B$15,0),"")</f>
        <v>3</v>
      </c>
      <c r="J6" s="22" cm="1">
        <f t="array" ref="J6">ROUND(AVERAGE(IFERROR(J3:J5,"")),2)</f>
        <v>52.24</v>
      </c>
      <c r="K6" s="23" cm="1">
        <f t="array" ref="K6">ROUND(AVERAGE(IFERROR(K3:K5,"")),2)</f>
        <v>1.58</v>
      </c>
      <c r="L6" s="23" cm="1">
        <f t="array" ref="L6">ROUND(AVERAGE(IFERROR(L3:L5,"")),2)</f>
        <v>0.53</v>
      </c>
      <c r="M6" s="43" cm="1">
        <f t="array" ref="M6">IFERROR(_xlfn.IFS(L6="","",L6&gt;='OBE Details'!$B$13,3,L6&gt;='OBE Details'!$B$14,2,L6&gt;='OBE Details'!$B$15,1,L6&lt;'OBE Details'!$B$15,0),"")</f>
        <v>0</v>
      </c>
      <c r="N6" s="22" t="e" cm="1">
        <f t="array" ref="N6">ROUND(AVERAGE(IFERROR(N3:N5,"")),2)</f>
        <v>#DIV/0!</v>
      </c>
      <c r="O6" s="23" t="e" cm="1">
        <f t="array" ref="O6">ROUND(AVERAGE(IFERROR(O3:O5,"")),2)</f>
        <v>#DIV/0!</v>
      </c>
      <c r="P6" s="23" t="e" cm="1">
        <f t="array" ref="P6">ROUND(AVERAGE(IFERROR(P3:P5,"")),2)</f>
        <v>#DIV/0!</v>
      </c>
      <c r="Q6" s="43" t="str" cm="1">
        <f t="array" ref="Q6">IFERROR(_xlfn.IFS(P6="","",P6&gt;='OBE Details'!$B$13,3,P6&gt;='OBE Details'!$B$14,2,P6&gt;='OBE Details'!$B$15,1,P6&lt;'OBE Details'!$B$15,0),"")</f>
        <v/>
      </c>
      <c r="R6" s="22" t="e" cm="1">
        <f t="array" ref="R6">ROUND(AVERAGE(IFERROR(R3:R5,"")),2)</f>
        <v>#DIV/0!</v>
      </c>
      <c r="S6" s="23" t="e" cm="1">
        <f t="array" ref="S6">ROUND(AVERAGE(IFERROR(S3:S5,"")),2)</f>
        <v>#DIV/0!</v>
      </c>
      <c r="T6" s="23" t="e" cm="1">
        <f t="array" ref="T6">ROUND(AVERAGE(IFERROR(T3:T5,"")),2)</f>
        <v>#DIV/0!</v>
      </c>
      <c r="U6" s="60" t="str" cm="1">
        <f t="array" ref="U6">IFERROR(_xlfn.IFS(T6="","",T6&gt;='OBE Details'!$B$13,3,T6&gt;='OBE Details'!$B$14,2,T6&gt;='OBE Details'!$B$15,1,T6&lt;'OBE Details'!$B$15,0),"")</f>
        <v/>
      </c>
      <c r="V6" s="61" t="e" cm="1">
        <f t="array" ref="V6">ROUND(AVERAGE(IFERROR(V3:V5,"")),2)</f>
        <v>#DIV/0!</v>
      </c>
      <c r="W6" s="23" t="e" cm="1">
        <f t="array" ref="W6">ROUND(AVERAGE(IFERROR(W3:W5,"")),2)</f>
        <v>#DIV/0!</v>
      </c>
      <c r="X6" s="23" t="e" cm="1">
        <f t="array" ref="X6">ROUND(AVERAGE(IFERROR(X3:X5,"")),2)</f>
        <v>#DIV/0!</v>
      </c>
      <c r="Y6" s="60" t="str" cm="1">
        <f t="array" ref="Y6">IFERROR(_xlfn.IFS(X6="","",X6&gt;='OBE Details'!$B$13,3,X6&gt;='OBE Details'!$B$14,2,X6&gt;='OBE Details'!$B$15,1,X6&lt;'OBE Details'!$B$15,0),"")</f>
        <v/>
      </c>
    </row>
    <row r="7" spans="1:25" ht="15" thickBot="1" x14ac:dyDescent="0.35">
      <c r="A7" s="20" t="s">
        <v>87</v>
      </c>
      <c r="B7" s="62">
        <f>AVERAGE(_xlfn.ANCHORARRAY('ETE Student Wise'!D3))</f>
        <v>79.781111111111116</v>
      </c>
      <c r="C7" s="63">
        <f>AVERAGE(_xlfn.ANCHORARRAY('ETE Student Wise'!E3))</f>
        <v>2.1666666666666665</v>
      </c>
      <c r="D7" s="24">
        <f>COUNTIF('ETE Student Wise'!F:F,"Y")/(COUNTIF('ETE Student Wise'!F:F,"N")+COUNTIF('ETE Student Wise'!F:F,"Y"))</f>
        <v>0.72222222222222221</v>
      </c>
      <c r="E7" s="43" cm="1">
        <f t="array" ref="E7">IFERROR(_xlfn.IFS(D7="","",D7&gt;='OBE Details'!$B$13,3,D7&gt;='OBE Details'!$B$14,2,D7&gt;='OBE Details'!$B$15,1,D7&lt;'OBE Details'!$B$15,0),"")</f>
        <v>2</v>
      </c>
      <c r="F7" s="62">
        <f>AVERAGE(_xlfn.ANCHORARRAY('ETE Student Wise'!I3))</f>
        <v>80.040555555555557</v>
      </c>
      <c r="G7" s="63">
        <f>AVERAGE(_xlfn.ANCHORARRAY('ETE Student Wise'!J3))</f>
        <v>3</v>
      </c>
      <c r="H7" s="24">
        <f>COUNTIF('ETE Student Wise'!K:K,"Y")/(COUNTIF('ETE Student Wise'!K:K,"N")+COUNTIF('ETE Student Wise'!K:K,"Y"))</f>
        <v>1</v>
      </c>
      <c r="I7" s="60" cm="1">
        <f t="array" ref="I7">IFERROR(_xlfn.IFS(H7="","",H7&gt;='OBE Details'!$B$13,3,H7&gt;='OBE Details'!$B$14,2,H7&gt;='OBE Details'!$B$15,1,H7&lt;'OBE Details'!$B$15,0),"")</f>
        <v>3</v>
      </c>
      <c r="J7" s="62">
        <f>AVERAGE(_xlfn.ANCHORARRAY('ETE Student Wise'!N3))</f>
        <v>72.537777777777762</v>
      </c>
      <c r="K7" s="63">
        <f>AVERAGE(_xlfn.ANCHORARRAY('ETE Student Wise'!O3))</f>
        <v>2</v>
      </c>
      <c r="L7" s="24">
        <f>COUNTIF('ETE Student Wise'!P:P,"Y")/(COUNTIF('ETE Student Wise'!P:P,"N")+COUNTIF('ETE Student Wise'!P:P,"Y"))</f>
        <v>0.66666666666666663</v>
      </c>
      <c r="M7" s="43" cm="1">
        <f t="array" ref="M7">IFERROR(_xlfn.IFS(L7="","",L7&gt;='OBE Details'!$B$13,3,L7&gt;='OBE Details'!$B$14,2,L7&gt;='OBE Details'!$B$15,1,L7&lt;'OBE Details'!$B$15,0),"")</f>
        <v>1</v>
      </c>
      <c r="N7" s="62" t="e">
        <f>AVERAGE(_xlfn.ANCHORARRAY('ETE Student Wise'!S3))</f>
        <v>#DIV/0!</v>
      </c>
      <c r="O7" s="63" t="e">
        <f>AVERAGE(_xlfn.ANCHORARRAY('ETE Student Wise'!T3))</f>
        <v>#DIV/0!</v>
      </c>
      <c r="P7" s="64" t="e">
        <f>COUNTIF('ETE Student Wise'!U:U,"Y")/(COUNTIF('ETE Student Wise'!U:U,"N")+COUNTIF('ETE Student Wise'!U:U,"Y"))</f>
        <v>#DIV/0!</v>
      </c>
      <c r="Q7" s="43" t="str" cm="1">
        <f t="array" ref="Q7">IFERROR(_xlfn.IFS(P7="","",P7&gt;='OBE Details'!$B$13,3,P7&gt;='OBE Details'!$B$14,2,P7&gt;='OBE Details'!$B$15,1,P7&lt;'OBE Details'!$B$15,0),"")</f>
        <v/>
      </c>
      <c r="R7" s="62" t="e">
        <f>AVERAGE(_xlfn.ANCHORARRAY('ETE Student Wise'!X3))</f>
        <v>#DIV/0!</v>
      </c>
      <c r="S7" s="63" t="e">
        <f>AVERAGE(_xlfn.ANCHORARRAY('ETE Student Wise'!Y3))</f>
        <v>#DIV/0!</v>
      </c>
      <c r="T7" s="64" t="e">
        <f>COUNTIF('ETE Student Wise'!Z:Z,"Y")/(COUNTIF('ETE Student Wise'!Z:Z,"N")+COUNTIF('ETE Student Wise'!Z:Z,"Y"))</f>
        <v>#DIV/0!</v>
      </c>
      <c r="U7" s="60" t="str" cm="1">
        <f t="array" ref="U7">IFERROR(_xlfn.IFS(T7="","",T7&gt;='OBE Details'!$B$13,3,T7&gt;='OBE Details'!$B$14,2,T7&gt;='OBE Details'!$B$15,1,T7&lt;'OBE Details'!$B$15,0),"")</f>
        <v/>
      </c>
      <c r="V7" s="65" t="e">
        <f>AVERAGE(_xlfn.ANCHORARRAY('ETE Student Wise'!AC3))</f>
        <v>#DIV/0!</v>
      </c>
      <c r="W7" s="63" t="e">
        <f>AVERAGE(_xlfn.ANCHORARRAY('ETE Student Wise'!AD3))</f>
        <v>#DIV/0!</v>
      </c>
      <c r="X7" s="64" t="e">
        <f>COUNTIF('ETE Student Wise'!AE:AE,"Y")/(COUNTIF('ETE Student Wise'!AE:AE,"N")+COUNTIF('ETE Student Wise'!AE:AE,"Y"))</f>
        <v>#DIV/0!</v>
      </c>
      <c r="Y7" s="60" t="str" cm="1">
        <f t="array" ref="Y7">IFERROR(_xlfn.IFS(X7="","",X7&gt;='OBE Details'!$B$13,3,X7&gt;='OBE Details'!$B$14,2,X7&gt;='OBE Details'!$B$15,1,X7&lt;'OBE Details'!$B$15,0),"")</f>
        <v/>
      </c>
    </row>
    <row r="8" spans="1:25" ht="15" thickBot="1" x14ac:dyDescent="0.35">
      <c r="A8" s="20" t="s">
        <v>100</v>
      </c>
      <c r="B8" s="62">
        <f>'OBE Details'!$B$9*B6+'OBE Details'!$B$10*B7</f>
        <v>81.26466666666667</v>
      </c>
      <c r="C8" s="63">
        <f>'OBE Details'!$B$9*C6+'OBE Details'!$B$10*C7</f>
        <v>2.452</v>
      </c>
      <c r="D8" s="24">
        <f>'OBE Details'!$B$9*D6+'OBE Details'!$B$10*D7</f>
        <v>0.81733333333333325</v>
      </c>
      <c r="E8" s="43" cm="1">
        <f t="array" ref="E8">IFERROR(_xlfn.IFS(D8="","",D8&gt;='OBE Details'!$B$13,3,D8&gt;='OBE Details'!$B$14,2,D8&gt;='OBE Details'!$B$15,1,D8&lt;'OBE Details'!$B$15,0),"")</f>
        <v>3</v>
      </c>
      <c r="F8" s="62">
        <f>'OBE Details'!$B$9*F6+'OBE Details'!$B$10*F7</f>
        <v>81.13633333333334</v>
      </c>
      <c r="G8" s="63">
        <f>'OBE Details'!$B$9*G6+'OBE Details'!$B$10*G7</f>
        <v>2.9159999999999999</v>
      </c>
      <c r="H8" s="24">
        <f>'OBE Details'!$B$9*H6+'OBE Details'!$B$10*H7</f>
        <v>0.97199999999999998</v>
      </c>
      <c r="I8" s="60" cm="1">
        <f t="array" ref="I8">IFERROR(_xlfn.IFS(H8="","",H8&gt;='OBE Details'!$B$13,3,H8&gt;='OBE Details'!$B$14,2,H8&gt;='OBE Details'!$B$15,1,H8&lt;'OBE Details'!$B$15,0),"")</f>
        <v>3</v>
      </c>
      <c r="J8" s="62">
        <f>'OBE Details'!$B$9*J6+'OBE Details'!$B$10*J7</f>
        <v>64.418666666666667</v>
      </c>
      <c r="K8" s="63">
        <f>'OBE Details'!$B$9*K6+'OBE Details'!$B$10*K7</f>
        <v>1.8320000000000001</v>
      </c>
      <c r="L8" s="24">
        <f>'OBE Details'!$B$9*L6+'OBE Details'!$B$10*L7</f>
        <v>0.61199999999999999</v>
      </c>
      <c r="M8" s="43" cm="1">
        <f t="array" ref="M8">IFERROR(_xlfn.IFS(L8="","",L8&gt;='OBE Details'!$B$13,3,L8&gt;='OBE Details'!$B$14,2,L8&gt;='OBE Details'!$B$15,1,L8&lt;'OBE Details'!$B$15,0),"")</f>
        <v>1</v>
      </c>
      <c r="N8" s="62" t="e">
        <f>'OBE Details'!$B$9*N6+'OBE Details'!$B$10*N7</f>
        <v>#DIV/0!</v>
      </c>
      <c r="O8" s="63" t="e">
        <f>'OBE Details'!$B$9*O6+'OBE Details'!$B$10*O7</f>
        <v>#DIV/0!</v>
      </c>
      <c r="P8" s="87" t="e">
        <f>'OBE Details'!$B$9*P6+'OBE Details'!$B$10*P7</f>
        <v>#DIV/0!</v>
      </c>
      <c r="Q8" s="43" t="str" cm="1">
        <f t="array" ref="Q8">IFERROR(_xlfn.IFS(P8="","",P8&gt;='OBE Details'!$B$13,3,P8&gt;='OBE Details'!$B$14,2,P8&gt;='OBE Details'!$B$15,1,P8&lt;'OBE Details'!$B$15,0),"")</f>
        <v/>
      </c>
      <c r="R8" s="62" t="e">
        <f>'OBE Details'!$B$9*R6+'OBE Details'!$B$10*R7</f>
        <v>#DIV/0!</v>
      </c>
      <c r="S8" s="63" t="e">
        <f>'OBE Details'!$B$9*S6+'OBE Details'!$B$10*S7</f>
        <v>#DIV/0!</v>
      </c>
      <c r="T8" s="87" t="e">
        <f>'OBE Details'!$B$9*T6+'OBE Details'!$B$10*T7</f>
        <v>#DIV/0!</v>
      </c>
      <c r="U8" s="60" t="str" cm="1">
        <f t="array" ref="U8">IFERROR(_xlfn.IFS(T8="","",T8&gt;='OBE Details'!$B$13,3,T8&gt;='OBE Details'!$B$14,2,T8&gt;='OBE Details'!$B$15,1,T8&lt;'OBE Details'!$B$15,0),"")</f>
        <v/>
      </c>
      <c r="V8" s="65" t="e">
        <f>'OBE Details'!$B$9*V6+'OBE Details'!$B$10*V7</f>
        <v>#DIV/0!</v>
      </c>
      <c r="W8" s="63" t="e">
        <f>'OBE Details'!$B$9*W6+'OBE Details'!$B$10*W7</f>
        <v>#DIV/0!</v>
      </c>
      <c r="X8" s="87" t="e">
        <f>'OBE Details'!$B$9*X6+'OBE Details'!$B$10*X7</f>
        <v>#DIV/0!</v>
      </c>
      <c r="Y8" s="60" t="str" cm="1">
        <f t="array" ref="Y8">IFERROR(_xlfn.IFS(X8="","",X8&gt;='OBE Details'!$B$13,3,X8&gt;='OBE Details'!$B$14,2,X8&gt;='OBE Details'!$B$15,1,X8&lt;'OBE Details'!$B$15,0),"")</f>
        <v/>
      </c>
    </row>
    <row r="9" spans="1:25" ht="15" thickBot="1" x14ac:dyDescent="0.35"/>
    <row r="10" spans="1:25" ht="15" thickBot="1" x14ac:dyDescent="0.35">
      <c r="A10" s="31" t="s">
        <v>101</v>
      </c>
      <c r="B10" s="67" t="s">
        <v>102</v>
      </c>
    </row>
    <row r="11" spans="1:25" x14ac:dyDescent="0.3">
      <c r="A11" s="28" t="s">
        <v>22</v>
      </c>
      <c r="B11" s="28">
        <f>E8</f>
        <v>3</v>
      </c>
    </row>
    <row r="12" spans="1:25" x14ac:dyDescent="0.3">
      <c r="A12" s="29" t="s">
        <v>23</v>
      </c>
      <c r="B12" s="29">
        <f>I8</f>
        <v>3</v>
      </c>
    </row>
    <row r="13" spans="1:25" x14ac:dyDescent="0.3">
      <c r="A13" s="29" t="s">
        <v>24</v>
      </c>
      <c r="B13" s="29">
        <f>M8</f>
        <v>1</v>
      </c>
    </row>
    <row r="14" spans="1:25" x14ac:dyDescent="0.3">
      <c r="A14" s="29" t="s">
        <v>25</v>
      </c>
      <c r="B14" s="29" t="str">
        <f>Q8</f>
        <v/>
      </c>
    </row>
    <row r="15" spans="1:25" x14ac:dyDescent="0.3">
      <c r="A15" s="29" t="s">
        <v>26</v>
      </c>
      <c r="B15" s="29" t="str">
        <f>U8</f>
        <v/>
      </c>
    </row>
    <row r="16" spans="1:25" ht="15" thickBot="1" x14ac:dyDescent="0.35">
      <c r="A16" s="68" t="s">
        <v>27</v>
      </c>
      <c r="B16" s="68" t="str">
        <f>Y8</f>
        <v/>
      </c>
    </row>
    <row r="17" spans="1:2" ht="15" thickBot="1" x14ac:dyDescent="0.35">
      <c r="A17" s="20" t="s">
        <v>103</v>
      </c>
      <c r="B17" s="69">
        <f>AVERAGE(B11:B16)</f>
        <v>2.3333333333333335</v>
      </c>
    </row>
  </sheetData>
  <mergeCells count="6">
    <mergeCell ref="V1:Y1"/>
    <mergeCell ref="B1:E1"/>
    <mergeCell ref="F1:I1"/>
    <mergeCell ref="J1:M1"/>
    <mergeCell ref="N1:Q1"/>
    <mergeCell ref="R1:U1"/>
  </mergeCells>
  <pageMargins left="0.7" right="0.7" top="0.75" bottom="0.75" header="0.3" footer="0.3"/>
  <pageSetup paperSize="9" orientation="portrait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BA3B8-1296-490B-AAA3-7F465D888366}">
  <sheetPr codeName="Sheet43">
    <tabColor rgb="FF00B0F0"/>
  </sheetPr>
  <dimension ref="A1:J17"/>
  <sheetViews>
    <sheetView workbookViewId="0">
      <selection activeCell="H11" sqref="H11"/>
    </sheetView>
  </sheetViews>
  <sheetFormatPr defaultRowHeight="14.4" x14ac:dyDescent="0.3"/>
  <cols>
    <col min="1" max="1" width="16.44140625" bestFit="1" customWidth="1"/>
    <col min="2" max="2" width="16.88671875" bestFit="1" customWidth="1"/>
  </cols>
  <sheetData>
    <row r="1" spans="1:10" ht="15" thickBot="1" x14ac:dyDescent="0.35">
      <c r="A1" s="31" t="s">
        <v>101</v>
      </c>
      <c r="B1" s="67" t="s">
        <v>102</v>
      </c>
      <c r="E1" t="str" cm="1">
        <f t="array" ref="E1:J1">'ST1 CO Question Map'!C1:H1</f>
        <v>EC118_CO1</v>
      </c>
      <c r="F1" t="str">
        <v>EC118_CO2</v>
      </c>
      <c r="G1" t="str">
        <v>EC118_CO3</v>
      </c>
      <c r="H1" t="str">
        <v>EC118_CO4</v>
      </c>
      <c r="I1" t="str">
        <v>EC118_CO5</v>
      </c>
      <c r="J1" t="str">
        <v>EC118_CO6</v>
      </c>
    </row>
    <row r="2" spans="1:10" x14ac:dyDescent="0.3">
      <c r="A2" t="str" cm="1">
        <f t="array" ref="A2:A7">TRANSPOSE('ETE CO Question Map'!C1:H1)</f>
        <v>EC118_CO1</v>
      </c>
      <c r="B2" s="92">
        <f>Averages!E8</f>
        <v>3</v>
      </c>
      <c r="D2" t="s">
        <v>48</v>
      </c>
    </row>
    <row r="3" spans="1:10" x14ac:dyDescent="0.3">
      <c r="A3" s="29" t="str">
        <v>EC118_CO2</v>
      </c>
      <c r="B3" s="92">
        <f>Averages!I8</f>
        <v>3</v>
      </c>
      <c r="D3" t="s">
        <v>85</v>
      </c>
    </row>
    <row r="4" spans="1:10" x14ac:dyDescent="0.3">
      <c r="A4" s="29" t="str">
        <v>EC118_CO3</v>
      </c>
      <c r="B4" s="92">
        <f>Averages!M8</f>
        <v>1</v>
      </c>
      <c r="D4" t="s">
        <v>86</v>
      </c>
    </row>
    <row r="5" spans="1:10" x14ac:dyDescent="0.3">
      <c r="A5" s="29" t="str">
        <v>EC118_CO4</v>
      </c>
      <c r="B5" s="92" t="str">
        <f>Averages!Q8</f>
        <v/>
      </c>
      <c r="D5" t="s">
        <v>111</v>
      </c>
    </row>
    <row r="6" spans="1:10" x14ac:dyDescent="0.3">
      <c r="A6" s="29" t="str">
        <v>EC118_CO5</v>
      </c>
      <c r="B6" s="92" t="str">
        <f>Averages!U8</f>
        <v/>
      </c>
      <c r="D6" t="s">
        <v>87</v>
      </c>
    </row>
    <row r="7" spans="1:10" ht="15" thickBot="1" x14ac:dyDescent="0.35">
      <c r="A7" s="68" t="str">
        <v>EC118_CO6</v>
      </c>
      <c r="B7" s="92" t="str">
        <f>Averages!Y8</f>
        <v/>
      </c>
      <c r="D7" t="s">
        <v>112</v>
      </c>
    </row>
    <row r="8" spans="1:10" ht="15" thickBot="1" x14ac:dyDescent="0.35">
      <c r="A8" s="20" t="s">
        <v>103</v>
      </c>
      <c r="B8" s="69">
        <f>AVERAGE(B2:B7)</f>
        <v>2.3333333333333335</v>
      </c>
    </row>
    <row r="11" spans="1:10" x14ac:dyDescent="0.3">
      <c r="B11" t="s">
        <v>48</v>
      </c>
      <c r="C11" t="s">
        <v>85</v>
      </c>
      <c r="D11" t="s">
        <v>86</v>
      </c>
      <c r="E11" t="s">
        <v>87</v>
      </c>
      <c r="F11" t="s">
        <v>113</v>
      </c>
      <c r="G11" t="s">
        <v>112</v>
      </c>
    </row>
    <row r="12" spans="1:10" x14ac:dyDescent="0.3">
      <c r="A12" t="str" cm="1">
        <f t="array" ref="A12:A17">TRANSPOSE('ST1 CO Question Map'!C1:H1)</f>
        <v>EC118_CO1</v>
      </c>
    </row>
    <row r="13" spans="1:10" x14ac:dyDescent="0.3">
      <c r="A13" t="str">
        <v>EC118_CO2</v>
      </c>
    </row>
    <row r="14" spans="1:10" x14ac:dyDescent="0.3">
      <c r="A14" t="str">
        <v>EC118_CO3</v>
      </c>
    </row>
    <row r="15" spans="1:10" x14ac:dyDescent="0.3">
      <c r="A15" t="str">
        <v>EC118_CO4</v>
      </c>
    </row>
    <row r="16" spans="1:10" x14ac:dyDescent="0.3">
      <c r="A16" t="str">
        <v>EC118_CO5</v>
      </c>
    </row>
    <row r="17" spans="1:1" x14ac:dyDescent="0.3">
      <c r="A17" t="str">
        <v>EC118_CO6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10C8-691A-4EDD-A27D-147D5975FC39}">
  <sheetPr codeName="Sheet44">
    <tabColor rgb="FF00B050"/>
  </sheetPr>
  <dimension ref="A1:AE19"/>
  <sheetViews>
    <sheetView zoomScaleNormal="100" workbookViewId="0">
      <selection activeCell="L1" sqref="L1"/>
    </sheetView>
  </sheetViews>
  <sheetFormatPr defaultRowHeight="14.4" x14ac:dyDescent="0.3"/>
  <cols>
    <col min="1" max="1" width="21" bestFit="1" customWidth="1"/>
    <col min="2" max="19" width="14.21875" bestFit="1" customWidth="1"/>
    <col min="20" max="25" width="14.33203125" bestFit="1" customWidth="1"/>
    <col min="26" max="31" width="15" bestFit="1" customWidth="1"/>
  </cols>
  <sheetData>
    <row r="1" spans="1:31" s="32" customFormat="1" x14ac:dyDescent="0.3">
      <c r="A1" s="95" t="str" cm="1">
        <f t="array" ref="A1:A19">'ETE Result'!$B$1:INDEX('ETE Result'!$B:$B,COUNTA('ETE Result'!$B:$B))</f>
        <v>Admission No. (Roll No.)</v>
      </c>
      <c r="B1" s="95" t="str">
        <f>"ST1-"&amp;'ST1 CO Question Map'!C1</f>
        <v>ST1-EC118_CO1</v>
      </c>
      <c r="C1" s="95" t="str">
        <f>"ST1-"&amp;'ST1 CO Question Map'!D1</f>
        <v>ST1-EC118_CO2</v>
      </c>
      <c r="D1" s="95" t="str">
        <f>"ST1-"&amp;'ST1 CO Question Map'!E1</f>
        <v>ST1-EC118_CO3</v>
      </c>
      <c r="E1" s="95" t="str">
        <f>"ST1-"&amp;'ST1 CO Question Map'!F1</f>
        <v>ST1-EC118_CO4</v>
      </c>
      <c r="F1" s="95" t="str">
        <f>"ST1-"&amp;'ST1 CO Question Map'!G1</f>
        <v>ST1-EC118_CO5</v>
      </c>
      <c r="G1" s="95" t="str">
        <f>"ST1-"&amp;'ST1 CO Question Map'!H1</f>
        <v>ST1-EC118_CO6</v>
      </c>
      <c r="H1" s="95" t="str">
        <f>"ST2-"&amp;'ST2 CO Question Map'!C1</f>
        <v>ST2-EC118_CO1</v>
      </c>
      <c r="I1" s="95" t="str">
        <f>"ST2-"&amp;'ST2 CO Question Map'!D1</f>
        <v>ST2-EC118_CO2</v>
      </c>
      <c r="J1" s="95" t="str">
        <f>"ST2-"&amp;'ST2 CO Question Map'!E1</f>
        <v>ST2-EC118_CO3</v>
      </c>
      <c r="K1" s="95" t="str">
        <f>"ST2-"&amp;'ST2 CO Question Map'!F1</f>
        <v>ST2-EC118_CO4</v>
      </c>
      <c r="L1" s="95" t="str">
        <f>"ST2-"&amp;'ST2 CO Question Map'!G1</f>
        <v>ST2-EC118_CO5</v>
      </c>
      <c r="M1" s="95" t="str">
        <f>"ST2-"&amp;'ST2 CO Question Map'!H1</f>
        <v>ST2-EC118_CO6</v>
      </c>
      <c r="N1" s="95" t="str">
        <f>"ST3-"&amp;'ST3 CO Question Map'!C1</f>
        <v>ST3-EC118_CO1</v>
      </c>
      <c r="O1" s="95" t="str">
        <f>"ST3-"&amp;'ST3 CO Question Map'!D1</f>
        <v>ST3-EC118_CO2</v>
      </c>
      <c r="P1" s="95" t="str">
        <f>"ST3-"&amp;'ST3 CO Question Map'!E1</f>
        <v>ST3-EC118_CO3</v>
      </c>
      <c r="Q1" s="95" t="str">
        <f>"ST3-"&amp;'ST3 CO Question Map'!F1</f>
        <v>ST3-EC118_CO4</v>
      </c>
      <c r="R1" s="95" t="str">
        <f>"ST3-"&amp;'ST3 CO Question Map'!G1</f>
        <v>ST3-EC118_CO5</v>
      </c>
      <c r="S1" s="95" t="str">
        <f>"ST3-"&amp;'ST3 CO Question Map'!H1</f>
        <v>ST3-EC118_CO6</v>
      </c>
      <c r="T1" s="95" t="str">
        <f>"ETE-"&amp;'ETE CO Question Map'!C1</f>
        <v>ETE-EC118_CO1</v>
      </c>
      <c r="U1" s="95" t="str">
        <f>"ETE-"&amp;'ETE CO Question Map'!D1</f>
        <v>ETE-EC118_CO2</v>
      </c>
      <c r="V1" s="95" t="str">
        <f>"ETE-"&amp;'ETE CO Question Map'!E1</f>
        <v>ETE-EC118_CO3</v>
      </c>
      <c r="W1" s="95" t="str">
        <f>"ETE-"&amp;'ETE CO Question Map'!F1</f>
        <v>ETE-EC118_CO4</v>
      </c>
      <c r="X1" s="95" t="str">
        <f>"ETE-"&amp;'ETE CO Question Map'!G1</f>
        <v>ETE-EC118_CO5</v>
      </c>
      <c r="Y1" s="95" t="str">
        <f>"ETE-"&amp;'ETE CO Question Map'!H1</f>
        <v>ETE-EC118_CO6</v>
      </c>
      <c r="Z1" s="95" t="str">
        <f>"OVR-"&amp;'ETE CO Question Map'!C1</f>
        <v>OVR-EC118_CO1</v>
      </c>
      <c r="AA1" s="95" t="str">
        <f>"OVR-"&amp;'ETE CO Question Map'!D1</f>
        <v>OVR-EC118_CO2</v>
      </c>
      <c r="AB1" s="95" t="str">
        <f>"OVR-"&amp;'ETE CO Question Map'!E1</f>
        <v>OVR-EC118_CO3</v>
      </c>
      <c r="AC1" s="95" t="str">
        <f>"OVR-"&amp;'ETE CO Question Map'!F1</f>
        <v>OVR-EC118_CO4</v>
      </c>
      <c r="AD1" s="95" t="str">
        <f>"OVR-"&amp;'ETE CO Question Map'!G1</f>
        <v>OVR-EC118_CO5</v>
      </c>
      <c r="AE1" s="95" t="str">
        <f>"OVR-"&amp;'ETE CO Question Map'!H1</f>
        <v>OVR-EC118_CO6</v>
      </c>
    </row>
    <row r="2" spans="1:31" x14ac:dyDescent="0.3">
      <c r="A2" s="29" t="str">
        <v>2010990089 </v>
      </c>
      <c r="B2" s="29" cm="1">
        <f t="array" ref="B2:B19">'ST1 Student MO CO Score'!$B$2:INDEX('ST1 Student MO CO Score'!$B:$B,COUNTA('ST1 Student MO CO Score'!$B:$B))</f>
        <v>40</v>
      </c>
      <c r="C2" s="29" cm="1">
        <f t="array" ref="C2:C19">'ST1 Student MO CO Score'!$C$2:INDEX('ST1 Student MO CO Score'!$C:$C,COUNTA('ST1 Student MO CO Score'!$C:$C))</f>
        <v>25</v>
      </c>
      <c r="D2" s="29" cm="1">
        <f t="array" ref="D2:D19">'ST1 Student MO CO Score'!$D$2:INDEX('ST1 Student MO CO Score'!$D:$D,COUNTA('ST1 Student MO CO Score'!$D:$D))</f>
        <v>10</v>
      </c>
      <c r="E2" s="29" cm="1">
        <f t="array" ref="E2:E19">'ST1 Student MO CO Score'!$E$2:INDEX('ST1 Student MO CO Score'!$E:$E,COUNTA('ST1 Student MO CO Score'!$E:$E))</f>
        <v>0</v>
      </c>
      <c r="F2" s="29" cm="1">
        <f t="array" ref="F2:F19">'ST1 Student MO CO Score'!$F$2:INDEX('ST1 Student MO CO Score'!$F:$F,COUNTA('ST1 Student MO CO Score'!$F:$F))</f>
        <v>0</v>
      </c>
      <c r="G2" s="29" cm="1">
        <f t="array" ref="G2:G19">'ST1 Student MO CO Score'!$G$2:INDEX('ST1 Student MO CO Score'!$G:$G,COUNTA('ST1 Student MO CO Score'!$G:$G))</f>
        <v>0</v>
      </c>
      <c r="H2" s="29" cm="1">
        <f t="array" ref="H2:H19">'ST2 Student MO CO Score'!$B$2:INDEX('ST2 Student MO CO Score'!$B:$B,COUNTA('ST2 Student MO CO Score'!$B:$B))</f>
        <v>7</v>
      </c>
      <c r="I2" s="29" cm="1">
        <f t="array" ref="I2:I19">'ST2 Student MO CO Score'!$C$2:INDEX('ST2 Student MO CO Score'!$C:$C,COUNTA('ST2 Student MO CO Score'!$C:$C))</f>
        <v>28</v>
      </c>
      <c r="J2" s="29" cm="1">
        <f t="array" ref="J2:J19">'ST2 Student MO CO Score'!$D$2:INDEX('ST2 Student MO CO Score'!$D:$D,COUNTA('ST2 Student MO CO Score'!$D:$D))</f>
        <v>10</v>
      </c>
      <c r="K2" s="29" cm="1">
        <f t="array" ref="K2:K19">'ST2 Student MO CO Score'!$E$2:INDEX('ST2 Student MO CO Score'!$E:$E,COUNTA('ST2 Student MO CO Score'!$E:$E))</f>
        <v>0</v>
      </c>
      <c r="L2" s="29" cm="1">
        <f t="array" ref="L2:L19">'ST2 Student MO CO Score'!$F$2:INDEX('ST2 Student MO CO Score'!$F:$F,COUNTA('ST2 Student MO CO Score'!$F:$F))</f>
        <v>0</v>
      </c>
      <c r="M2" s="29" cm="1">
        <f t="array" ref="M2:M19">'ST2 Student MO CO Score'!$G$2:INDEX('ST2 Student MO CO Score'!$G:$G,COUNTA('ST2 Student MO CO Score'!$G:$G))</f>
        <v>0</v>
      </c>
      <c r="N2" s="29" cm="1">
        <f t="array" ref="N2:N19">'ST3 Student MO CO Score'!$B$2:INDEX('ST3 Student MO CO Score'!$B:$B,COUNTA('ST3 Student MO CO Score'!$B:$B))</f>
        <v>5</v>
      </c>
      <c r="O2" s="29" cm="1">
        <f t="array" ref="O2:O19">'ST3 Student MO CO Score'!$C$2:INDEX('ST3 Student MO CO Score'!$C:$C,COUNTA('ST3 Student MO CO Score'!$C:$C))</f>
        <v>0</v>
      </c>
      <c r="P2" s="29" cm="1">
        <f t="array" ref="P2:P19">'ST3 Student MO CO Score'!$D$2:INDEX('ST3 Student MO CO Score'!$D:$D,COUNTA('ST3 Student MO CO Score'!$D:$D))</f>
        <v>5</v>
      </c>
      <c r="Q2" s="29" cm="1">
        <f t="array" ref="Q2:Q19">'ST3 Student MO CO Score'!$E$2:INDEX('ST3 Student MO CO Score'!$E:$E,COUNTA('ST3 Student MO CO Score'!$E:$E))</f>
        <v>0</v>
      </c>
      <c r="R2" s="29" cm="1">
        <f t="array" ref="R2:R19">'ST3 Student MO CO Score'!$F$2:INDEX('ST3 Student MO CO Score'!$F:$F,COUNTA('ST3 Student MO CO Score'!$F:$F))</f>
        <v>0</v>
      </c>
      <c r="S2" s="29" cm="1">
        <f t="array" ref="S2:S19">'ST3 Student MO CO Score'!$G$2:INDEX('ST3 Student MO CO Score'!$G:$G,COUNTA('ST3 Student MO CO Score'!$G:$G))</f>
        <v>0</v>
      </c>
      <c r="T2" s="29" cm="1">
        <f t="array" ref="T2:T19">'ETE Student MO CO Score'!B$2:INDEX('ETE Student MO CO Score'!B:B,COUNTA('ETE Student MO CO Score'!B:B))</f>
        <v>9</v>
      </c>
      <c r="U2" s="29" cm="1">
        <f t="array" ref="U2:U19">'ETE Student MO CO Score'!C$2:INDEX('ETE Student MO CO Score'!C:C,COUNTA('ETE Student MO CO Score'!C:C))</f>
        <v>36</v>
      </c>
      <c r="V2" s="29" cm="1">
        <f t="array" ref="V2:V19">'ETE Student MO CO Score'!D$2:INDEX('ETE Student MO CO Score'!D:D,COUNTA('ETE Student MO CO Score'!D:D))</f>
        <v>25</v>
      </c>
      <c r="W2" s="29" cm="1">
        <f t="array" ref="W2:W19">'ETE Student MO CO Score'!E$2:INDEX('ETE Student MO CO Score'!E:E,COUNTA('ETE Student MO CO Score'!E:E))</f>
        <v>0</v>
      </c>
      <c r="X2" s="29" cm="1">
        <f t="array" ref="X2:X19">'ETE Student MO CO Score'!F$2:INDEX('ETE Student MO CO Score'!F:F,COUNTA('ETE Student MO CO Score'!F:F))</f>
        <v>0</v>
      </c>
      <c r="Y2" s="29" cm="1">
        <f t="array" ref="Y2:Y19">'ETE Student MO CO Score'!G$2:INDEX('ETE Student MO CO Score'!G:G,COUNTA('ETE Student MO CO Score'!G:G))</f>
        <v>0</v>
      </c>
      <c r="Z2" s="29" cm="1">
        <f t="array" ref="Z2:Z19">_xlfn.BYROW(A2:INDEX(A:A,COUNTA(A:A)),_xlfn.LAMBDA(_xlpm.row,IFERROR(AVERAGE(INDEX(B:B,ROW(_xlpm.row)),INDEX(H:H,ROW(_xlpm.row)),INDEX(N:N,ROW(_xlpm.row)))*'OBE Details'!$B$9+INDEX(T:T,ROW(_xlpm.row))*'OBE Details'!$B$10,SUM(AVERAGE(INDEX(B:B,ROW(_xlpm.row)),INDEX(H:H,ROW(_xlpm.row)),INDEX(N:N,ROW(_xlpm.row))),INDEX(T:T,ROW(_xlpm.row))))))</f>
        <v>12.333333333333332</v>
      </c>
      <c r="AA2" s="29" cm="1">
        <f t="array" ref="AA2:AA19">_xlfn.BYROW(B2:INDEX(B:B,COUNTA(B:B)),_xlfn.LAMBDA(_xlpm.row,IFERROR(AVERAGE(INDEX(C:C,ROW(_xlpm.row)),INDEX(I:I,ROW(_xlpm.row)),INDEX(O:O,ROW(_xlpm.row)))*'OBE Details'!$B$9+INDEX(U:U,ROW(_xlpm.row))*'OBE Details'!$B$10,SUM(AVERAGE(INDEX(C:C,ROW(_xlpm.row)),INDEX(I:I,ROW(_xlpm.row)),INDEX(O:O,ROW(_xlpm.row))),INDEX(U:U,ROW(_xlpm.row))))))</f>
        <v>28.666666666666664</v>
      </c>
      <c r="AB2" s="29" cm="1">
        <f t="array" ref="AB2:AB19">_xlfn.BYROW(C2:INDEX(C:C,COUNTA(C:C)),_xlfn.LAMBDA(_xlpm.row,IFERROR(AVERAGE(INDEX(D:D,ROW(_xlpm.row)),INDEX(J:J,ROW(_xlpm.row)),INDEX(P:P,ROW(_xlpm.row)))*'OBE Details'!$B$9+INDEX(V:V,ROW(_xlpm.row))*'OBE Details'!$B$10,SUM(AVERAGE(INDEX(D:D,ROW(_xlpm.row)),INDEX(J:J,ROW(_xlpm.row)),INDEX(P:P,ROW(_xlpm.row))),INDEX(V:V,ROW(_xlpm.row))))))</f>
        <v>18.333333333333336</v>
      </c>
      <c r="AC2" s="29" cm="1">
        <f t="array" ref="AC2:AC19">_xlfn.BYROW(D2:INDEX(D:D,COUNTA(D:D)),_xlfn.LAMBDA(_xlpm.row,IFERROR(AVERAGE(INDEX(E:E,ROW(_xlpm.row)),INDEX(K:K,ROW(_xlpm.row)),INDEX(Q:Q,ROW(_xlpm.row)))*'OBE Details'!$B$9+INDEX(W:W,ROW(_xlpm.row))*'OBE Details'!$B$10,SUM(AVERAGE(INDEX(E:E,ROW(_xlpm.row)),INDEX(K:K,ROW(_xlpm.row)),INDEX(Q:Q,ROW(_xlpm.row))),INDEX(W:W,ROW(_xlpm.row))))))</f>
        <v>0</v>
      </c>
      <c r="AD2" s="29" cm="1">
        <f t="array" ref="AD2:AD19">_xlfn.BYROW(E2:INDEX(E:E,COUNTA(E:E)),_xlfn.LAMBDA(_xlpm.row,IFERROR(AVERAGE(INDEX(F:F,ROW(_xlpm.row)),INDEX(L:L,ROW(_xlpm.row)),INDEX(R:R,ROW(_xlpm.row)))*'OBE Details'!$B$9+INDEX(X:X,ROW(_xlpm.row))*'OBE Details'!$B$10,SUM(AVERAGE(INDEX(F:F,ROW(_xlpm.row)),INDEX(L:L,ROW(_xlpm.row)),INDEX(R:R,ROW(_xlpm.row))),INDEX(X:X,ROW(_xlpm.row))))))</f>
        <v>0</v>
      </c>
      <c r="AE2" s="29" cm="1">
        <f t="array" ref="AE2:AE19">_xlfn.BYROW(F2:INDEX(F:F,COUNTA(F:F)),_xlfn.LAMBDA(_xlpm.row,IFERROR(AVERAGE(INDEX(G:G,ROW(_xlpm.row)),INDEX(M:M,ROW(_xlpm.row)),INDEX(S:S,ROW(_xlpm.row)))*'OBE Details'!$B$9+INDEX(Y:Y,ROW(_xlpm.row))*'OBE Details'!$B$10,SUM(AVERAGE(INDEX(G:G,ROW(_xlpm.row)),INDEX(M:M,ROW(_xlpm.row)),INDEX(S:S,ROW(_xlpm.row))),INDEX(Y:Y,ROW(_xlpm.row))))))</f>
        <v>0</v>
      </c>
    </row>
    <row r="3" spans="1:31" x14ac:dyDescent="0.3">
      <c r="A3" s="29" t="str">
        <v>2010992002 </v>
      </c>
      <c r="B3" s="29">
        <v>40</v>
      </c>
      <c r="C3" s="29">
        <v>25</v>
      </c>
      <c r="D3" s="29">
        <v>10</v>
      </c>
      <c r="E3" s="29">
        <v>0</v>
      </c>
      <c r="F3" s="29">
        <v>0</v>
      </c>
      <c r="G3" s="29">
        <v>0</v>
      </c>
      <c r="H3" s="29">
        <v>17</v>
      </c>
      <c r="I3" s="29">
        <v>45</v>
      </c>
      <c r="J3" s="29">
        <v>15</v>
      </c>
      <c r="K3" s="29">
        <v>0</v>
      </c>
      <c r="L3" s="29">
        <v>0</v>
      </c>
      <c r="M3" s="29">
        <v>0</v>
      </c>
      <c r="N3" s="29">
        <v>19</v>
      </c>
      <c r="O3" s="29">
        <v>14</v>
      </c>
      <c r="P3" s="29">
        <v>2</v>
      </c>
      <c r="Q3" s="29">
        <v>0</v>
      </c>
      <c r="R3" s="29">
        <v>0</v>
      </c>
      <c r="S3" s="29">
        <v>0</v>
      </c>
      <c r="T3" s="29">
        <v>16</v>
      </c>
      <c r="U3" s="29">
        <v>41</v>
      </c>
      <c r="V3" s="29">
        <v>30</v>
      </c>
      <c r="W3" s="29">
        <v>0</v>
      </c>
      <c r="X3" s="29">
        <v>0</v>
      </c>
      <c r="Y3" s="29">
        <v>0</v>
      </c>
      <c r="Z3" s="29">
        <v>19.733333333333334</v>
      </c>
      <c r="AA3" s="29">
        <v>35.799999999999997</v>
      </c>
      <c r="AB3" s="29">
        <v>21.6</v>
      </c>
      <c r="AC3" s="29">
        <v>0</v>
      </c>
      <c r="AD3" s="29">
        <v>0</v>
      </c>
      <c r="AE3" s="29">
        <v>0</v>
      </c>
    </row>
    <row r="4" spans="1:31" x14ac:dyDescent="0.3">
      <c r="A4" s="29" t="str">
        <v>2010992004 </v>
      </c>
      <c r="B4" s="29">
        <v>30</v>
      </c>
      <c r="C4" s="29">
        <v>25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29">
        <v>10</v>
      </c>
      <c r="J4" s="29">
        <v>10</v>
      </c>
      <c r="K4" s="29">
        <v>0</v>
      </c>
      <c r="L4" s="29">
        <v>0</v>
      </c>
      <c r="M4" s="29">
        <v>0</v>
      </c>
      <c r="N4" s="29">
        <v>14</v>
      </c>
      <c r="O4" s="29">
        <v>9</v>
      </c>
      <c r="P4" s="29">
        <v>2</v>
      </c>
      <c r="Q4" s="29">
        <v>0</v>
      </c>
      <c r="R4" s="29">
        <v>0</v>
      </c>
      <c r="S4" s="29">
        <v>0</v>
      </c>
      <c r="T4" s="29">
        <v>14</v>
      </c>
      <c r="U4" s="29">
        <v>26</v>
      </c>
      <c r="V4" s="29">
        <v>15</v>
      </c>
      <c r="W4" s="29">
        <v>0</v>
      </c>
      <c r="X4" s="29">
        <v>0</v>
      </c>
      <c r="Y4" s="29">
        <v>0</v>
      </c>
      <c r="Z4" s="29">
        <v>14.266666666666667</v>
      </c>
      <c r="AA4" s="29">
        <v>21.466666666666669</v>
      </c>
      <c r="AB4" s="29">
        <v>10.6</v>
      </c>
      <c r="AC4" s="29">
        <v>0</v>
      </c>
      <c r="AD4" s="29">
        <v>0</v>
      </c>
      <c r="AE4" s="29">
        <v>0</v>
      </c>
    </row>
    <row r="5" spans="1:31" x14ac:dyDescent="0.3">
      <c r="A5" s="29" t="str">
        <v>2010992005 </v>
      </c>
      <c r="B5" s="29">
        <v>40</v>
      </c>
      <c r="C5" s="29">
        <v>15</v>
      </c>
      <c r="D5" s="29">
        <v>10</v>
      </c>
      <c r="E5" s="29">
        <v>0</v>
      </c>
      <c r="F5" s="29">
        <v>0</v>
      </c>
      <c r="G5" s="29">
        <v>0</v>
      </c>
      <c r="H5" s="29">
        <v>0</v>
      </c>
      <c r="I5" s="29">
        <v>10</v>
      </c>
      <c r="J5" s="29">
        <v>10</v>
      </c>
      <c r="K5" s="29">
        <v>0</v>
      </c>
      <c r="L5" s="29">
        <v>0</v>
      </c>
      <c r="M5" s="29">
        <v>0</v>
      </c>
      <c r="N5" s="29">
        <v>7</v>
      </c>
      <c r="O5" s="29">
        <v>2</v>
      </c>
      <c r="P5" s="29">
        <v>5</v>
      </c>
      <c r="Q5" s="29">
        <v>0</v>
      </c>
      <c r="R5" s="29">
        <v>0</v>
      </c>
      <c r="S5" s="29">
        <v>0</v>
      </c>
      <c r="T5" s="29">
        <v>15</v>
      </c>
      <c r="U5" s="29">
        <v>5</v>
      </c>
      <c r="V5" s="29">
        <v>5</v>
      </c>
      <c r="W5" s="29">
        <v>0</v>
      </c>
      <c r="X5" s="29">
        <v>0</v>
      </c>
      <c r="Y5" s="29">
        <v>0</v>
      </c>
      <c r="Z5" s="29">
        <v>15.266666666666666</v>
      </c>
      <c r="AA5" s="29">
        <v>6.6</v>
      </c>
      <c r="AB5" s="29">
        <v>6.3333333333333339</v>
      </c>
      <c r="AC5" s="29">
        <v>0</v>
      </c>
      <c r="AD5" s="29">
        <v>0</v>
      </c>
      <c r="AE5" s="29">
        <v>0</v>
      </c>
    </row>
    <row r="6" spans="1:31" x14ac:dyDescent="0.3">
      <c r="A6" s="29" t="str">
        <v>2010992006 </v>
      </c>
      <c r="B6" s="29">
        <v>35</v>
      </c>
      <c r="C6" s="29">
        <v>20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29">
        <v>0</v>
      </c>
      <c r="N6" s="29">
        <v>14</v>
      </c>
      <c r="O6" s="29">
        <v>0</v>
      </c>
      <c r="P6" s="29">
        <v>0</v>
      </c>
      <c r="Q6" s="29">
        <v>0</v>
      </c>
      <c r="R6" s="29">
        <v>0</v>
      </c>
      <c r="S6" s="29">
        <v>0</v>
      </c>
      <c r="T6" s="29">
        <v>24</v>
      </c>
      <c r="U6" s="29">
        <v>16</v>
      </c>
      <c r="V6" s="29">
        <v>5</v>
      </c>
      <c r="W6" s="29">
        <v>0</v>
      </c>
      <c r="X6" s="29">
        <v>0</v>
      </c>
      <c r="Y6" s="29">
        <v>0</v>
      </c>
      <c r="Z6" s="29">
        <v>20.93333333333333</v>
      </c>
      <c r="AA6" s="29">
        <v>12.266666666666666</v>
      </c>
      <c r="AB6" s="29">
        <v>3</v>
      </c>
      <c r="AC6" s="29">
        <v>0</v>
      </c>
      <c r="AD6" s="29">
        <v>0</v>
      </c>
      <c r="AE6" s="29">
        <v>0</v>
      </c>
    </row>
    <row r="7" spans="1:31" x14ac:dyDescent="0.3">
      <c r="A7" s="29" t="str">
        <v>2010992008 </v>
      </c>
      <c r="B7" s="29">
        <v>35</v>
      </c>
      <c r="C7" s="29">
        <v>10</v>
      </c>
      <c r="D7" s="29">
        <v>10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29">
        <v>0</v>
      </c>
      <c r="N7" s="29">
        <v>10</v>
      </c>
      <c r="O7" s="29">
        <v>6</v>
      </c>
      <c r="P7" s="29">
        <v>2</v>
      </c>
      <c r="Q7" s="29">
        <v>0</v>
      </c>
      <c r="R7" s="29">
        <v>0</v>
      </c>
      <c r="S7" s="29">
        <v>0</v>
      </c>
      <c r="T7" s="29">
        <v>19</v>
      </c>
      <c r="U7" s="29">
        <v>21</v>
      </c>
      <c r="V7" s="29">
        <v>10</v>
      </c>
      <c r="W7" s="29">
        <v>0</v>
      </c>
      <c r="X7" s="29">
        <v>0</v>
      </c>
      <c r="Y7" s="29">
        <v>0</v>
      </c>
      <c r="Z7" s="29">
        <v>17.399999999999999</v>
      </c>
      <c r="AA7" s="29">
        <v>14.733333333333333</v>
      </c>
      <c r="AB7" s="29">
        <v>7.6</v>
      </c>
      <c r="AC7" s="29">
        <v>0</v>
      </c>
      <c r="AD7" s="29">
        <v>0</v>
      </c>
      <c r="AE7" s="29">
        <v>0</v>
      </c>
    </row>
    <row r="8" spans="1:31" x14ac:dyDescent="0.3">
      <c r="A8" s="29" t="str">
        <v>2010992009 </v>
      </c>
      <c r="B8" s="29">
        <v>40</v>
      </c>
      <c r="C8" s="29">
        <v>25</v>
      </c>
      <c r="D8" s="29">
        <v>10</v>
      </c>
      <c r="E8" s="29">
        <v>0</v>
      </c>
      <c r="F8" s="29">
        <v>0</v>
      </c>
      <c r="G8" s="29">
        <v>0</v>
      </c>
      <c r="H8" s="29">
        <v>12</v>
      </c>
      <c r="I8" s="29">
        <v>45</v>
      </c>
      <c r="J8" s="29">
        <v>20</v>
      </c>
      <c r="K8" s="29">
        <v>0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24</v>
      </c>
      <c r="U8" s="29">
        <v>38</v>
      </c>
      <c r="V8" s="29">
        <v>25</v>
      </c>
      <c r="W8" s="29">
        <v>0</v>
      </c>
      <c r="X8" s="29">
        <v>0</v>
      </c>
      <c r="Y8" s="29">
        <v>0</v>
      </c>
      <c r="Z8" s="29">
        <v>21.333333333333332</v>
      </c>
      <c r="AA8" s="29">
        <v>32.133333333333333</v>
      </c>
      <c r="AB8" s="29">
        <v>19</v>
      </c>
      <c r="AC8" s="29">
        <v>0</v>
      </c>
      <c r="AD8" s="29">
        <v>0</v>
      </c>
      <c r="AE8" s="29">
        <v>0</v>
      </c>
    </row>
    <row r="9" spans="1:31" x14ac:dyDescent="0.3">
      <c r="A9" s="29" t="str">
        <v>2010992010 </v>
      </c>
      <c r="B9" s="29">
        <v>40</v>
      </c>
      <c r="C9" s="29">
        <v>25</v>
      </c>
      <c r="D9" s="29">
        <v>10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  <c r="N9" s="29">
        <v>12</v>
      </c>
      <c r="O9" s="29">
        <v>2</v>
      </c>
      <c r="P9" s="29">
        <v>2</v>
      </c>
      <c r="Q9" s="29">
        <v>0</v>
      </c>
      <c r="R9" s="29">
        <v>0</v>
      </c>
      <c r="S9" s="29">
        <v>0</v>
      </c>
      <c r="T9" s="29">
        <v>14</v>
      </c>
      <c r="U9" s="29">
        <v>21</v>
      </c>
      <c r="V9" s="29">
        <v>15</v>
      </c>
      <c r="W9" s="29">
        <v>0</v>
      </c>
      <c r="X9" s="29">
        <v>0</v>
      </c>
      <c r="Y9" s="29">
        <v>0</v>
      </c>
      <c r="Z9" s="29">
        <v>15.333333333333334</v>
      </c>
      <c r="AA9" s="29">
        <v>16.2</v>
      </c>
      <c r="AB9" s="29">
        <v>10.6</v>
      </c>
      <c r="AC9" s="29">
        <v>0</v>
      </c>
      <c r="AD9" s="29">
        <v>0</v>
      </c>
      <c r="AE9" s="29">
        <v>0</v>
      </c>
    </row>
    <row r="10" spans="1:31" x14ac:dyDescent="0.3">
      <c r="A10" s="29" t="str">
        <v>2010992011 </v>
      </c>
      <c r="B10" s="29">
        <v>30</v>
      </c>
      <c r="C10" s="29">
        <v>20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10</v>
      </c>
      <c r="J10" s="29">
        <v>10</v>
      </c>
      <c r="K10" s="29">
        <v>0</v>
      </c>
      <c r="L10" s="29">
        <v>0</v>
      </c>
      <c r="M10" s="29">
        <v>0</v>
      </c>
      <c r="N10" s="29">
        <v>7</v>
      </c>
      <c r="O10" s="29">
        <v>6</v>
      </c>
      <c r="P10" s="29">
        <v>7</v>
      </c>
      <c r="Q10" s="29">
        <v>0</v>
      </c>
      <c r="R10" s="29">
        <v>0</v>
      </c>
      <c r="S10" s="29">
        <v>0</v>
      </c>
      <c r="T10" s="29">
        <v>16</v>
      </c>
      <c r="U10" s="29">
        <v>29</v>
      </c>
      <c r="V10" s="29">
        <v>20</v>
      </c>
      <c r="W10" s="29">
        <v>0</v>
      </c>
      <c r="X10" s="29">
        <v>0</v>
      </c>
      <c r="Y10" s="29">
        <v>0</v>
      </c>
      <c r="Z10" s="29">
        <v>14.533333333333333</v>
      </c>
      <c r="AA10" s="29">
        <v>22.2</v>
      </c>
      <c r="AB10" s="29">
        <v>14.266666666666667</v>
      </c>
      <c r="AC10" s="29">
        <v>0</v>
      </c>
      <c r="AD10" s="29">
        <v>0</v>
      </c>
      <c r="AE10" s="29">
        <v>0</v>
      </c>
    </row>
    <row r="11" spans="1:31" x14ac:dyDescent="0.3">
      <c r="A11" s="29" t="str">
        <v>2010992012 </v>
      </c>
      <c r="B11" s="29">
        <v>45</v>
      </c>
      <c r="C11" s="29">
        <v>20</v>
      </c>
      <c r="D11" s="29">
        <v>10</v>
      </c>
      <c r="E11" s="29">
        <v>0</v>
      </c>
      <c r="F11" s="29">
        <v>0</v>
      </c>
      <c r="G11" s="29">
        <v>0</v>
      </c>
      <c r="H11" s="29">
        <v>7</v>
      </c>
      <c r="I11" s="29">
        <v>35</v>
      </c>
      <c r="J11" s="29">
        <v>15</v>
      </c>
      <c r="K11" s="29">
        <v>0</v>
      </c>
      <c r="L11" s="29">
        <v>0</v>
      </c>
      <c r="M11" s="29">
        <v>0</v>
      </c>
      <c r="N11" s="29">
        <v>10</v>
      </c>
      <c r="O11" s="29">
        <v>6</v>
      </c>
      <c r="P11" s="29">
        <v>0</v>
      </c>
      <c r="Q11" s="29">
        <v>0</v>
      </c>
      <c r="R11" s="29">
        <v>0</v>
      </c>
      <c r="S11" s="29">
        <v>0</v>
      </c>
      <c r="T11" s="29">
        <v>19</v>
      </c>
      <c r="U11" s="29">
        <v>21</v>
      </c>
      <c r="V11" s="29">
        <v>15</v>
      </c>
      <c r="W11" s="29">
        <v>0</v>
      </c>
      <c r="X11" s="29">
        <v>0</v>
      </c>
      <c r="Y11" s="29">
        <v>0</v>
      </c>
      <c r="Z11" s="29">
        <v>19.666666666666668</v>
      </c>
      <c r="AA11" s="29">
        <v>20.733333333333334</v>
      </c>
      <c r="AB11" s="29">
        <v>12.333333333333334</v>
      </c>
      <c r="AC11" s="29">
        <v>0</v>
      </c>
      <c r="AD11" s="29">
        <v>0</v>
      </c>
      <c r="AE11" s="29">
        <v>0</v>
      </c>
    </row>
    <row r="12" spans="1:31" x14ac:dyDescent="0.3">
      <c r="A12" s="29" t="str">
        <v>2010992014 </v>
      </c>
      <c r="B12" s="29">
        <v>35</v>
      </c>
      <c r="C12" s="29">
        <v>10</v>
      </c>
      <c r="D12" s="29">
        <v>10</v>
      </c>
      <c r="E12" s="29">
        <v>0</v>
      </c>
      <c r="F12" s="29">
        <v>0</v>
      </c>
      <c r="G12" s="29">
        <v>0</v>
      </c>
      <c r="H12" s="29">
        <v>0</v>
      </c>
      <c r="I12" s="29">
        <v>10</v>
      </c>
      <c r="J12" s="29">
        <v>10</v>
      </c>
      <c r="K12" s="29">
        <v>0</v>
      </c>
      <c r="L12" s="29">
        <v>0</v>
      </c>
      <c r="M12" s="29">
        <v>0</v>
      </c>
      <c r="N12" s="29">
        <v>10</v>
      </c>
      <c r="O12" s="29">
        <v>2</v>
      </c>
      <c r="P12" s="29">
        <v>0</v>
      </c>
      <c r="Q12" s="29">
        <v>0</v>
      </c>
      <c r="R12" s="29">
        <v>0</v>
      </c>
      <c r="S12" s="29">
        <v>0</v>
      </c>
      <c r="T12" s="29">
        <v>7</v>
      </c>
      <c r="U12" s="29">
        <v>21</v>
      </c>
      <c r="V12" s="29">
        <v>15</v>
      </c>
      <c r="W12" s="29">
        <v>0</v>
      </c>
      <c r="X12" s="29">
        <v>0</v>
      </c>
      <c r="Y12" s="29">
        <v>0</v>
      </c>
      <c r="Z12" s="29">
        <v>10.199999999999999</v>
      </c>
      <c r="AA12" s="29">
        <v>15.533333333333333</v>
      </c>
      <c r="AB12" s="29">
        <v>11.666666666666668</v>
      </c>
      <c r="AC12" s="29">
        <v>0</v>
      </c>
      <c r="AD12" s="29">
        <v>0</v>
      </c>
      <c r="AE12" s="29">
        <v>0</v>
      </c>
    </row>
    <row r="13" spans="1:31" x14ac:dyDescent="0.3">
      <c r="A13" s="29" t="str">
        <v>2010992015 </v>
      </c>
      <c r="B13" s="29">
        <v>30</v>
      </c>
      <c r="C13" s="29">
        <v>10</v>
      </c>
      <c r="D13" s="29">
        <v>10</v>
      </c>
      <c r="E13" s="29">
        <v>0</v>
      </c>
      <c r="F13" s="29">
        <v>0</v>
      </c>
      <c r="G13" s="29">
        <v>0</v>
      </c>
      <c r="H13" s="29">
        <v>2</v>
      </c>
      <c r="I13" s="29">
        <v>17</v>
      </c>
      <c r="J13" s="29">
        <v>10</v>
      </c>
      <c r="K13" s="29">
        <v>0</v>
      </c>
      <c r="L13" s="29">
        <v>0</v>
      </c>
      <c r="M13" s="29">
        <v>0</v>
      </c>
      <c r="N13" s="29">
        <v>12</v>
      </c>
      <c r="O13" s="29">
        <v>6</v>
      </c>
      <c r="P13" s="29">
        <v>7</v>
      </c>
      <c r="Q13" s="29">
        <v>0</v>
      </c>
      <c r="R13" s="29">
        <v>0</v>
      </c>
      <c r="S13" s="29">
        <v>0</v>
      </c>
      <c r="T13" s="29">
        <v>14</v>
      </c>
      <c r="U13" s="29">
        <v>21</v>
      </c>
      <c r="V13" s="29">
        <v>20</v>
      </c>
      <c r="W13" s="29">
        <v>0</v>
      </c>
      <c r="X13" s="29">
        <v>0</v>
      </c>
      <c r="Y13" s="29">
        <v>0</v>
      </c>
      <c r="Z13" s="29">
        <v>14.266666666666667</v>
      </c>
      <c r="AA13" s="29">
        <v>17</v>
      </c>
      <c r="AB13" s="29">
        <v>15.6</v>
      </c>
      <c r="AC13" s="29">
        <v>0</v>
      </c>
      <c r="AD13" s="29">
        <v>0</v>
      </c>
      <c r="AE13" s="29">
        <v>0</v>
      </c>
    </row>
    <row r="14" spans="1:31" x14ac:dyDescent="0.3">
      <c r="A14" s="29" t="str">
        <v>2010992016 </v>
      </c>
      <c r="B14" s="29">
        <v>35</v>
      </c>
      <c r="C14" s="29">
        <v>20</v>
      </c>
      <c r="D14" s="29">
        <v>0</v>
      </c>
      <c r="E14" s="29">
        <v>0</v>
      </c>
      <c r="F14" s="29">
        <v>0</v>
      </c>
      <c r="G14" s="29">
        <v>0</v>
      </c>
      <c r="H14" s="29">
        <v>15</v>
      </c>
      <c r="I14" s="29">
        <v>45</v>
      </c>
      <c r="J14" s="29">
        <v>15</v>
      </c>
      <c r="K14" s="29">
        <v>0</v>
      </c>
      <c r="L14" s="29">
        <v>0</v>
      </c>
      <c r="M14" s="29">
        <v>0</v>
      </c>
      <c r="N14" s="29">
        <v>19</v>
      </c>
      <c r="O14" s="29">
        <v>14</v>
      </c>
      <c r="P14" s="29">
        <v>2</v>
      </c>
      <c r="Q14" s="29">
        <v>0</v>
      </c>
      <c r="R14" s="29">
        <v>0</v>
      </c>
      <c r="S14" s="29">
        <v>0</v>
      </c>
      <c r="T14" s="29">
        <v>26</v>
      </c>
      <c r="U14" s="29">
        <v>34</v>
      </c>
      <c r="V14" s="29">
        <v>20</v>
      </c>
      <c r="W14" s="29">
        <v>0</v>
      </c>
      <c r="X14" s="29">
        <v>0</v>
      </c>
      <c r="Y14" s="29">
        <v>0</v>
      </c>
      <c r="Z14" s="29">
        <v>24.8</v>
      </c>
      <c r="AA14" s="29">
        <v>30.93333333333333</v>
      </c>
      <c r="AB14" s="29">
        <v>14.266666666666667</v>
      </c>
      <c r="AC14" s="29">
        <v>0</v>
      </c>
      <c r="AD14" s="29">
        <v>0</v>
      </c>
      <c r="AE14" s="29">
        <v>0</v>
      </c>
    </row>
    <row r="15" spans="1:31" x14ac:dyDescent="0.3">
      <c r="A15" s="29" t="str">
        <v>2010992017 </v>
      </c>
      <c r="B15" s="29">
        <v>30</v>
      </c>
      <c r="C15" s="29">
        <v>20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10</v>
      </c>
      <c r="J15" s="29">
        <v>10</v>
      </c>
      <c r="K15" s="29">
        <v>0</v>
      </c>
      <c r="L15" s="29">
        <v>0</v>
      </c>
      <c r="M15" s="29">
        <v>0</v>
      </c>
      <c r="N15" s="29">
        <v>14</v>
      </c>
      <c r="O15" s="29">
        <v>2</v>
      </c>
      <c r="P15" s="29">
        <v>0</v>
      </c>
      <c r="Q15" s="29">
        <v>0</v>
      </c>
      <c r="R15" s="29">
        <v>0</v>
      </c>
      <c r="S15" s="29">
        <v>0</v>
      </c>
      <c r="T15" s="29">
        <v>7</v>
      </c>
      <c r="U15" s="29">
        <v>26</v>
      </c>
      <c r="V15" s="29">
        <v>15</v>
      </c>
      <c r="W15" s="29">
        <v>0</v>
      </c>
      <c r="X15" s="29">
        <v>0</v>
      </c>
      <c r="Y15" s="29">
        <v>0</v>
      </c>
      <c r="Z15" s="29">
        <v>10.066666666666666</v>
      </c>
      <c r="AA15" s="29">
        <v>19.866666666666667</v>
      </c>
      <c r="AB15" s="29">
        <v>10.333333333333334</v>
      </c>
      <c r="AC15" s="29">
        <v>0</v>
      </c>
      <c r="AD15" s="29">
        <v>0</v>
      </c>
      <c r="AE15" s="29">
        <v>0</v>
      </c>
    </row>
    <row r="16" spans="1:31" x14ac:dyDescent="0.3">
      <c r="A16" s="29" t="str">
        <v>2010992018 </v>
      </c>
      <c r="B16" s="29">
        <v>45</v>
      </c>
      <c r="C16" s="29">
        <v>20</v>
      </c>
      <c r="D16" s="29">
        <v>10</v>
      </c>
      <c r="E16" s="29">
        <v>0</v>
      </c>
      <c r="F16" s="29">
        <v>0</v>
      </c>
      <c r="G16" s="29">
        <v>0</v>
      </c>
      <c r="H16" s="29">
        <v>17</v>
      </c>
      <c r="I16" s="29">
        <v>45</v>
      </c>
      <c r="J16" s="29">
        <v>15</v>
      </c>
      <c r="K16" s="29">
        <v>0</v>
      </c>
      <c r="L16" s="29">
        <v>0</v>
      </c>
      <c r="M16" s="29">
        <v>0</v>
      </c>
      <c r="N16" s="29">
        <v>14</v>
      </c>
      <c r="O16" s="29">
        <v>11</v>
      </c>
      <c r="P16" s="29">
        <v>5</v>
      </c>
      <c r="Q16" s="29">
        <v>0</v>
      </c>
      <c r="R16" s="29">
        <v>0</v>
      </c>
      <c r="S16" s="29">
        <v>0</v>
      </c>
      <c r="T16" s="29">
        <v>14</v>
      </c>
      <c r="U16" s="29">
        <v>31</v>
      </c>
      <c r="V16" s="29">
        <v>15</v>
      </c>
      <c r="W16" s="29">
        <v>0</v>
      </c>
      <c r="X16" s="29">
        <v>0</v>
      </c>
      <c r="Y16" s="29">
        <v>0</v>
      </c>
      <c r="Z16" s="29">
        <v>18.533333333333331</v>
      </c>
      <c r="AA16" s="29">
        <v>28.733333333333331</v>
      </c>
      <c r="AB16" s="29">
        <v>13</v>
      </c>
      <c r="AC16" s="29">
        <v>0</v>
      </c>
      <c r="AD16" s="29">
        <v>0</v>
      </c>
      <c r="AE16" s="29">
        <v>0</v>
      </c>
    </row>
    <row r="17" spans="1:31" x14ac:dyDescent="0.3">
      <c r="A17" s="29" t="str">
        <v>2010992163 </v>
      </c>
      <c r="B17" s="29">
        <v>45</v>
      </c>
      <c r="C17" s="29">
        <v>20</v>
      </c>
      <c r="D17" s="29">
        <v>10</v>
      </c>
      <c r="E17" s="29">
        <v>0</v>
      </c>
      <c r="F17" s="29">
        <v>0</v>
      </c>
      <c r="G17" s="29">
        <v>0</v>
      </c>
      <c r="H17" s="29">
        <v>12</v>
      </c>
      <c r="I17" s="29">
        <v>45</v>
      </c>
      <c r="J17" s="29">
        <v>20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26</v>
      </c>
      <c r="U17" s="29">
        <v>34</v>
      </c>
      <c r="V17" s="29">
        <v>25</v>
      </c>
      <c r="W17" s="29">
        <v>0</v>
      </c>
      <c r="X17" s="29">
        <v>0</v>
      </c>
      <c r="Y17" s="29">
        <v>0</v>
      </c>
      <c r="Z17" s="29">
        <v>23.2</v>
      </c>
      <c r="AA17" s="29">
        <v>29.066666666666666</v>
      </c>
      <c r="AB17" s="29">
        <v>19</v>
      </c>
      <c r="AC17" s="29">
        <v>0</v>
      </c>
      <c r="AD17" s="29">
        <v>0</v>
      </c>
      <c r="AE17" s="29">
        <v>0</v>
      </c>
    </row>
    <row r="18" spans="1:31" x14ac:dyDescent="0.3">
      <c r="A18" s="29" t="str">
        <v>2010992202 </v>
      </c>
      <c r="B18" s="29">
        <v>40</v>
      </c>
      <c r="C18" s="29">
        <v>15</v>
      </c>
      <c r="D18" s="29">
        <v>10</v>
      </c>
      <c r="E18" s="29">
        <v>0</v>
      </c>
      <c r="F18" s="29">
        <v>0</v>
      </c>
      <c r="G18" s="29">
        <v>0</v>
      </c>
      <c r="H18" s="29">
        <v>7</v>
      </c>
      <c r="I18" s="29">
        <v>28</v>
      </c>
      <c r="J18" s="29">
        <v>10</v>
      </c>
      <c r="K18" s="29">
        <v>0</v>
      </c>
      <c r="L18" s="29">
        <v>0</v>
      </c>
      <c r="M18" s="29">
        <v>0</v>
      </c>
      <c r="N18" s="29">
        <v>9</v>
      </c>
      <c r="O18" s="29">
        <v>11</v>
      </c>
      <c r="P18" s="29">
        <v>5</v>
      </c>
      <c r="Q18" s="29">
        <v>0</v>
      </c>
      <c r="R18" s="29">
        <v>0</v>
      </c>
      <c r="S18" s="29">
        <v>0</v>
      </c>
      <c r="T18" s="29">
        <v>19</v>
      </c>
      <c r="U18" s="29">
        <v>36</v>
      </c>
      <c r="V18" s="29">
        <v>25</v>
      </c>
      <c r="W18" s="29">
        <v>0</v>
      </c>
      <c r="X18" s="29">
        <v>0</v>
      </c>
      <c r="Y18" s="29">
        <v>0</v>
      </c>
      <c r="Z18" s="29">
        <v>18.866666666666667</v>
      </c>
      <c r="AA18" s="29">
        <v>28.799999999999997</v>
      </c>
      <c r="AB18" s="29">
        <v>18.333333333333336</v>
      </c>
      <c r="AC18" s="29">
        <v>0</v>
      </c>
      <c r="AD18" s="29">
        <v>0</v>
      </c>
      <c r="AE18" s="29">
        <v>0</v>
      </c>
    </row>
    <row r="19" spans="1:31" x14ac:dyDescent="0.3">
      <c r="A19" s="29" t="str">
        <v>2010992203 </v>
      </c>
      <c r="B19" s="29">
        <v>35</v>
      </c>
      <c r="C19" s="29">
        <v>20</v>
      </c>
      <c r="D19" s="29">
        <v>0</v>
      </c>
      <c r="E19" s="29">
        <v>0</v>
      </c>
      <c r="F19" s="29">
        <v>0</v>
      </c>
      <c r="G19" s="29">
        <v>0</v>
      </c>
      <c r="H19" s="29">
        <v>5</v>
      </c>
      <c r="I19" s="29">
        <v>28</v>
      </c>
      <c r="J19" s="29">
        <v>10</v>
      </c>
      <c r="K19" s="29">
        <v>0</v>
      </c>
      <c r="L19" s="29">
        <v>0</v>
      </c>
      <c r="M19" s="29">
        <v>0</v>
      </c>
      <c r="N19" s="29">
        <v>9</v>
      </c>
      <c r="O19" s="29">
        <v>2</v>
      </c>
      <c r="P19" s="29">
        <v>7</v>
      </c>
      <c r="Q19" s="29">
        <v>0</v>
      </c>
      <c r="R19" s="29">
        <v>0</v>
      </c>
      <c r="S19" s="29">
        <v>0</v>
      </c>
      <c r="T19" s="29">
        <v>24</v>
      </c>
      <c r="U19" s="29">
        <v>26</v>
      </c>
      <c r="V19" s="29">
        <v>15</v>
      </c>
      <c r="W19" s="29">
        <v>0</v>
      </c>
      <c r="X19" s="29">
        <v>0</v>
      </c>
      <c r="Y19" s="29">
        <v>0</v>
      </c>
      <c r="Z19" s="29">
        <v>20.93333333333333</v>
      </c>
      <c r="AA19" s="29">
        <v>22.266666666666666</v>
      </c>
      <c r="AB19" s="29">
        <v>11.266666666666667</v>
      </c>
      <c r="AC19" s="29">
        <v>0</v>
      </c>
      <c r="AD19" s="29">
        <v>0</v>
      </c>
      <c r="AE19" s="29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B37D3-A597-48CE-A68C-9BEFAD470C65}">
  <sheetPr codeName="Sheet45"/>
  <dimension ref="A1:AE19"/>
  <sheetViews>
    <sheetView zoomScale="115" zoomScaleNormal="115" workbookViewId="0">
      <selection activeCell="B1" sqref="B1"/>
    </sheetView>
  </sheetViews>
  <sheetFormatPr defaultRowHeight="14.4" x14ac:dyDescent="0.3"/>
  <cols>
    <col min="1" max="1" width="21" bestFit="1" customWidth="1"/>
    <col min="2" max="19" width="14.21875" bestFit="1" customWidth="1"/>
    <col min="20" max="25" width="14.33203125" bestFit="1" customWidth="1"/>
    <col min="26" max="31" width="15" bestFit="1" customWidth="1"/>
  </cols>
  <sheetData>
    <row r="1" spans="1:31" s="32" customFormat="1" x14ac:dyDescent="0.3">
      <c r="A1" s="95" t="str" cm="1">
        <f t="array" ref="A1:A19">'ETE Result'!$B$1:INDEX('ETE Result'!$B:$B,COUNTA('ETE Result'!$B:$B))</f>
        <v>Admission No. (Roll No.)</v>
      </c>
      <c r="B1" s="95" t="str">
        <f>"ST1-"&amp;'ST1 CO Question Map'!C1</f>
        <v>ST1-EC118_CO1</v>
      </c>
      <c r="C1" s="95" t="str">
        <f>"ST1-"&amp;'ST1 CO Question Map'!D1</f>
        <v>ST1-EC118_CO2</v>
      </c>
      <c r="D1" s="95" t="str">
        <f>"ST1-"&amp;'ST1 CO Question Map'!E1</f>
        <v>ST1-EC118_CO3</v>
      </c>
      <c r="E1" s="95" t="str">
        <f>"ST1-"&amp;'ST1 CO Question Map'!F1</f>
        <v>ST1-EC118_CO4</v>
      </c>
      <c r="F1" s="95" t="str">
        <f>"ST1-"&amp;'ST1 CO Question Map'!G1</f>
        <v>ST1-EC118_CO5</v>
      </c>
      <c r="G1" s="95" t="str">
        <f>"ST1-"&amp;'ST1 CO Question Map'!H1</f>
        <v>ST1-EC118_CO6</v>
      </c>
      <c r="H1" s="95" t="str">
        <f>"ST2-"&amp;'ST2 CO Question Map'!C1</f>
        <v>ST2-EC118_CO1</v>
      </c>
      <c r="I1" s="95" t="str">
        <f>"ST2-"&amp;'ST2 CO Question Map'!D1</f>
        <v>ST2-EC118_CO2</v>
      </c>
      <c r="J1" s="95" t="str">
        <f>"ST2-"&amp;'ST2 CO Question Map'!E1</f>
        <v>ST2-EC118_CO3</v>
      </c>
      <c r="K1" s="95" t="str">
        <f>"ST2-"&amp;'ST2 CO Question Map'!F1</f>
        <v>ST2-EC118_CO4</v>
      </c>
      <c r="L1" s="95" t="str">
        <f>"ST2-"&amp;'ST2 CO Question Map'!G1</f>
        <v>ST2-EC118_CO5</v>
      </c>
      <c r="M1" s="95" t="str">
        <f>"ST2-"&amp;'ST2 CO Question Map'!H1</f>
        <v>ST2-EC118_CO6</v>
      </c>
      <c r="N1" s="95" t="str">
        <f>"ST3-"&amp;'ST3 CO Question Map'!C1</f>
        <v>ST3-EC118_CO1</v>
      </c>
      <c r="O1" s="95" t="str">
        <f>"ST3-"&amp;'ST3 CO Question Map'!D1</f>
        <v>ST3-EC118_CO2</v>
      </c>
      <c r="P1" s="95" t="str">
        <f>"ST3-"&amp;'ST3 CO Question Map'!E1</f>
        <v>ST3-EC118_CO3</v>
      </c>
      <c r="Q1" s="95" t="str">
        <f>"ST3-"&amp;'ST3 CO Question Map'!F1</f>
        <v>ST3-EC118_CO4</v>
      </c>
      <c r="R1" s="95" t="str">
        <f>"ST3-"&amp;'ST3 CO Question Map'!G1</f>
        <v>ST3-EC118_CO5</v>
      </c>
      <c r="S1" s="95" t="str">
        <f>"ST3-"&amp;'ST3 CO Question Map'!H1</f>
        <v>ST3-EC118_CO6</v>
      </c>
      <c r="T1" s="95" t="str">
        <f>"ETE-"&amp;'ETE CO Question Map'!C1</f>
        <v>ETE-EC118_CO1</v>
      </c>
      <c r="U1" s="95" t="str">
        <f>"ETE-"&amp;'ETE CO Question Map'!D1</f>
        <v>ETE-EC118_CO2</v>
      </c>
      <c r="V1" s="95" t="str">
        <f>"ETE-"&amp;'ETE CO Question Map'!E1</f>
        <v>ETE-EC118_CO3</v>
      </c>
      <c r="W1" s="95" t="str">
        <f>"ETE-"&amp;'ETE CO Question Map'!F1</f>
        <v>ETE-EC118_CO4</v>
      </c>
      <c r="X1" s="95" t="str">
        <f>"ETE-"&amp;'ETE CO Question Map'!G1</f>
        <v>ETE-EC118_CO5</v>
      </c>
      <c r="Y1" s="95" t="str">
        <f>"ETE-"&amp;'ETE CO Question Map'!H1</f>
        <v>ETE-EC118_CO6</v>
      </c>
      <c r="Z1" s="95" t="str">
        <f>"OVR-"&amp;'ETE CO Question Map'!C1</f>
        <v>OVR-EC118_CO1</v>
      </c>
      <c r="AA1" s="95" t="str">
        <f>"OVR-"&amp;'ETE CO Question Map'!D1</f>
        <v>OVR-EC118_CO2</v>
      </c>
      <c r="AB1" s="95" t="str">
        <f>"OVR-"&amp;'ETE CO Question Map'!E1</f>
        <v>OVR-EC118_CO3</v>
      </c>
      <c r="AC1" s="95" t="str">
        <f>"OVR-"&amp;'ETE CO Question Map'!F1</f>
        <v>OVR-EC118_CO4</v>
      </c>
      <c r="AD1" s="95" t="str">
        <f>"OVR-"&amp;'ETE CO Question Map'!G1</f>
        <v>OVR-EC118_CO5</v>
      </c>
      <c r="AE1" s="95" t="str">
        <f>"OVR-"&amp;'ETE CO Question Map'!H1</f>
        <v>OVR-EC118_CO6</v>
      </c>
    </row>
    <row r="2" spans="1:31" x14ac:dyDescent="0.3">
      <c r="A2" s="29" t="str">
        <v>2010990089 </v>
      </c>
      <c r="B2" s="29" cm="1">
        <f t="array" ref="B2:B19">'ST1 Student Attainment percent'!B$2:INDEX('ST1 Student Attainment percent'!B:B,COUNTA('ST1 Student Attainment percent'!B:B))</f>
        <v>60</v>
      </c>
      <c r="C2" s="29" cm="1">
        <f t="array" ref="C2:C19">'ST1 Student Attainment percent'!C$2:INDEX('ST1 Student Attainment percent'!C:C,COUNTA('ST1 Student Attainment percent'!C:C))</f>
        <v>88</v>
      </c>
      <c r="D2" s="29" cm="1">
        <f t="array" ref="D2:D19">'ST1 Student Attainment percent'!D$2:INDEX('ST1 Student Attainment percent'!D:D,COUNTA('ST1 Student Attainment percent'!D:D))</f>
        <v>10</v>
      </c>
      <c r="E2" s="29" t="str" cm="1">
        <f t="array" ref="E2:E19">'ST1 Student Attainment percent'!E$2:INDEX('ST1 Student Attainment percent'!E:E,COUNTA('ST1 Student Attainment percent'!E:E))</f>
        <v>NA</v>
      </c>
      <c r="F2" s="29" t="str" cm="1">
        <f t="array" ref="F2:F19">'ST1 Student Attainment percent'!F$2:INDEX('ST1 Student Attainment percent'!F:F,COUNTA('ST1 Student Attainment percent'!F:F))</f>
        <v>NA</v>
      </c>
      <c r="G2" s="29" t="str" cm="1">
        <f t="array" ref="G2:G19">'ST1 Student Attainment percent'!G$2:INDEX('ST1 Student Attainment percent'!G:G,COUNTA('ST1 Student Attainment percent'!G:G))</f>
        <v>NA</v>
      </c>
      <c r="H2" s="29" cm="1">
        <f t="array" ref="H2:H19">'ST2 Student Attainment percent'!B$2:INDEX('ST2 Student Attainment percent'!B:B,COUNTA('ST2 Student Attainment percent'!B:B))</f>
        <v>100</v>
      </c>
      <c r="I2" s="29" cm="1">
        <f t="array" ref="I2:I19">'ST2 Student Attainment percent'!C$2:INDEX('ST2 Student Attainment percent'!C:C,COUNTA('ST2 Student Attainment percent'!C:C))</f>
        <v>75</v>
      </c>
      <c r="J2" s="29" cm="1">
        <f t="array" ref="J2:J19">'ST2 Student Attainment percent'!D$2:INDEX('ST2 Student Attainment percent'!D:D,COUNTA('ST2 Student Attainment percent'!D:D))</f>
        <v>80</v>
      </c>
      <c r="K2" s="29" t="str" cm="1">
        <f t="array" ref="K2:K19">'ST2 Student Attainment percent'!E$2:INDEX('ST2 Student Attainment percent'!E:E,COUNTA('ST2 Student Attainment percent'!E:E))</f>
        <v>NA</v>
      </c>
      <c r="L2" s="29" t="str" cm="1">
        <f t="array" ref="L2:L19">'ST2 Student Attainment percent'!F$2:INDEX('ST2 Student Attainment percent'!F:F,COUNTA('ST2 Student Attainment percent'!F:F))</f>
        <v>NA</v>
      </c>
      <c r="M2" s="29" t="str" cm="1">
        <f t="array" ref="M2:M19">'ST2 Student Attainment percent'!G$2:INDEX('ST2 Student Attainment percent'!G:G,COUNTA('ST2 Student Attainment percent'!G:G))</f>
        <v>NA</v>
      </c>
      <c r="N2" s="29" cm="1">
        <f t="array" ref="N2:N19">'ST3 Student Attainment percent'!B$2:INDEX('ST3 Student Attainment percent'!B:B,COUNTA('ST3 Student Attainment percent'!B:B))</f>
        <v>100</v>
      </c>
      <c r="O2" s="29" t="str" cm="1">
        <f t="array" ref="O2:O19">'ST3 Student Attainment percent'!C$2:INDEX('ST3 Student Attainment percent'!C:C,COUNTA('ST3 Student Attainment percent'!C:C))</f>
        <v>NA</v>
      </c>
      <c r="P2" s="29" cm="1">
        <f t="array" ref="P2:P19">'ST3 Student Attainment percent'!D$2:INDEX('ST3 Student Attainment percent'!D:D,COUNTA('ST3 Student Attainment percent'!D:D))</f>
        <v>20</v>
      </c>
      <c r="Q2" s="29" t="str" cm="1">
        <f t="array" ref="Q2:Q19">'ST3 Student Attainment percent'!E$2:INDEX('ST3 Student Attainment percent'!E:E,COUNTA('ST3 Student Attainment percent'!E:E))</f>
        <v>NA</v>
      </c>
      <c r="R2" s="29" t="str" cm="1">
        <f t="array" ref="R2:R19">'ST3 Student Attainment percent'!F$2:INDEX('ST3 Student Attainment percent'!F:F,COUNTA('ST3 Student Attainment percent'!F:F))</f>
        <v>NA</v>
      </c>
      <c r="S2" s="29" t="str" cm="1">
        <f t="array" ref="S2:S19">'ST3 Student Attainment percent'!G$2:INDEX('ST3 Student Attainment percent'!G:G,COUNTA('ST3 Student Attainment percent'!G:G))</f>
        <v>NA</v>
      </c>
      <c r="T2" s="29" cm="1">
        <f t="array" ref="T2:T19">'ETE Student Attainment percent'!B$2:INDEX('ETE Student Attainment percent'!B:B,COUNTA('ETE Student Attainment percent'!B:B))</f>
        <v>100</v>
      </c>
      <c r="U2" s="29" cm="1">
        <f t="array" ref="U2:U19">'ETE Student Attainment percent'!C$2:INDEX('ETE Student Attainment percent'!C:C,COUNTA('ETE Student Attainment percent'!C:C))</f>
        <v>72.222222222222214</v>
      </c>
      <c r="V2" s="29" cm="1">
        <f t="array" ref="V2:V19">'ETE Student Attainment percent'!D$2:INDEX('ETE Student Attainment percent'!D:D,COUNTA('ETE Student Attainment percent'!D:D))</f>
        <v>68</v>
      </c>
      <c r="W2" s="29" t="str" cm="1">
        <f t="array" ref="W2:W19">'ETE Student Attainment percent'!E$2:INDEX('ETE Student Attainment percent'!E:E,COUNTA('ETE Student Attainment percent'!E:E))</f>
        <v>NA</v>
      </c>
      <c r="X2" s="29" t="str" cm="1">
        <f t="array" ref="X2:X19">'ETE Student Attainment percent'!F$2:INDEX('ETE Student Attainment percent'!F:F,COUNTA('ETE Student Attainment percent'!F:F))</f>
        <v>NA</v>
      </c>
      <c r="Y2" s="29" t="str" cm="1">
        <f t="array" ref="Y2:Y19">'ETE Student Attainment percent'!G$2:INDEX('ETE Student Attainment percent'!G:G,COUNTA('ETE Student Attainment percent'!G:G))</f>
        <v>NA</v>
      </c>
      <c r="Z2" s="29" cm="1">
        <f t="array" ref="Z2:Z19">IFERROR(_xlfn.BYROW(A2:INDEX(A:A,COUNTA(A:A)),_xlfn.LAMBDA(_xlpm.row,IFERROR(AVERAGE(INDEX(B:B,ROW(_xlpm.row)),INDEX(H:H,ROW(_xlpm.row)),INDEX(N:N,ROW(_xlpm.row)))*'OBE Details'!$B$9+INDEX(T:T,ROW(_xlpm.row))*'OBE Details'!$B$10,SUM(AVERAGE(INDEX(B:B,ROW(_xlpm.row)),INDEX(H:H,ROW(_xlpm.row)),INDEX(N:N,ROW(_xlpm.row))),INDEX(T:T,ROW(_xlpm.row)))))),"NA")</f>
        <v>94.666666666666671</v>
      </c>
      <c r="AA2" s="29" cm="1">
        <f t="array" ref="AA2:AA19">IFERROR(_xlfn.BYROW(B2:INDEX(B:B,COUNTA(B:B)),_xlfn.LAMBDA(_xlpm.row,IFERROR(AVERAGE(INDEX(C:C,ROW(_xlpm.row)),INDEX(I:I,ROW(_xlpm.row)),INDEX(O:O,ROW(_xlpm.row)))*'OBE Details'!$B$9+INDEX(U:U,ROW(_xlpm.row))*'OBE Details'!$B$10,SUM(AVERAGE(INDEX(C:C,ROW(_xlpm.row)),INDEX(I:I,ROW(_xlpm.row)),INDEX(O:O,ROW(_xlpm.row))),INDEX(U:U,ROW(_xlpm.row)))))),"NA")</f>
        <v>75.933333333333337</v>
      </c>
      <c r="AB2" s="29" cm="1">
        <f t="array" ref="AB2:AB19">IFERROR(_xlfn.BYROW(C2:INDEX(C:C,COUNTA(C:C)),_xlfn.LAMBDA(_xlpm.row,IFERROR(AVERAGE(INDEX(D:D,ROW(_xlpm.row)),INDEX(J:J,ROW(_xlpm.row)),INDEX(P:P,ROW(_xlpm.row)))*'OBE Details'!$B$9+INDEX(V:V,ROW(_xlpm.row))*'OBE Details'!$B$10,SUM(AVERAGE(INDEX(D:D,ROW(_xlpm.row)),INDEX(J:J,ROW(_xlpm.row)),INDEX(P:P,ROW(_xlpm.row))),INDEX(V:V,ROW(_xlpm.row)))))),"NA")</f>
        <v>55.466666666666661</v>
      </c>
      <c r="AC2" s="29" t="str" cm="1">
        <f t="array" ref="AC2:AC19">IFERROR(_xlfn.BYROW(D2:INDEX(D:D,COUNTA(D:D)),_xlfn.LAMBDA(_xlpm.row,IFERROR(AVERAGE(INDEX(E:E,ROW(_xlpm.row)),INDEX(K:K,ROW(_xlpm.row)),INDEX(Q:Q,ROW(_xlpm.row)))*'OBE Details'!$B$9+INDEX(W:W,ROW(_xlpm.row))*'OBE Details'!$B$10,SUM(AVERAGE(INDEX(E:E,ROW(_xlpm.row)),INDEX(K:K,ROW(_xlpm.row)),INDEX(Q:Q,ROW(_xlpm.row))),INDEX(W:W,ROW(_xlpm.row)))))),"NA")</f>
        <v>NA</v>
      </c>
      <c r="AD2" s="29" t="str" cm="1">
        <f t="array" ref="AD2:AD19">IFERROR(_xlfn.BYROW(E2:INDEX(E:E,COUNTA(E:E)),_xlfn.LAMBDA(_xlpm.row,IFERROR(AVERAGE(INDEX(F:F,ROW(_xlpm.row)),INDEX(L:L,ROW(_xlpm.row)),INDEX(R:R,ROW(_xlpm.row)))*'OBE Details'!$B$9+INDEX(X:X,ROW(_xlpm.row))*'OBE Details'!$B$10,SUM(AVERAGE(INDEX(F:F,ROW(_xlpm.row)),INDEX(L:L,ROW(_xlpm.row)),INDEX(R:R,ROW(_xlpm.row))),INDEX(X:X,ROW(_xlpm.row)))))),"NA")</f>
        <v>NA</v>
      </c>
      <c r="AE2" s="29" t="str" cm="1">
        <f t="array" ref="AE2:AE19">IFERROR(_xlfn.BYROW(F2:INDEX(F:F,COUNTA(F:F)),_xlfn.LAMBDA(_xlpm.row,IFERROR(AVERAGE(INDEX(G:G,ROW(_xlpm.row)),INDEX(M:M,ROW(_xlpm.row)),INDEX(S:S,ROW(_xlpm.row)))*'OBE Details'!$B$9+INDEX(Y:Y,ROW(_xlpm.row))*'OBE Details'!$B$10,SUM(AVERAGE(INDEX(G:G,ROW(_xlpm.row)),INDEX(M:M,ROW(_xlpm.row)),INDEX(S:S,ROW(_xlpm.row))),INDEX(Y:Y,ROW(_xlpm.row)))))),"NA")</f>
        <v>NA</v>
      </c>
    </row>
    <row r="3" spans="1:31" x14ac:dyDescent="0.3">
      <c r="A3" s="29" t="str">
        <v>2010992002 </v>
      </c>
      <c r="B3" s="29">
        <v>95</v>
      </c>
      <c r="C3" s="29">
        <v>100</v>
      </c>
      <c r="D3" s="29">
        <v>80</v>
      </c>
      <c r="E3" s="29" t="str">
        <v>NA</v>
      </c>
      <c r="F3" s="29" t="str">
        <v>NA</v>
      </c>
      <c r="G3" s="29" t="str">
        <v>NA</v>
      </c>
      <c r="H3" s="29">
        <v>100</v>
      </c>
      <c r="I3" s="29">
        <v>104.44444444444446</v>
      </c>
      <c r="J3" s="29">
        <v>100</v>
      </c>
      <c r="K3" s="29" t="str">
        <v>NA</v>
      </c>
      <c r="L3" s="29" t="str">
        <v>NA</v>
      </c>
      <c r="M3" s="29" t="str">
        <v>NA</v>
      </c>
      <c r="N3" s="29">
        <v>100</v>
      </c>
      <c r="O3" s="29">
        <v>100</v>
      </c>
      <c r="P3" s="29">
        <v>100</v>
      </c>
      <c r="Q3" s="29" t="str">
        <v>NA</v>
      </c>
      <c r="R3" s="29" t="str">
        <v>NA</v>
      </c>
      <c r="S3" s="29" t="str">
        <v>NA</v>
      </c>
      <c r="T3" s="29">
        <v>100</v>
      </c>
      <c r="U3" s="29">
        <v>87.804878048780495</v>
      </c>
      <c r="V3" s="29">
        <v>83.333333333333343</v>
      </c>
      <c r="W3" s="29" t="str">
        <v>NA</v>
      </c>
      <c r="X3" s="29" t="str">
        <v>NA</v>
      </c>
      <c r="Y3" s="29" t="str">
        <v>NA</v>
      </c>
      <c r="Z3" s="29">
        <v>99.333333333333343</v>
      </c>
      <c r="AA3" s="29">
        <v>93.275519421860892</v>
      </c>
      <c r="AB3" s="29">
        <v>87.333333333333343</v>
      </c>
      <c r="AC3" s="29" t="str">
        <v>NA</v>
      </c>
      <c r="AD3" s="29" t="str">
        <v>NA</v>
      </c>
      <c r="AE3" s="29" t="str">
        <v>NA</v>
      </c>
    </row>
    <row r="4" spans="1:31" x14ac:dyDescent="0.3">
      <c r="A4" s="29" t="str">
        <v>2010992004 </v>
      </c>
      <c r="B4" s="29">
        <v>80</v>
      </c>
      <c r="C4" s="29">
        <v>68</v>
      </c>
      <c r="D4" s="29" t="str">
        <v>NA</v>
      </c>
      <c r="E4" s="29" t="str">
        <v>NA</v>
      </c>
      <c r="F4" s="29" t="str">
        <v>NA</v>
      </c>
      <c r="G4" s="29" t="str">
        <v>NA</v>
      </c>
      <c r="H4" s="29" t="str">
        <v>NA</v>
      </c>
      <c r="I4" s="29">
        <v>60</v>
      </c>
      <c r="J4" s="29">
        <v>60</v>
      </c>
      <c r="K4" s="29" t="str">
        <v>NA</v>
      </c>
      <c r="L4" s="29" t="str">
        <v>NA</v>
      </c>
      <c r="M4" s="29" t="str">
        <v>NA</v>
      </c>
      <c r="N4" s="29">
        <v>71.428571428571431</v>
      </c>
      <c r="O4" s="29">
        <v>55.555555555555557</v>
      </c>
      <c r="P4" s="29">
        <v>100</v>
      </c>
      <c r="Q4" s="29" t="str">
        <v>NA</v>
      </c>
      <c r="R4" s="29" t="str">
        <v>NA</v>
      </c>
      <c r="S4" s="29" t="str">
        <v>NA</v>
      </c>
      <c r="T4" s="29">
        <v>100</v>
      </c>
      <c r="U4" s="29">
        <v>65.384615384615387</v>
      </c>
      <c r="V4" s="29">
        <v>46.666666666666664</v>
      </c>
      <c r="W4" s="29" t="str">
        <v>NA</v>
      </c>
      <c r="X4" s="29" t="str">
        <v>NA</v>
      </c>
      <c r="Y4" s="29" t="str">
        <v>NA</v>
      </c>
      <c r="Z4" s="29">
        <v>90.285714285714292</v>
      </c>
      <c r="AA4" s="29">
        <v>63.704843304843308</v>
      </c>
      <c r="AB4" s="29">
        <v>60</v>
      </c>
      <c r="AC4" s="29" t="str">
        <v>NA</v>
      </c>
      <c r="AD4" s="29" t="str">
        <v>NA</v>
      </c>
      <c r="AE4" s="29" t="str">
        <v>NA</v>
      </c>
    </row>
    <row r="5" spans="1:31" x14ac:dyDescent="0.3">
      <c r="A5" s="29" t="str">
        <v>2010992005 </v>
      </c>
      <c r="B5" s="29">
        <v>67.5</v>
      </c>
      <c r="C5" s="29">
        <v>80</v>
      </c>
      <c r="D5" s="29">
        <v>10</v>
      </c>
      <c r="E5" s="29" t="str">
        <v>NA</v>
      </c>
      <c r="F5" s="29" t="str">
        <v>NA</v>
      </c>
      <c r="G5" s="29" t="str">
        <v>NA</v>
      </c>
      <c r="H5" s="29" t="str">
        <v>NA</v>
      </c>
      <c r="I5" s="29">
        <v>80</v>
      </c>
      <c r="J5" s="29">
        <v>80</v>
      </c>
      <c r="K5" s="29" t="str">
        <v>NA</v>
      </c>
      <c r="L5" s="29" t="str">
        <v>NA</v>
      </c>
      <c r="M5" s="29" t="str">
        <v>NA</v>
      </c>
      <c r="N5" s="29">
        <v>85.714285714285708</v>
      </c>
      <c r="O5" s="29">
        <v>100</v>
      </c>
      <c r="P5" s="29">
        <v>20</v>
      </c>
      <c r="Q5" s="29" t="str">
        <v>NA</v>
      </c>
      <c r="R5" s="29" t="str">
        <v>NA</v>
      </c>
      <c r="S5" s="29" t="str">
        <v>NA</v>
      </c>
      <c r="T5" s="29">
        <v>40</v>
      </c>
      <c r="U5" s="29">
        <v>100</v>
      </c>
      <c r="V5" s="29">
        <v>100</v>
      </c>
      <c r="W5" s="29" t="str">
        <v>NA</v>
      </c>
      <c r="X5" s="29" t="str">
        <v>NA</v>
      </c>
      <c r="Y5" s="29" t="str">
        <v>NA</v>
      </c>
      <c r="Z5" s="29">
        <v>54.642857142857146</v>
      </c>
      <c r="AA5" s="29">
        <v>94.666666666666671</v>
      </c>
      <c r="AB5" s="29">
        <v>74.666666666666671</v>
      </c>
      <c r="AC5" s="29" t="str">
        <v>NA</v>
      </c>
      <c r="AD5" s="29" t="str">
        <v>NA</v>
      </c>
      <c r="AE5" s="29" t="str">
        <v>NA</v>
      </c>
    </row>
    <row r="6" spans="1:31" x14ac:dyDescent="0.3">
      <c r="A6" s="29" t="str">
        <v>2010992006 </v>
      </c>
      <c r="B6" s="29">
        <v>71.428571428571431</v>
      </c>
      <c r="C6" s="29">
        <v>75</v>
      </c>
      <c r="D6" s="29" t="str">
        <v>NA</v>
      </c>
      <c r="E6" s="29" t="str">
        <v>NA</v>
      </c>
      <c r="F6" s="29" t="str">
        <v>NA</v>
      </c>
      <c r="G6" s="29" t="str">
        <v>NA</v>
      </c>
      <c r="H6" s="29" t="str">
        <v>NA</v>
      </c>
      <c r="I6" s="29" t="str">
        <v>NA</v>
      </c>
      <c r="J6" s="29" t="str">
        <v>NA</v>
      </c>
      <c r="K6" s="29" t="str">
        <v>NA</v>
      </c>
      <c r="L6" s="29" t="str">
        <v>NA</v>
      </c>
      <c r="M6" s="29" t="str">
        <v>NA</v>
      </c>
      <c r="N6" s="29">
        <v>64.285714285714292</v>
      </c>
      <c r="O6" s="29" t="str">
        <v>NA</v>
      </c>
      <c r="P6" s="29" t="str">
        <v>NA</v>
      </c>
      <c r="Q6" s="29" t="str">
        <v>NA</v>
      </c>
      <c r="R6" s="29" t="str">
        <v>NA</v>
      </c>
      <c r="S6" s="29" t="str">
        <v>NA</v>
      </c>
      <c r="T6" s="29">
        <v>58.333333333333336</v>
      </c>
      <c r="U6" s="29">
        <v>100</v>
      </c>
      <c r="V6" s="29">
        <v>100</v>
      </c>
      <c r="W6" s="29" t="str">
        <v>NA</v>
      </c>
      <c r="X6" s="29" t="str">
        <v>NA</v>
      </c>
      <c r="Y6" s="29" t="str">
        <v>NA</v>
      </c>
      <c r="Z6" s="29">
        <v>62.142857142857146</v>
      </c>
      <c r="AA6" s="29">
        <v>90</v>
      </c>
      <c r="AB6" s="29" t="str">
        <v>NA</v>
      </c>
      <c r="AC6" s="29" t="str">
        <v>NA</v>
      </c>
      <c r="AD6" s="29" t="str">
        <v>NA</v>
      </c>
      <c r="AE6" s="29" t="str">
        <v>NA</v>
      </c>
    </row>
    <row r="7" spans="1:31" x14ac:dyDescent="0.3">
      <c r="A7" s="29" t="str">
        <v>2010992008 </v>
      </c>
      <c r="B7" s="29">
        <v>60</v>
      </c>
      <c r="C7" s="29">
        <v>100</v>
      </c>
      <c r="D7" s="29">
        <v>10</v>
      </c>
      <c r="E7" s="29" t="str">
        <v>NA</v>
      </c>
      <c r="F7" s="29" t="str">
        <v>NA</v>
      </c>
      <c r="G7" s="29" t="str">
        <v>NA</v>
      </c>
      <c r="H7" s="29" t="str">
        <v>NA</v>
      </c>
      <c r="I7" s="29" t="str">
        <v>NA</v>
      </c>
      <c r="J7" s="29" t="str">
        <v>NA</v>
      </c>
      <c r="K7" s="29" t="str">
        <v>NA</v>
      </c>
      <c r="L7" s="29" t="str">
        <v>NA</v>
      </c>
      <c r="M7" s="29" t="str">
        <v>NA</v>
      </c>
      <c r="N7" s="29">
        <v>60</v>
      </c>
      <c r="O7" s="29">
        <v>83.333333333333343</v>
      </c>
      <c r="P7" s="29">
        <v>100</v>
      </c>
      <c r="Q7" s="29" t="str">
        <v>NA</v>
      </c>
      <c r="R7" s="29" t="str">
        <v>NA</v>
      </c>
      <c r="S7" s="29" t="str">
        <v>NA</v>
      </c>
      <c r="T7" s="29">
        <v>57.894736842105267</v>
      </c>
      <c r="U7" s="29">
        <v>100</v>
      </c>
      <c r="V7" s="29">
        <v>100</v>
      </c>
      <c r="W7" s="29" t="str">
        <v>NA</v>
      </c>
      <c r="X7" s="29" t="str">
        <v>NA</v>
      </c>
      <c r="Y7" s="29" t="str">
        <v>NA</v>
      </c>
      <c r="Z7" s="29">
        <v>58.736842105263158</v>
      </c>
      <c r="AA7" s="29">
        <v>96.666666666666671</v>
      </c>
      <c r="AB7" s="29">
        <v>82</v>
      </c>
      <c r="AC7" s="29" t="str">
        <v>NA</v>
      </c>
      <c r="AD7" s="29" t="str">
        <v>NA</v>
      </c>
      <c r="AE7" s="29" t="str">
        <v>NA</v>
      </c>
    </row>
    <row r="8" spans="1:31" x14ac:dyDescent="0.3">
      <c r="A8" s="29" t="str">
        <v>2010992009 </v>
      </c>
      <c r="B8" s="29">
        <v>80</v>
      </c>
      <c r="C8" s="29">
        <v>100</v>
      </c>
      <c r="D8" s="29">
        <v>20</v>
      </c>
      <c r="E8" s="29" t="str">
        <v>NA</v>
      </c>
      <c r="F8" s="29" t="str">
        <v>NA</v>
      </c>
      <c r="G8" s="29" t="str">
        <v>NA</v>
      </c>
      <c r="H8" s="29">
        <v>100</v>
      </c>
      <c r="I8" s="29">
        <v>93.333333333333329</v>
      </c>
      <c r="J8" s="29">
        <v>95</v>
      </c>
      <c r="K8" s="29" t="str">
        <v>NA</v>
      </c>
      <c r="L8" s="29" t="str">
        <v>NA</v>
      </c>
      <c r="M8" s="29" t="str">
        <v>NA</v>
      </c>
      <c r="N8" s="29" t="str">
        <v>NA</v>
      </c>
      <c r="O8" s="29" t="str">
        <v>NA</v>
      </c>
      <c r="P8" s="29" t="str">
        <v>NA</v>
      </c>
      <c r="Q8" s="29" t="str">
        <v>NA</v>
      </c>
      <c r="R8" s="29" t="str">
        <v>NA</v>
      </c>
      <c r="S8" s="29" t="str">
        <v>NA</v>
      </c>
      <c r="T8" s="29">
        <v>87.5</v>
      </c>
      <c r="U8" s="29">
        <v>100</v>
      </c>
      <c r="V8" s="29">
        <v>100</v>
      </c>
      <c r="W8" s="29" t="str">
        <v>NA</v>
      </c>
      <c r="X8" s="29" t="str">
        <v>NA</v>
      </c>
      <c r="Y8" s="29" t="str">
        <v>NA</v>
      </c>
      <c r="Z8" s="29">
        <v>88.5</v>
      </c>
      <c r="AA8" s="29">
        <v>98.666666666666657</v>
      </c>
      <c r="AB8" s="29">
        <v>83</v>
      </c>
      <c r="AC8" s="29" t="str">
        <v>NA</v>
      </c>
      <c r="AD8" s="29" t="str">
        <v>NA</v>
      </c>
      <c r="AE8" s="29" t="str">
        <v>NA</v>
      </c>
    </row>
    <row r="9" spans="1:31" x14ac:dyDescent="0.3">
      <c r="A9" s="29" t="str">
        <v>2010992010 </v>
      </c>
      <c r="B9" s="29">
        <v>67.5</v>
      </c>
      <c r="C9" s="29">
        <v>84</v>
      </c>
      <c r="D9" s="29">
        <v>10</v>
      </c>
      <c r="E9" s="29" t="str">
        <v>NA</v>
      </c>
      <c r="F9" s="29" t="str">
        <v>NA</v>
      </c>
      <c r="G9" s="29" t="str">
        <v>NA</v>
      </c>
      <c r="H9" s="29" t="str">
        <v>NA</v>
      </c>
      <c r="I9" s="29" t="str">
        <v>NA</v>
      </c>
      <c r="J9" s="29" t="str">
        <v>NA</v>
      </c>
      <c r="K9" s="29" t="str">
        <v>NA</v>
      </c>
      <c r="L9" s="29" t="str">
        <v>NA</v>
      </c>
      <c r="M9" s="29" t="str">
        <v>NA</v>
      </c>
      <c r="N9" s="29">
        <v>58.333333333333336</v>
      </c>
      <c r="O9" s="29">
        <v>100</v>
      </c>
      <c r="P9" s="29">
        <v>100</v>
      </c>
      <c r="Q9" s="29" t="str">
        <v>NA</v>
      </c>
      <c r="R9" s="29" t="str">
        <v>NA</v>
      </c>
      <c r="S9" s="29" t="str">
        <v>NA</v>
      </c>
      <c r="T9" s="29">
        <v>92.857142857142861</v>
      </c>
      <c r="U9" s="29">
        <v>61.904761904761905</v>
      </c>
      <c r="V9" s="29">
        <v>46.666666666666664</v>
      </c>
      <c r="W9" s="29" t="str">
        <v>NA</v>
      </c>
      <c r="X9" s="29" t="str">
        <v>NA</v>
      </c>
      <c r="Y9" s="29" t="str">
        <v>NA</v>
      </c>
      <c r="Z9" s="29">
        <v>80.88095238095238</v>
      </c>
      <c r="AA9" s="29">
        <v>73.94285714285715</v>
      </c>
      <c r="AB9" s="29">
        <v>50</v>
      </c>
      <c r="AC9" s="29" t="str">
        <v>NA</v>
      </c>
      <c r="AD9" s="29" t="str">
        <v>NA</v>
      </c>
      <c r="AE9" s="29" t="str">
        <v>NA</v>
      </c>
    </row>
    <row r="10" spans="1:31" x14ac:dyDescent="0.3">
      <c r="A10" s="29" t="str">
        <v>2010992011 </v>
      </c>
      <c r="B10" s="29">
        <v>80</v>
      </c>
      <c r="C10" s="29">
        <v>70</v>
      </c>
      <c r="D10" s="29" t="str">
        <v>NA</v>
      </c>
      <c r="E10" s="29" t="str">
        <v>NA</v>
      </c>
      <c r="F10" s="29" t="str">
        <v>NA</v>
      </c>
      <c r="G10" s="29" t="str">
        <v>NA</v>
      </c>
      <c r="H10" s="29" t="str">
        <v>NA</v>
      </c>
      <c r="I10" s="29">
        <v>60</v>
      </c>
      <c r="J10" s="29">
        <v>60</v>
      </c>
      <c r="K10" s="29" t="str">
        <v>NA</v>
      </c>
      <c r="L10" s="29" t="str">
        <v>NA</v>
      </c>
      <c r="M10" s="29" t="str">
        <v>NA</v>
      </c>
      <c r="N10" s="29">
        <v>85.714285714285708</v>
      </c>
      <c r="O10" s="29">
        <v>100</v>
      </c>
      <c r="P10" s="29">
        <v>42.857142857142854</v>
      </c>
      <c r="Q10" s="29" t="str">
        <v>NA</v>
      </c>
      <c r="R10" s="29" t="str">
        <v>NA</v>
      </c>
      <c r="S10" s="29" t="str">
        <v>NA</v>
      </c>
      <c r="T10" s="29">
        <v>100</v>
      </c>
      <c r="U10" s="29">
        <v>65.517241379310349</v>
      </c>
      <c r="V10" s="29">
        <v>60</v>
      </c>
      <c r="W10" s="29" t="str">
        <v>NA</v>
      </c>
      <c r="X10" s="29" t="str">
        <v>NA</v>
      </c>
      <c r="Y10" s="29" t="str">
        <v>NA</v>
      </c>
      <c r="Z10" s="29">
        <v>93.142857142857139</v>
      </c>
      <c r="AA10" s="29">
        <v>69.977011494252878</v>
      </c>
      <c r="AB10" s="29">
        <v>56.571428571428569</v>
      </c>
      <c r="AC10" s="29" t="str">
        <v>NA</v>
      </c>
      <c r="AD10" s="29" t="str">
        <v>NA</v>
      </c>
      <c r="AE10" s="29" t="str">
        <v>NA</v>
      </c>
    </row>
    <row r="11" spans="1:31" x14ac:dyDescent="0.3">
      <c r="A11" s="29" t="str">
        <v>2010992012 </v>
      </c>
      <c r="B11" s="29">
        <v>82.222222222222214</v>
      </c>
      <c r="C11" s="29">
        <v>100</v>
      </c>
      <c r="D11" s="29">
        <v>20</v>
      </c>
      <c r="E11" s="29" t="str">
        <v>NA</v>
      </c>
      <c r="F11" s="29" t="str">
        <v>NA</v>
      </c>
      <c r="G11" s="29" t="str">
        <v>NA</v>
      </c>
      <c r="H11" s="29">
        <v>100</v>
      </c>
      <c r="I11" s="29">
        <v>71.428571428571431</v>
      </c>
      <c r="J11" s="29">
        <v>60</v>
      </c>
      <c r="K11" s="29" t="str">
        <v>NA</v>
      </c>
      <c r="L11" s="29" t="str">
        <v>NA</v>
      </c>
      <c r="M11" s="29" t="str">
        <v>NA</v>
      </c>
      <c r="N11" s="29">
        <v>60</v>
      </c>
      <c r="O11" s="29">
        <v>66.666666666666657</v>
      </c>
      <c r="P11" s="29" t="str">
        <v>NA</v>
      </c>
      <c r="Q11" s="29" t="str">
        <v>NA</v>
      </c>
      <c r="R11" s="29" t="str">
        <v>NA</v>
      </c>
      <c r="S11" s="29" t="str">
        <v>NA</v>
      </c>
      <c r="T11" s="29">
        <v>57.894736842105267</v>
      </c>
      <c r="U11" s="29">
        <v>90.476190476190482</v>
      </c>
      <c r="V11" s="29">
        <v>100</v>
      </c>
      <c r="W11" s="29" t="str">
        <v>NA</v>
      </c>
      <c r="X11" s="29" t="str">
        <v>NA</v>
      </c>
      <c r="Y11" s="29" t="str">
        <v>NA</v>
      </c>
      <c r="Z11" s="29">
        <v>67.033138401559455</v>
      </c>
      <c r="AA11" s="29">
        <v>86.031746031746025</v>
      </c>
      <c r="AB11" s="29">
        <v>76</v>
      </c>
      <c r="AC11" s="29" t="str">
        <v>NA</v>
      </c>
      <c r="AD11" s="29" t="str">
        <v>NA</v>
      </c>
      <c r="AE11" s="29" t="str">
        <v>NA</v>
      </c>
    </row>
    <row r="12" spans="1:31" x14ac:dyDescent="0.3">
      <c r="A12" s="29" t="str">
        <v>2010992014 </v>
      </c>
      <c r="B12" s="29">
        <v>88.571428571428569</v>
      </c>
      <c r="C12" s="29">
        <v>100</v>
      </c>
      <c r="D12" s="29">
        <v>60</v>
      </c>
      <c r="E12" s="29" t="str">
        <v>NA</v>
      </c>
      <c r="F12" s="29" t="str">
        <v>NA</v>
      </c>
      <c r="G12" s="29" t="str">
        <v>NA</v>
      </c>
      <c r="H12" s="29" t="str">
        <v>NA</v>
      </c>
      <c r="I12" s="29">
        <v>70</v>
      </c>
      <c r="J12" s="29">
        <v>70</v>
      </c>
      <c r="K12" s="29" t="str">
        <v>NA</v>
      </c>
      <c r="L12" s="29" t="str">
        <v>NA</v>
      </c>
      <c r="M12" s="29" t="str">
        <v>NA</v>
      </c>
      <c r="N12" s="29">
        <v>60</v>
      </c>
      <c r="O12" s="29">
        <v>50</v>
      </c>
      <c r="P12" s="29" t="str">
        <v>NA</v>
      </c>
      <c r="Q12" s="29" t="str">
        <v>NA</v>
      </c>
      <c r="R12" s="29" t="str">
        <v>NA</v>
      </c>
      <c r="S12" s="29" t="str">
        <v>NA</v>
      </c>
      <c r="T12" s="29">
        <v>100</v>
      </c>
      <c r="U12" s="29">
        <v>61.904761904761905</v>
      </c>
      <c r="V12" s="29">
        <v>46.666666666666664</v>
      </c>
      <c r="W12" s="29" t="str">
        <v>NA</v>
      </c>
      <c r="X12" s="29" t="str">
        <v>NA</v>
      </c>
      <c r="Y12" s="29" t="str">
        <v>NA</v>
      </c>
      <c r="Z12" s="29">
        <v>89.714285714285708</v>
      </c>
      <c r="AA12" s="29">
        <v>66.476190476190467</v>
      </c>
      <c r="AB12" s="29">
        <v>54</v>
      </c>
      <c r="AC12" s="29" t="str">
        <v>NA</v>
      </c>
      <c r="AD12" s="29" t="str">
        <v>NA</v>
      </c>
      <c r="AE12" s="29" t="str">
        <v>NA</v>
      </c>
    </row>
    <row r="13" spans="1:31" x14ac:dyDescent="0.3">
      <c r="A13" s="29" t="str">
        <v>2010992015 </v>
      </c>
      <c r="B13" s="29">
        <v>66.666666666666657</v>
      </c>
      <c r="C13" s="29">
        <v>60</v>
      </c>
      <c r="D13" s="29">
        <v>10</v>
      </c>
      <c r="E13" s="29" t="str">
        <v>NA</v>
      </c>
      <c r="F13" s="29" t="str">
        <v>NA</v>
      </c>
      <c r="G13" s="29" t="str">
        <v>NA</v>
      </c>
      <c r="H13" s="29">
        <v>100</v>
      </c>
      <c r="I13" s="29">
        <v>58.82352941176471</v>
      </c>
      <c r="J13" s="29">
        <v>70</v>
      </c>
      <c r="K13" s="29" t="str">
        <v>NA</v>
      </c>
      <c r="L13" s="29" t="str">
        <v>NA</v>
      </c>
      <c r="M13" s="29" t="str">
        <v>NA</v>
      </c>
      <c r="N13" s="29">
        <v>83.333333333333343</v>
      </c>
      <c r="O13" s="29">
        <v>100</v>
      </c>
      <c r="P13" s="29">
        <v>42.857142857142854</v>
      </c>
      <c r="Q13" s="29" t="str">
        <v>NA</v>
      </c>
      <c r="R13" s="29" t="str">
        <v>NA</v>
      </c>
      <c r="S13" s="29" t="str">
        <v>NA</v>
      </c>
      <c r="T13" s="29">
        <v>100</v>
      </c>
      <c r="U13" s="29">
        <v>61.904761904761905</v>
      </c>
      <c r="V13" s="29">
        <v>45</v>
      </c>
      <c r="W13" s="29" t="str">
        <v>NA</v>
      </c>
      <c r="X13" s="29" t="str">
        <v>NA</v>
      </c>
      <c r="Y13" s="29" t="str">
        <v>NA</v>
      </c>
      <c r="Z13" s="29">
        <v>93.333333333333343</v>
      </c>
      <c r="AA13" s="29">
        <v>66.319327731092429</v>
      </c>
      <c r="AB13" s="29">
        <v>43.38095238095238</v>
      </c>
      <c r="AC13" s="29" t="str">
        <v>NA</v>
      </c>
      <c r="AD13" s="29" t="str">
        <v>NA</v>
      </c>
      <c r="AE13" s="29" t="str">
        <v>NA</v>
      </c>
    </row>
    <row r="14" spans="1:31" x14ac:dyDescent="0.3">
      <c r="A14" s="29" t="str">
        <v>2010992016 </v>
      </c>
      <c r="B14" s="29">
        <v>97.142857142857139</v>
      </c>
      <c r="C14" s="29">
        <v>90</v>
      </c>
      <c r="D14" s="29" t="str">
        <v>NA</v>
      </c>
      <c r="E14" s="29" t="str">
        <v>NA</v>
      </c>
      <c r="F14" s="29" t="str">
        <v>NA</v>
      </c>
      <c r="G14" s="29" t="str">
        <v>NA</v>
      </c>
      <c r="H14" s="29">
        <v>93.333333333333329</v>
      </c>
      <c r="I14" s="29">
        <v>80</v>
      </c>
      <c r="J14" s="29">
        <v>73.333333333333329</v>
      </c>
      <c r="K14" s="29" t="str">
        <v>NA</v>
      </c>
      <c r="L14" s="29" t="str">
        <v>NA</v>
      </c>
      <c r="M14" s="29" t="str">
        <v>NA</v>
      </c>
      <c r="N14" s="29">
        <v>100</v>
      </c>
      <c r="O14" s="29">
        <v>100</v>
      </c>
      <c r="P14" s="29">
        <v>100</v>
      </c>
      <c r="Q14" s="29" t="str">
        <v>NA</v>
      </c>
      <c r="R14" s="29" t="str">
        <v>NA</v>
      </c>
      <c r="S14" s="29" t="str">
        <v>NA</v>
      </c>
      <c r="T14" s="29">
        <v>69.230769230769226</v>
      </c>
      <c r="U14" s="29">
        <v>76.470588235294116</v>
      </c>
      <c r="V14" s="29">
        <v>60</v>
      </c>
      <c r="W14" s="29" t="str">
        <v>NA</v>
      </c>
      <c r="X14" s="29" t="str">
        <v>NA</v>
      </c>
      <c r="Y14" s="29" t="str">
        <v>NA</v>
      </c>
      <c r="Z14" s="29">
        <v>80.268620268620268</v>
      </c>
      <c r="AA14" s="29">
        <v>81.882352941176464</v>
      </c>
      <c r="AB14" s="29">
        <v>70.666666666666657</v>
      </c>
      <c r="AC14" s="29" t="str">
        <v>NA</v>
      </c>
      <c r="AD14" s="29" t="str">
        <v>NA</v>
      </c>
      <c r="AE14" s="29" t="str">
        <v>NA</v>
      </c>
    </row>
    <row r="15" spans="1:31" x14ac:dyDescent="0.3">
      <c r="A15" s="29" t="str">
        <v>2010992017 </v>
      </c>
      <c r="B15" s="29">
        <v>70</v>
      </c>
      <c r="C15" s="29">
        <v>75</v>
      </c>
      <c r="D15" s="29" t="str">
        <v>NA</v>
      </c>
      <c r="E15" s="29" t="str">
        <v>NA</v>
      </c>
      <c r="F15" s="29" t="str">
        <v>NA</v>
      </c>
      <c r="G15" s="29" t="str">
        <v>NA</v>
      </c>
      <c r="H15" s="29" t="str">
        <v>NA</v>
      </c>
      <c r="I15" s="29">
        <v>80</v>
      </c>
      <c r="J15" s="29">
        <v>80</v>
      </c>
      <c r="K15" s="29" t="str">
        <v>NA</v>
      </c>
      <c r="L15" s="29" t="str">
        <v>NA</v>
      </c>
      <c r="M15" s="29" t="str">
        <v>NA</v>
      </c>
      <c r="N15" s="29">
        <v>64.285714285714292</v>
      </c>
      <c r="O15" s="29">
        <v>100</v>
      </c>
      <c r="P15" s="29" t="str">
        <v>NA</v>
      </c>
      <c r="Q15" s="29" t="str">
        <v>NA</v>
      </c>
      <c r="R15" s="29" t="str">
        <v>NA</v>
      </c>
      <c r="S15" s="29" t="str">
        <v>NA</v>
      </c>
      <c r="T15" s="29">
        <v>100</v>
      </c>
      <c r="U15" s="29">
        <v>69.230769230769226</v>
      </c>
      <c r="V15" s="29">
        <v>46.666666666666664</v>
      </c>
      <c r="W15" s="29" t="str">
        <v>NA</v>
      </c>
      <c r="X15" s="29" t="str">
        <v>NA</v>
      </c>
      <c r="Y15" s="29" t="str">
        <v>NA</v>
      </c>
      <c r="Z15" s="29">
        <v>86.857142857142861</v>
      </c>
      <c r="AA15" s="29">
        <v>75.538461538461533</v>
      </c>
      <c r="AB15" s="29">
        <v>60</v>
      </c>
      <c r="AC15" s="29" t="str">
        <v>NA</v>
      </c>
      <c r="AD15" s="29" t="str">
        <v>NA</v>
      </c>
      <c r="AE15" s="29" t="str">
        <v>NA</v>
      </c>
    </row>
    <row r="16" spans="1:31" x14ac:dyDescent="0.3">
      <c r="A16" s="29" t="str">
        <v>2010992018 </v>
      </c>
      <c r="B16" s="29">
        <v>62.222222222222221</v>
      </c>
      <c r="C16" s="29">
        <v>75</v>
      </c>
      <c r="D16" s="29">
        <v>10</v>
      </c>
      <c r="E16" s="29" t="str">
        <v>NA</v>
      </c>
      <c r="F16" s="29" t="str">
        <v>NA</v>
      </c>
      <c r="G16" s="29" t="str">
        <v>NA</v>
      </c>
      <c r="H16" s="29">
        <v>94.117647058823522</v>
      </c>
      <c r="I16" s="29">
        <v>77.777777777777786</v>
      </c>
      <c r="J16" s="29">
        <v>66.666666666666657</v>
      </c>
      <c r="K16" s="29" t="str">
        <v>NA</v>
      </c>
      <c r="L16" s="29" t="str">
        <v>NA</v>
      </c>
      <c r="M16" s="29" t="str">
        <v>NA</v>
      </c>
      <c r="N16" s="29">
        <v>71.428571428571431</v>
      </c>
      <c r="O16" s="29">
        <v>100</v>
      </c>
      <c r="P16" s="29">
        <v>20</v>
      </c>
      <c r="Q16" s="29" t="str">
        <v>NA</v>
      </c>
      <c r="R16" s="29" t="str">
        <v>NA</v>
      </c>
      <c r="S16" s="29" t="str">
        <v>NA</v>
      </c>
      <c r="T16" s="29">
        <v>78.571428571428569</v>
      </c>
      <c r="U16" s="29">
        <v>74.193548387096769</v>
      </c>
      <c r="V16" s="29">
        <v>46.666666666666664</v>
      </c>
      <c r="W16" s="29" t="str">
        <v>NA</v>
      </c>
      <c r="X16" s="29" t="str">
        <v>NA</v>
      </c>
      <c r="Y16" s="29" t="str">
        <v>NA</v>
      </c>
      <c r="Z16" s="29">
        <v>77.511982570806097</v>
      </c>
      <c r="AA16" s="29">
        <v>78.219832735961759</v>
      </c>
      <c r="AB16" s="29">
        <v>40.888888888888886</v>
      </c>
      <c r="AC16" s="29" t="str">
        <v>NA</v>
      </c>
      <c r="AD16" s="29" t="str">
        <v>NA</v>
      </c>
      <c r="AE16" s="29" t="str">
        <v>NA</v>
      </c>
    </row>
    <row r="17" spans="1:31" x14ac:dyDescent="0.3">
      <c r="A17" s="29" t="str">
        <v>2010992163 </v>
      </c>
      <c r="B17" s="29">
        <v>80</v>
      </c>
      <c r="C17" s="29">
        <v>100</v>
      </c>
      <c r="D17" s="29">
        <v>10</v>
      </c>
      <c r="E17" s="29" t="str">
        <v>NA</v>
      </c>
      <c r="F17" s="29" t="str">
        <v>NA</v>
      </c>
      <c r="G17" s="29" t="str">
        <v>NA</v>
      </c>
      <c r="H17" s="29">
        <v>100</v>
      </c>
      <c r="I17" s="29">
        <v>97.777777777777771</v>
      </c>
      <c r="J17" s="29">
        <v>95</v>
      </c>
      <c r="K17" s="29" t="str">
        <v>NA</v>
      </c>
      <c r="L17" s="29" t="str">
        <v>NA</v>
      </c>
      <c r="M17" s="29" t="str">
        <v>NA</v>
      </c>
      <c r="N17" s="29" t="str">
        <v>NA</v>
      </c>
      <c r="O17" s="29" t="str">
        <v>NA</v>
      </c>
      <c r="P17" s="29" t="str">
        <v>NA</v>
      </c>
      <c r="Q17" s="29" t="str">
        <v>NA</v>
      </c>
      <c r="R17" s="29" t="str">
        <v>NA</v>
      </c>
      <c r="S17" s="29" t="str">
        <v>NA</v>
      </c>
      <c r="T17" s="29">
        <v>69.230769230769226</v>
      </c>
      <c r="U17" s="29">
        <v>94.117647058823522</v>
      </c>
      <c r="V17" s="29">
        <v>92</v>
      </c>
      <c r="W17" s="29" t="str">
        <v>NA</v>
      </c>
      <c r="X17" s="29" t="str">
        <v>NA</v>
      </c>
      <c r="Y17" s="29" t="str">
        <v>NA</v>
      </c>
      <c r="Z17" s="29">
        <v>77.538461538461533</v>
      </c>
      <c r="AA17" s="29">
        <v>96.026143790849659</v>
      </c>
      <c r="AB17" s="29">
        <v>76.199999999999989</v>
      </c>
      <c r="AC17" s="29" t="str">
        <v>NA</v>
      </c>
      <c r="AD17" s="29" t="str">
        <v>NA</v>
      </c>
      <c r="AE17" s="29" t="str">
        <v>NA</v>
      </c>
    </row>
    <row r="18" spans="1:31" x14ac:dyDescent="0.3">
      <c r="A18" s="29" t="str">
        <v>2010992202 </v>
      </c>
      <c r="B18" s="29">
        <v>57.499999999999993</v>
      </c>
      <c r="C18" s="29">
        <v>66.666666666666657</v>
      </c>
      <c r="D18" s="29">
        <v>10</v>
      </c>
      <c r="E18" s="29" t="str">
        <v>NA</v>
      </c>
      <c r="F18" s="29" t="str">
        <v>NA</v>
      </c>
      <c r="G18" s="29" t="str">
        <v>NA</v>
      </c>
      <c r="H18" s="29">
        <v>100</v>
      </c>
      <c r="I18" s="29">
        <v>67.857142857142861</v>
      </c>
      <c r="J18" s="29">
        <v>60</v>
      </c>
      <c r="K18" s="29" t="str">
        <v>NA</v>
      </c>
      <c r="L18" s="29" t="str">
        <v>NA</v>
      </c>
      <c r="M18" s="29" t="str">
        <v>NA</v>
      </c>
      <c r="N18" s="29">
        <v>88.888888888888886</v>
      </c>
      <c r="O18" s="29">
        <v>63.636363636363633</v>
      </c>
      <c r="P18" s="29">
        <v>20</v>
      </c>
      <c r="Q18" s="29" t="str">
        <v>NA</v>
      </c>
      <c r="R18" s="29" t="str">
        <v>NA</v>
      </c>
      <c r="S18" s="29" t="str">
        <v>NA</v>
      </c>
      <c r="T18" s="29">
        <v>57.894736842105267</v>
      </c>
      <c r="U18" s="29">
        <v>75</v>
      </c>
      <c r="V18" s="29">
        <v>64</v>
      </c>
      <c r="W18" s="29" t="str">
        <v>NA</v>
      </c>
      <c r="X18" s="29" t="str">
        <v>NA</v>
      </c>
      <c r="Y18" s="29" t="str">
        <v>NA</v>
      </c>
      <c r="Z18" s="29">
        <v>67.588693957115012</v>
      </c>
      <c r="AA18" s="29">
        <v>71.421356421356421</v>
      </c>
      <c r="AB18" s="29">
        <v>50.4</v>
      </c>
      <c r="AC18" s="29" t="str">
        <v>NA</v>
      </c>
      <c r="AD18" s="29" t="str">
        <v>NA</v>
      </c>
      <c r="AE18" s="29" t="str">
        <v>NA</v>
      </c>
    </row>
    <row r="19" spans="1:31" x14ac:dyDescent="0.3">
      <c r="A19" s="29" t="str">
        <v>2010992203 </v>
      </c>
      <c r="B19" s="29">
        <v>80</v>
      </c>
      <c r="C19" s="29">
        <v>85</v>
      </c>
      <c r="D19" s="29" t="str">
        <v>NA</v>
      </c>
      <c r="E19" s="29" t="str">
        <v>NA</v>
      </c>
      <c r="F19" s="29" t="str">
        <v>NA</v>
      </c>
      <c r="G19" s="29" t="str">
        <v>NA</v>
      </c>
      <c r="H19" s="29">
        <v>100</v>
      </c>
      <c r="I19" s="29">
        <v>78.571428571428569</v>
      </c>
      <c r="J19" s="29">
        <v>90</v>
      </c>
      <c r="K19" s="29" t="str">
        <v>NA</v>
      </c>
      <c r="L19" s="29" t="str">
        <v>NA</v>
      </c>
      <c r="M19" s="29" t="str">
        <v>NA</v>
      </c>
      <c r="N19" s="29">
        <v>77.777777777777786</v>
      </c>
      <c r="O19" s="29">
        <v>100</v>
      </c>
      <c r="P19" s="29">
        <v>42.857142857142854</v>
      </c>
      <c r="Q19" s="29" t="str">
        <v>NA</v>
      </c>
      <c r="R19" s="29" t="str">
        <v>NA</v>
      </c>
      <c r="S19" s="29" t="str">
        <v>NA</v>
      </c>
      <c r="T19" s="29">
        <v>66.666666666666657</v>
      </c>
      <c r="U19" s="29">
        <v>84.615384615384613</v>
      </c>
      <c r="V19" s="29">
        <v>100</v>
      </c>
      <c r="W19" s="29" t="str">
        <v>NA</v>
      </c>
      <c r="X19" s="29" t="str">
        <v>NA</v>
      </c>
      <c r="Y19" s="29" t="str">
        <v>NA</v>
      </c>
      <c r="Z19" s="29">
        <v>74.370370370370367</v>
      </c>
      <c r="AA19" s="29">
        <v>85.912087912087912</v>
      </c>
      <c r="AB19" s="29">
        <v>86.571428571428569</v>
      </c>
      <c r="AC19" s="29" t="str">
        <v>NA</v>
      </c>
      <c r="AD19" s="29" t="str">
        <v>NA</v>
      </c>
      <c r="AE19" s="29" t="str">
        <v>NA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DC0BD-B91E-4682-B65E-4CBAB8D75C86}">
  <sheetPr codeName="Sheet46"/>
  <dimension ref="A1:E19"/>
  <sheetViews>
    <sheetView workbookViewId="0">
      <selection activeCell="G9" sqref="G9"/>
    </sheetView>
  </sheetViews>
  <sheetFormatPr defaultRowHeight="14.4" x14ac:dyDescent="0.3"/>
  <cols>
    <col min="1" max="1" width="21.77734375" bestFit="1" customWidth="1"/>
  </cols>
  <sheetData>
    <row r="1" spans="1:5" x14ac:dyDescent="0.3">
      <c r="A1" s="95" t="str" cm="1">
        <f t="array" ref="A1:A19">'ETE Result'!$B$1:INDEX('ETE Result'!$B:$B,COUNTA('ETE Result'!$B:$B))</f>
        <v>Admission No. (Roll No.)</v>
      </c>
      <c r="B1" t="s">
        <v>48</v>
      </c>
      <c r="C1" t="s">
        <v>85</v>
      </c>
      <c r="D1" t="s">
        <v>86</v>
      </c>
      <c r="E1" t="s">
        <v>87</v>
      </c>
    </row>
    <row r="2" spans="1:5" x14ac:dyDescent="0.3">
      <c r="A2" t="str">
        <v>2010990089 </v>
      </c>
      <c r="B2" s="29" cm="1">
        <f t="array" ref="B2:B19">'ST1 Result'!$AJ$2:INDEX('ST1 Result'!$AJ:$AJ,COUNTA('ST1 Result'!$AJ:$AJ))</f>
        <v>39</v>
      </c>
      <c r="C2" s="29" cm="1">
        <f t="array" ref="C2:C19">'ST2 Result'!$AJ$2:INDEX('ST2 Result'!$AJ:$AJ,COUNTA('ST3 Result'!$AJ:$AJ))</f>
        <v>21</v>
      </c>
      <c r="D2" s="29" cm="1">
        <f t="array" ref="D2:D19">'ST3 Result'!$AJ$2:INDEX('ST3 Result'!$AJ:$AJ,COUNTA('ST3 Result'!$AJ:$AJ))</f>
        <v>39</v>
      </c>
      <c r="E2" s="29" cm="1">
        <f t="array" ref="E2:E19">'ETE Result'!$AJ$2:INDEX('ETE Result'!$AJ:$AJ,COUNTA('ETE Result'!$AJ:$AJ))</f>
        <v>33</v>
      </c>
    </row>
    <row r="3" spans="1:5" x14ac:dyDescent="0.3">
      <c r="A3" t="str">
        <v>2010992002 </v>
      </c>
      <c r="B3">
        <v>48</v>
      </c>
      <c r="C3">
        <v>47</v>
      </c>
      <c r="D3">
        <v>35</v>
      </c>
      <c r="E3">
        <v>55</v>
      </c>
    </row>
    <row r="4" spans="1:5" x14ac:dyDescent="0.3">
      <c r="A4" t="str">
        <v>2010992004 </v>
      </c>
      <c r="B4">
        <v>32</v>
      </c>
      <c r="C4">
        <v>6</v>
      </c>
      <c r="D4">
        <v>17</v>
      </c>
      <c r="E4">
        <v>24</v>
      </c>
    </row>
    <row r="5" spans="1:5" x14ac:dyDescent="0.3">
      <c r="A5" t="str">
        <v>2010992005 </v>
      </c>
      <c r="B5">
        <v>27</v>
      </c>
      <c r="C5">
        <v>8</v>
      </c>
      <c r="D5">
        <v>9</v>
      </c>
      <c r="E5">
        <v>6</v>
      </c>
    </row>
    <row r="6" spans="1:5" x14ac:dyDescent="0.3">
      <c r="A6" t="str">
        <v>2010992006 </v>
      </c>
      <c r="B6">
        <v>31</v>
      </c>
      <c r="C6">
        <v>0</v>
      </c>
      <c r="D6">
        <v>9</v>
      </c>
      <c r="E6">
        <v>28</v>
      </c>
    </row>
    <row r="7" spans="1:5" x14ac:dyDescent="0.3">
      <c r="A7" t="str">
        <v>2010992008 </v>
      </c>
      <c r="B7">
        <v>26</v>
      </c>
      <c r="C7">
        <v>0</v>
      </c>
      <c r="D7">
        <v>13</v>
      </c>
      <c r="E7">
        <v>25</v>
      </c>
    </row>
    <row r="8" spans="1:5" x14ac:dyDescent="0.3">
      <c r="A8" t="str">
        <v>2010992009 </v>
      </c>
      <c r="B8">
        <v>42</v>
      </c>
      <c r="C8">
        <v>43</v>
      </c>
      <c r="D8">
        <v>43</v>
      </c>
      <c r="E8">
        <v>57</v>
      </c>
    </row>
    <row r="9" spans="1:5" x14ac:dyDescent="0.3">
      <c r="A9" t="str">
        <v>2010992010 </v>
      </c>
      <c r="B9">
        <v>36</v>
      </c>
      <c r="C9">
        <v>0</v>
      </c>
      <c r="D9">
        <v>11</v>
      </c>
      <c r="E9">
        <v>24</v>
      </c>
    </row>
    <row r="10" spans="1:5" x14ac:dyDescent="0.3">
      <c r="A10" t="str">
        <v>2010992011 </v>
      </c>
      <c r="B10">
        <v>29</v>
      </c>
      <c r="C10">
        <v>6</v>
      </c>
      <c r="D10">
        <v>15</v>
      </c>
      <c r="E10">
        <v>38</v>
      </c>
    </row>
    <row r="11" spans="1:5" x14ac:dyDescent="0.3">
      <c r="A11" t="str">
        <v>2010992012 </v>
      </c>
      <c r="B11">
        <v>42</v>
      </c>
      <c r="C11">
        <v>25</v>
      </c>
      <c r="D11">
        <v>10</v>
      </c>
      <c r="E11">
        <v>33</v>
      </c>
    </row>
    <row r="12" spans="1:5" x14ac:dyDescent="0.3">
      <c r="A12" t="str">
        <v>2010992014 </v>
      </c>
      <c r="B12">
        <v>36</v>
      </c>
      <c r="C12">
        <v>7</v>
      </c>
      <c r="D12">
        <v>7</v>
      </c>
      <c r="E12">
        <v>13</v>
      </c>
    </row>
    <row r="13" spans="1:5" x14ac:dyDescent="0.3">
      <c r="A13" t="str">
        <v>2010992015 </v>
      </c>
      <c r="B13">
        <v>21</v>
      </c>
      <c r="C13">
        <v>10</v>
      </c>
      <c r="D13">
        <v>19</v>
      </c>
      <c r="E13">
        <v>27</v>
      </c>
    </row>
    <row r="14" spans="1:5" x14ac:dyDescent="0.3">
      <c r="A14" t="str">
        <v>2010992016 </v>
      </c>
      <c r="B14">
        <v>38</v>
      </c>
      <c r="C14">
        <v>36</v>
      </c>
      <c r="D14">
        <v>35</v>
      </c>
      <c r="E14">
        <v>42</v>
      </c>
    </row>
    <row r="15" spans="1:5" x14ac:dyDescent="0.3">
      <c r="A15" t="str">
        <v>2010992017 </v>
      </c>
      <c r="B15">
        <v>27</v>
      </c>
      <c r="C15">
        <v>8</v>
      </c>
      <c r="D15">
        <v>11</v>
      </c>
      <c r="E15">
        <v>25</v>
      </c>
    </row>
    <row r="16" spans="1:5" x14ac:dyDescent="0.3">
      <c r="A16" t="str">
        <v>2010992018 </v>
      </c>
      <c r="B16">
        <v>33</v>
      </c>
      <c r="C16">
        <v>35</v>
      </c>
      <c r="D16">
        <v>22</v>
      </c>
      <c r="E16">
        <v>32</v>
      </c>
    </row>
    <row r="17" spans="1:5" x14ac:dyDescent="0.3">
      <c r="A17" t="str">
        <v>2010992163 </v>
      </c>
      <c r="B17">
        <v>41</v>
      </c>
      <c r="C17">
        <v>44</v>
      </c>
      <c r="D17">
        <v>0</v>
      </c>
      <c r="E17">
        <v>48</v>
      </c>
    </row>
    <row r="18" spans="1:5" x14ac:dyDescent="0.3">
      <c r="A18" t="str">
        <v>2010992202 </v>
      </c>
      <c r="B18">
        <v>23</v>
      </c>
      <c r="C18">
        <v>19</v>
      </c>
      <c r="D18">
        <v>16</v>
      </c>
      <c r="E18">
        <v>41</v>
      </c>
    </row>
    <row r="19" spans="1:5" x14ac:dyDescent="0.3">
      <c r="A19" t="str">
        <v>2010992203 </v>
      </c>
      <c r="B19">
        <v>34</v>
      </c>
      <c r="C19">
        <v>22</v>
      </c>
      <c r="D19">
        <v>12</v>
      </c>
      <c r="E19">
        <v>36</v>
      </c>
    </row>
  </sheetData>
  <phoneticPr fontId="12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F265-C1DA-4225-837E-AE0A64E5FFAD}">
  <sheetPr codeName="Sheet47"/>
  <dimension ref="A1:F19"/>
  <sheetViews>
    <sheetView workbookViewId="0">
      <selection activeCell="H9" sqref="H9"/>
    </sheetView>
  </sheetViews>
  <sheetFormatPr defaultRowHeight="14.4" x14ac:dyDescent="0.3"/>
  <cols>
    <col min="1" max="1" width="21.77734375" bestFit="1" customWidth="1"/>
    <col min="3" max="3" width="8.88671875" customWidth="1"/>
  </cols>
  <sheetData>
    <row r="1" spans="1:6" x14ac:dyDescent="0.3">
      <c r="A1" s="95" t="str" cm="1">
        <f t="array" ref="A1:A19">'ETE Result'!$B$1:INDEX('ETE Result'!$B:$B,COUNTA('ETE Result'!$B:$B))</f>
        <v>Admission No. (Roll No.)</v>
      </c>
      <c r="B1" t="s">
        <v>115</v>
      </c>
      <c r="C1" t="s">
        <v>116</v>
      </c>
      <c r="D1" t="s">
        <v>87</v>
      </c>
    </row>
    <row r="2" spans="1:6" x14ac:dyDescent="0.3">
      <c r="A2" t="str">
        <v>2010990089 </v>
      </c>
      <c r="B2" t="str" cm="1">
        <f t="array" ref="B2:B19">_xlfn.BYROW($A$2:INDEX($A:$A, COUNTA($A:$A)), _xlfn.LAMBDA(_xlpm.student,
  _xlfn.XLOOKUP(
    LARGE(
      _xlfn.XLOOKUP(_xlpm.student, 'Student Exam Marks '!$A$2:$A$74, 'Student Exam Marks '!$B$2:$D$74),
      1
    ),
    _xlfn.XLOOKUP(_xlpm.student, 'Student Exam Marks '!$A$2:$A$74, 'Student Exam Marks '!$B$2:$D$74),
    'Student Exam Marks '!$B$1:$D$1
  )
))</f>
        <v>ST1</v>
      </c>
      <c r="C2" t="str" cm="1">
        <f t="array" ref="C2:C19">_xlfn.BYROW($A$2:INDEX($A:$A, COUNTA($A:$A)), _xlfn.LAMBDA(_xlpm.student,
  _xlfn.LET(
    _xlpm.studentList, 'Student Exam Marks '!$A$2:INDEX('Student Exam Marks '!$A:$A, COUNTA('Student Exam Marks '!$A:$A) + 1),
    _xlpm.markRange, 'Student Exam Marks '!$B$2:INDEX('Student Exam Marks '!$D:$D, COUNTA('Student Exam Marks '!$A:$A) + 1),
    _xlpm.marks, _xlfn.XLOOKUP(_xlpm.student, _xlpm.studentList, _xlpm.markRange),
    _xlpm.subjects, 'Student Exam Marks '!$B$1:$D$1,
    _xlpm.topScore, MAX(_xlpm.marks),
    _xlpm.topSubjects, _xlfn._xlws.FILTER(_xlpm.subjects, _xlpm.marks = _xlpm.topScore),
    _xlpm.secondHighestSubject,
      _xlfn.XLOOKUP(
        LARGE(_xlpm.marks, 2),
        _xlpm.marks,
        _xlpm.subjects
      ),
    IF(
      COUNTA(_xlpm.topSubjects) &gt;= 2,
      INDEX(_xlpm.topSubjects, 2),
      _xlpm.secondHighestSubject
    )
  )
))</f>
        <v>ST3</v>
      </c>
      <c r="D2" t="str" cm="1">
        <f t="array" ref="D2:D19">_xlfn.BYROW($A$2:INDEX($A:$A,COUNTA($A:$A)),_xlfn.LAMBDA(_xlpm.row,"ETE"))</f>
        <v>ETE</v>
      </c>
      <c r="E2" t="e" cm="1">
        <f t="array" ref="E2:E19">_xlfn.BYROW($A$2:INDEX($A:$A, COUNTA($A:$A)), _xlfn.LAMBDA(_xlpm.student,
  _xlfn.LET(
    _xlpm.marks, _xlfn.XLOOKUP(_xlpm.student, 'Student Exam Marks '!$A$2:INDEX($A:$A, COUNTA($A:$A)), 'Student Exam Marks '!$B$2:INDEX($D:$D, COUNTA($D:$D))),
    _xlpm.subjects, 'Student Exam Marks '!$B$1:$D$1,
    _xlpm.topScore, MAX(_xlpm.marks),
    _xlpm.topSubjects, _xlfn._xlws.FILTER(_xlpm.subjects, _xlpm.marks = _xlpm.topScore),
    _xlpm.secondHighestSubject,
      _xlfn.XLOOKUP(
        LARGE(_xlpm.marks, 2),
        _xlpm.marks,
        _xlpm.subjects
      ),
    IF(
      COUNTA(_xlpm.topSubjects) &gt;= 2,
      INDEX(_xlpm.topSubjects, 2),
      _xlpm.secondHighestSubject
    )
  )
))</f>
        <v>#VALUE!</v>
      </c>
      <c r="F2" t="str" cm="1">
        <f t="array" ref="F2:F19">_xlfn.BYROW($A$2:INDEX($A:$A,COUNTA($A:$A)),_xlfn.LAMBDA(_xlpm.student,IFERROR(IF(_xlfn.TEXTJOIN(",",TRUE,_xlfn._xlws.FILTER('Student Exam Marks '!$B$1:$D$1,(_xlfn.XLOOKUP(_xlpm.student,'Student Exam Marks '!$A$2:$A$74,'Student Exam Marks '!$B$2:$D$74)=LARGE(_xlfn.XLOOKUP(_xlpm.student,'Student Exam Marks '!$A$2:$A$74,'Student Exam Marks '!$B$2:$D$74),1))*('Student Exam Marks '!$B$1:$D$1&lt;&gt;INDEX(B:B,ROW()+1))))="","",_xlfn.TEXTJOIN(",",TRUE,_xlfn._xlws.FILTER('Student Exam Marks '!$B$1:$D$1,(_xlfn.XLOOKUP(_xlpm.student,'Student Exam Marks '!$A$2:$A$74,'Student Exam Marks '!$B$2:$D$74)=LARGE(_xlfn.XLOOKUP(_xlpm.student,'Student Exam Marks '!$A$2:$A$74,'Student Exam Marks '!$B$2:$D$74),1))*('Student Exam Marks '!$B$1:$D$1&lt;&gt;INDEX(B:B,ROW()+1))))),IF(_xlfn.XLOOKUP(LARGE(_xlfn.XLOOKUP(_xlpm.student,'Student Exam Marks '!$A$2:$A$74,'Student Exam Marks '!$B$2:$D$74),2),_xlfn.XLOOKUP(_xlpm.student,'Student Exam Marks '!$A$2:$A$74,'Student Exam Marks '!$B$2:$D$74),'Student Exam Marks '!$B$1:$D$1)=INDEX(B:B,ROW()+1),_xlfn.XLOOKUP(LARGE(_xlfn.XLOOKUP(_xlpm.student,'Student Exam Marks '!$A$2:$A$74,'Student Exam Marks '!$B$2:$D$74),3),_xlfn.XLOOKUP(_xlpm.student,'Student Exam Marks '!$A$2:$A$74,'Student Exam Marks '!$B$2:$D$74),'Student Exam Marks '!$B$1:$D$1),_xlfn.XLOOKUP(LARGE(_xlfn.XLOOKUP(_xlpm.student,'Student Exam Marks '!$A$2:$A$74,'Student Exam Marks '!$B$2:$D$74),2),_xlfn.XLOOKUP(_xlpm.student,'Student Exam Marks '!$A$2:$A$74,'Student Exam Marks '!$B$2:$D$74),'Student Exam Marks '!$B$1:$D$1)))))</f>
        <v>ST3</v>
      </c>
    </row>
    <row r="3" spans="1:6" x14ac:dyDescent="0.3">
      <c r="A3" t="str">
        <v>2010992002 </v>
      </c>
      <c r="B3" t="str">
        <v>ST1</v>
      </c>
      <c r="C3" t="str">
        <v>ST2</v>
      </c>
      <c r="D3" t="str">
        <v>ETE</v>
      </c>
      <c r="E3" t="e">
        <v>#VALUE!</v>
      </c>
      <c r="F3" t="str">
        <v>ST2</v>
      </c>
    </row>
    <row r="4" spans="1:6" x14ac:dyDescent="0.3">
      <c r="A4" t="str">
        <v>2010992004 </v>
      </c>
      <c r="B4" t="str">
        <v>ST1</v>
      </c>
      <c r="C4" t="str">
        <v>ST3</v>
      </c>
      <c r="D4" t="str">
        <v>ETE</v>
      </c>
      <c r="E4" t="e">
        <v>#VALUE!</v>
      </c>
      <c r="F4" t="str">
        <v>ST3</v>
      </c>
    </row>
    <row r="5" spans="1:6" x14ac:dyDescent="0.3">
      <c r="A5" t="str">
        <v>2010992005 </v>
      </c>
      <c r="B5" t="str">
        <v>ST1</v>
      </c>
      <c r="C5" t="str">
        <v>ST3</v>
      </c>
      <c r="D5" t="str">
        <v>ETE</v>
      </c>
      <c r="E5" t="e">
        <v>#VALUE!</v>
      </c>
      <c r="F5" t="str">
        <v>ST3</v>
      </c>
    </row>
    <row r="6" spans="1:6" x14ac:dyDescent="0.3">
      <c r="A6" t="str">
        <v>2010992006 </v>
      </c>
      <c r="B6" t="str">
        <v>ST1</v>
      </c>
      <c r="C6" t="str">
        <v>ST3</v>
      </c>
      <c r="D6" t="str">
        <v>ETE</v>
      </c>
      <c r="E6" t="e">
        <v>#VALUE!</v>
      </c>
      <c r="F6" t="str">
        <v>ST3</v>
      </c>
    </row>
    <row r="7" spans="1:6" x14ac:dyDescent="0.3">
      <c r="A7" t="str">
        <v>2010992008 </v>
      </c>
      <c r="B7" t="str">
        <v>ST1</v>
      </c>
      <c r="C7" t="str">
        <v>ST3</v>
      </c>
      <c r="D7" t="str">
        <v>ETE</v>
      </c>
      <c r="E7" t="e">
        <v>#VALUE!</v>
      </c>
      <c r="F7" t="str">
        <v>ST3</v>
      </c>
    </row>
    <row r="8" spans="1:6" x14ac:dyDescent="0.3">
      <c r="A8" t="str">
        <v>2010992009 </v>
      </c>
      <c r="B8" t="str">
        <v>ST2</v>
      </c>
      <c r="C8" t="str">
        <v>ST3</v>
      </c>
      <c r="D8" t="str">
        <v>ETE</v>
      </c>
      <c r="E8" t="e">
        <v>#VALUE!</v>
      </c>
      <c r="F8" t="str">
        <v>ST2,ST3</v>
      </c>
    </row>
    <row r="9" spans="1:6" x14ac:dyDescent="0.3">
      <c r="A9" t="str">
        <v>2010992010 </v>
      </c>
      <c r="B9" t="str">
        <v>ST1</v>
      </c>
      <c r="C9" t="str">
        <v>ST3</v>
      </c>
      <c r="D9" t="str">
        <v>ETE</v>
      </c>
      <c r="E9" t="e">
        <v>#VALUE!</v>
      </c>
      <c r="F9" t="str">
        <v>ST3</v>
      </c>
    </row>
    <row r="10" spans="1:6" x14ac:dyDescent="0.3">
      <c r="A10" t="str">
        <v>2010992011 </v>
      </c>
      <c r="B10" t="str">
        <v>ST1</v>
      </c>
      <c r="C10" t="str">
        <v>ST3</v>
      </c>
      <c r="D10" t="str">
        <v>ETE</v>
      </c>
      <c r="E10" t="e">
        <v>#VALUE!</v>
      </c>
      <c r="F10" t="str">
        <v>ST3</v>
      </c>
    </row>
    <row r="11" spans="1:6" x14ac:dyDescent="0.3">
      <c r="A11" t="str">
        <v>2010992012 </v>
      </c>
      <c r="B11" t="str">
        <v>ST1</v>
      </c>
      <c r="C11" t="str">
        <v>ST2</v>
      </c>
      <c r="D11" t="str">
        <v>ETE</v>
      </c>
      <c r="E11" t="e">
        <v>#VALUE!</v>
      </c>
      <c r="F11" t="str">
        <v>ST2</v>
      </c>
    </row>
    <row r="12" spans="1:6" x14ac:dyDescent="0.3">
      <c r="A12" t="str">
        <v>2010992014 </v>
      </c>
      <c r="B12" t="str">
        <v>ST1</v>
      </c>
      <c r="C12" t="str">
        <v>ST2</v>
      </c>
      <c r="D12" t="str">
        <v>ETE</v>
      </c>
      <c r="E12" t="e">
        <v>#VALUE!</v>
      </c>
      <c r="F12" t="str">
        <v>ST2</v>
      </c>
    </row>
    <row r="13" spans="1:6" x14ac:dyDescent="0.3">
      <c r="A13" t="str">
        <v>2010992015 </v>
      </c>
      <c r="B13" t="str">
        <v>ST1</v>
      </c>
      <c r="C13" t="str">
        <v>ST3</v>
      </c>
      <c r="D13" t="str">
        <v>ETE</v>
      </c>
      <c r="E13" t="e">
        <v>#VALUE!</v>
      </c>
      <c r="F13" t="str">
        <v>ST3</v>
      </c>
    </row>
    <row r="14" spans="1:6" x14ac:dyDescent="0.3">
      <c r="A14" t="str">
        <v>2010992016 </v>
      </c>
      <c r="B14" t="str">
        <v>ST1</v>
      </c>
      <c r="C14" t="str">
        <v>ST2</v>
      </c>
      <c r="D14" t="str">
        <v>ETE</v>
      </c>
      <c r="E14" t="e">
        <v>#VALUE!</v>
      </c>
      <c r="F14" t="str">
        <v>ST2</v>
      </c>
    </row>
    <row r="15" spans="1:6" x14ac:dyDescent="0.3">
      <c r="A15" t="str">
        <v>2010992017 </v>
      </c>
      <c r="B15" t="str">
        <v>ST1</v>
      </c>
      <c r="C15" t="str">
        <v>ST3</v>
      </c>
      <c r="D15" t="str">
        <v>ETE</v>
      </c>
      <c r="E15" t="e">
        <v>#VALUE!</v>
      </c>
      <c r="F15" t="str">
        <v>ST3</v>
      </c>
    </row>
    <row r="16" spans="1:6" x14ac:dyDescent="0.3">
      <c r="A16" t="str">
        <v>2010992018 </v>
      </c>
      <c r="B16" t="str">
        <v>ST2</v>
      </c>
      <c r="C16" t="str">
        <v>ST1</v>
      </c>
      <c r="D16" t="str">
        <v>ETE</v>
      </c>
      <c r="E16" t="e">
        <v>#VALUE!</v>
      </c>
      <c r="F16" t="str">
        <v>ST2</v>
      </c>
    </row>
    <row r="17" spans="1:6" x14ac:dyDescent="0.3">
      <c r="A17" t="str">
        <v>2010992163 </v>
      </c>
      <c r="B17" t="str">
        <v>ST2</v>
      </c>
      <c r="C17" t="str">
        <v>ST1</v>
      </c>
      <c r="D17" t="str">
        <v>ETE</v>
      </c>
      <c r="E17" t="e">
        <v>#VALUE!</v>
      </c>
      <c r="F17" t="str">
        <v>ST2</v>
      </c>
    </row>
    <row r="18" spans="1:6" x14ac:dyDescent="0.3">
      <c r="A18" t="str">
        <v>2010992202 </v>
      </c>
      <c r="B18" t="str">
        <v>ST1</v>
      </c>
      <c r="C18" t="str">
        <v>ST2</v>
      </c>
      <c r="D18" t="str">
        <v>ETE</v>
      </c>
      <c r="E18" t="e">
        <v>#VALUE!</v>
      </c>
      <c r="F18" t="str">
        <v>ST2</v>
      </c>
    </row>
    <row r="19" spans="1:6" x14ac:dyDescent="0.3">
      <c r="A19" t="str">
        <v>2010992203 </v>
      </c>
      <c r="B19" t="str">
        <v>ST1</v>
      </c>
      <c r="C19" t="str">
        <v>ST2</v>
      </c>
      <c r="D19" t="str">
        <v>ETE</v>
      </c>
      <c r="E19" t="e">
        <v>#VALUE!</v>
      </c>
      <c r="F19" t="str">
        <v>ST2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6AE2-59C3-4B2E-8BD7-4690B17F0469}">
  <sheetPr codeName="Sheet48"/>
  <dimension ref="A1:Z20"/>
  <sheetViews>
    <sheetView workbookViewId="0">
      <selection activeCell="B3" sqref="B3"/>
    </sheetView>
  </sheetViews>
  <sheetFormatPr defaultRowHeight="14.4" x14ac:dyDescent="0.3"/>
  <cols>
    <col min="1" max="1" width="21.77734375" style="19" bestFit="1" customWidth="1"/>
    <col min="2" max="2" width="12" style="27" bestFit="1" customWidth="1"/>
    <col min="3" max="4" width="8.88671875" style="29"/>
    <col min="5" max="5" width="8.88671875" style="98"/>
    <col min="6" max="6" width="8.88671875" style="27"/>
    <col min="7" max="8" width="8.88671875" style="29"/>
    <col min="9" max="9" width="8.88671875" style="98"/>
    <col min="10" max="10" width="8.88671875" style="27"/>
    <col min="11" max="12" width="8.88671875" style="29"/>
    <col min="13" max="13" width="8.88671875" style="98"/>
    <col min="14" max="14" width="8.88671875" style="27"/>
    <col min="15" max="16" width="8.88671875" style="29"/>
    <col min="17" max="17" width="8.88671875" style="98"/>
    <col min="18" max="18" width="8.88671875" style="27"/>
    <col min="19" max="19" width="8.88671875" style="29" customWidth="1"/>
    <col min="20" max="20" width="8.88671875" style="29"/>
    <col min="21" max="21" width="8.88671875" style="98"/>
    <col min="22" max="22" width="8.88671875" style="27"/>
    <col min="23" max="24" width="8.88671875" style="29"/>
    <col min="25" max="25" width="8.88671875" style="30"/>
    <col min="26" max="26" width="8.88671875" style="97"/>
    <col min="27" max="16384" width="8.88671875" style="29"/>
  </cols>
  <sheetData>
    <row r="1" spans="1:25" ht="15" thickBot="1" x14ac:dyDescent="0.35">
      <c r="A1" s="20" t="s">
        <v>88</v>
      </c>
      <c r="B1" s="22" t="s">
        <v>22</v>
      </c>
      <c r="C1" s="23" t="s">
        <v>22</v>
      </c>
      <c r="D1" s="23" t="s">
        <v>22</v>
      </c>
      <c r="E1" s="61" t="s">
        <v>22</v>
      </c>
      <c r="F1" s="22" t="s">
        <v>23</v>
      </c>
      <c r="G1" s="23" t="s">
        <v>23</v>
      </c>
      <c r="H1" s="23" t="s">
        <v>23</v>
      </c>
      <c r="I1" s="61" t="s">
        <v>23</v>
      </c>
      <c r="J1" s="22" t="s">
        <v>24</v>
      </c>
      <c r="K1" s="23" t="s">
        <v>24</v>
      </c>
      <c r="L1" s="23" t="s">
        <v>24</v>
      </c>
      <c r="M1" s="61" t="s">
        <v>24</v>
      </c>
      <c r="N1" s="22" t="s">
        <v>25</v>
      </c>
      <c r="O1" s="23" t="s">
        <v>25</v>
      </c>
      <c r="P1" s="23" t="s">
        <v>25</v>
      </c>
      <c r="Q1" s="61" t="s">
        <v>25</v>
      </c>
      <c r="R1" s="22" t="s">
        <v>26</v>
      </c>
      <c r="S1" s="23" t="s">
        <v>26</v>
      </c>
      <c r="T1" s="23" t="s">
        <v>26</v>
      </c>
      <c r="U1" s="61" t="s">
        <v>26</v>
      </c>
      <c r="V1" s="22" t="s">
        <v>27</v>
      </c>
      <c r="W1" s="23" t="s">
        <v>27</v>
      </c>
      <c r="X1" s="23" t="s">
        <v>27</v>
      </c>
      <c r="Y1" s="25" t="s">
        <v>27</v>
      </c>
    </row>
    <row r="2" spans="1:25" ht="15" thickBot="1" x14ac:dyDescent="0.35">
      <c r="A2" s="99" t="str" cm="1">
        <f t="array" ref="A2:A20">'ETE Result'!$B$1:INDEX('ETE Result'!$B:$B,COUNTA('ETE Result'!$B:$B))</f>
        <v>Admission No. (Roll No.)</v>
      </c>
      <c r="B2" s="100" t="s">
        <v>48</v>
      </c>
      <c r="C2" s="101" t="s">
        <v>85</v>
      </c>
      <c r="D2" s="101" t="s">
        <v>86</v>
      </c>
      <c r="E2" s="94" t="s">
        <v>87</v>
      </c>
      <c r="F2" s="100" t="s">
        <v>48</v>
      </c>
      <c r="G2" s="101" t="s">
        <v>85</v>
      </c>
      <c r="H2" s="101" t="s">
        <v>86</v>
      </c>
      <c r="I2" s="94" t="s">
        <v>87</v>
      </c>
      <c r="J2" s="100" t="s">
        <v>48</v>
      </c>
      <c r="K2" s="101" t="s">
        <v>85</v>
      </c>
      <c r="L2" s="101" t="s">
        <v>86</v>
      </c>
      <c r="M2" s="94" t="s">
        <v>87</v>
      </c>
      <c r="N2" s="100" t="s">
        <v>48</v>
      </c>
      <c r="O2" s="101" t="s">
        <v>85</v>
      </c>
      <c r="P2" s="101" t="s">
        <v>86</v>
      </c>
      <c r="Q2" s="94" t="s">
        <v>87</v>
      </c>
      <c r="R2" s="100" t="s">
        <v>48</v>
      </c>
      <c r="S2" s="101" t="s">
        <v>85</v>
      </c>
      <c r="T2" s="101" t="s">
        <v>86</v>
      </c>
      <c r="U2" s="94" t="s">
        <v>87</v>
      </c>
      <c r="V2" s="100" t="s">
        <v>48</v>
      </c>
      <c r="W2" s="101" t="s">
        <v>85</v>
      </c>
      <c r="X2" s="101" t="s">
        <v>86</v>
      </c>
      <c r="Y2" s="102" t="s">
        <v>87</v>
      </c>
    </row>
    <row r="3" spans="1:25" x14ac:dyDescent="0.3">
      <c r="A3" s="21" t="str">
        <v>2010990089 </v>
      </c>
      <c r="B3" s="26" cm="1">
        <f t="array" ref="B3:B20">'ST1 Student Attainment percent'!B$2:INDEX('ST1 Student Attainment percent'!B:B,COUNTA('ST1 Student Attainment percent'!B:B))</f>
        <v>60</v>
      </c>
      <c r="C3" s="28" cm="1">
        <f t="array" ref="C3:C20">'ST2 Student Attainment percent'!B2:INDEX('ST2 Student Attainment percent'!B:B,COUNTA('ST2 Student Attainment percent'!B:B))</f>
        <v>100</v>
      </c>
      <c r="D3" s="28" cm="1">
        <f t="array" ref="D3:D20">'ST3 Student Attainment percent'!B$2:INDEX('ST3 Student Attainment percent'!B:B,COUNTA('ST3 Student Attainment percent'!B:B))</f>
        <v>100</v>
      </c>
      <c r="E3" s="93" cm="1">
        <f t="array" ref="E3:E20">'ETE Student Attainment percent'!B$2:INDEX('ETE Student Attainment percent'!B:B,COUNTA('ETE Student Attainment percent'!B:B))</f>
        <v>100</v>
      </c>
      <c r="F3" s="26" cm="1">
        <f t="array" ref="F3:F20">'ST1 Student Attainment percent'!C$2:INDEX('ST1 Student Attainment percent'!C:C,COUNTA('ST1 Student Attainment percent'!C:C))</f>
        <v>88</v>
      </c>
      <c r="G3" s="28" cm="1">
        <f t="array" ref="G3:G20">'ST2 Student Attainment percent'!C$2:INDEX('ST2 Student Attainment percent'!C:C,COUNTA('ST2 Student Attainment percent'!C:C))</f>
        <v>75</v>
      </c>
      <c r="H3" s="28" t="str" cm="1">
        <f t="array" ref="H3:H20">'ST3 Student Attainment percent'!C$2:INDEX('ST3 Student Attainment percent'!C:C,COUNTA('ST3 Student Attainment percent'!C:C))</f>
        <v>NA</v>
      </c>
      <c r="I3" s="93" cm="1">
        <f t="array" ref="I3:I20">'ETE Student Attainment percent'!C$2:INDEX('ETE Student Attainment percent'!C:C,COUNTA('ETE Student Attainment percent'!C:C))</f>
        <v>72.222222222222214</v>
      </c>
      <c r="J3" s="26" cm="1">
        <f t="array" ref="J3:J20">'ST1 Student Attainment percent'!D$2:INDEX('ST1 Student Attainment percent'!D:D,COUNTA('ST1 Student Attainment percent'!D:D))</f>
        <v>10</v>
      </c>
      <c r="K3" s="28" cm="1">
        <f t="array" ref="K3:K20">'ST2 Student Attainment percent'!D$2:INDEX('ST2 Student Attainment percent'!D:D,COUNTA('ST2 Student Attainment percent'!D:D))</f>
        <v>80</v>
      </c>
      <c r="L3" s="28" cm="1">
        <f t="array" ref="L3:L20">'ST3 Student Attainment percent'!D$2:INDEX('ST3 Student Attainment percent'!D:D,COUNTA('ST3 Student Attainment percent'!D:D))</f>
        <v>20</v>
      </c>
      <c r="M3" s="93" cm="1">
        <f t="array" ref="M3:M20">'ETE Student Attainment percent'!D$2:INDEX('ETE Student Attainment percent'!D:D,COUNTA('ETE Student Attainment percent'!D:D))</f>
        <v>68</v>
      </c>
      <c r="N3" s="26" t="str" cm="1">
        <f t="array" ref="N3:N20">'ST1 Student Attainment percent'!E$2:INDEX('ST1 Student Attainment percent'!E:E,COUNTA('ST1 Student Attainment percent'!E:E))</f>
        <v>NA</v>
      </c>
      <c r="O3" s="28" t="str" cm="1">
        <f t="array" ref="O3:O20">'ST2 Student Attainment percent'!E$2:INDEX('ST2 Student Attainment percent'!E:E,COUNTA('ST2 Student Attainment percent'!E:E))</f>
        <v>NA</v>
      </c>
      <c r="P3" s="28" t="str" cm="1">
        <f t="array" ref="P3:P20">'ST3 Student Attainment percent'!E$2:INDEX('ST3 Student Attainment percent'!E:E,COUNTA('ST3 Student Attainment percent'!E:E))</f>
        <v>NA</v>
      </c>
      <c r="Q3" s="93" t="str" cm="1">
        <f t="array" ref="Q3:Q20">'ETE Student Attainment percent'!E$2:INDEX('ETE Student Attainment percent'!E:E,COUNTA('ETE Student Attainment percent'!E:E))</f>
        <v>NA</v>
      </c>
      <c r="R3" s="26" t="str" cm="1">
        <f t="array" ref="R3:R20">'ST1 Student Attainment percent'!F$2:INDEX('ST1 Student Attainment percent'!F:F,COUNTA('ST1 Student Attainment percent'!F:F))</f>
        <v>NA</v>
      </c>
      <c r="S3" s="28" t="str" cm="1">
        <f t="array" ref="S3:S20">'ST2 Student Attainment percent'!F$2:INDEX('ST2 Student Attainment percent'!F:F,COUNTA('ST2 Student Attainment percent'!F:F))</f>
        <v>NA</v>
      </c>
      <c r="T3" s="28" t="str" cm="1">
        <f t="array" ref="T3:T20">'ST3 Student Attainment percent'!F$2:INDEX('ST3 Student Attainment percent'!F:F,COUNTA('ST3 Student Attainment percent'!F:F))</f>
        <v>NA</v>
      </c>
      <c r="U3" s="93" t="str" cm="1">
        <f t="array" ref="U3:U20">'ETE Student Attainment percent'!F$2:INDEX('ETE Student Attainment percent'!F:F,COUNTA('ETE Student Attainment percent'!F:F))</f>
        <v>NA</v>
      </c>
      <c r="V3" s="26" t="str" cm="1">
        <f t="array" ref="V3:V20">'ST1 Student Attainment percent'!G$2:INDEX('ST1 Student Attainment percent'!G:G,COUNTA('ST1 Student Attainment percent'!G:G))</f>
        <v>NA</v>
      </c>
      <c r="W3" s="28" t="str" cm="1">
        <f t="array" ref="W3:W20">'ST2 Student Attainment percent'!G$2:INDEX('ST2 Student Attainment percent'!G:G,COUNTA('ST2 Student Attainment percent'!G:G))</f>
        <v>NA</v>
      </c>
      <c r="X3" s="28" t="str" cm="1">
        <f t="array" ref="X3:X20">'ST3 Student Attainment percent'!G$2:INDEX('ST3 Student Attainment percent'!G:G,COUNTA('ST3 Student Attainment percent'!G:G))</f>
        <v>NA</v>
      </c>
      <c r="Y3" s="103" t="str" cm="1">
        <f t="array" ref="Y3:Y20">'ETE Student Attainment percent'!G$2:INDEX('ETE Student Attainment percent'!G:G,COUNTA('ETE Student Attainment percent'!G:G))</f>
        <v>NA</v>
      </c>
    </row>
    <row r="4" spans="1:25" x14ac:dyDescent="0.3">
      <c r="A4" s="19" t="str">
        <v>2010992002 </v>
      </c>
      <c r="B4" s="27">
        <v>95</v>
      </c>
      <c r="C4" s="29">
        <v>100</v>
      </c>
      <c r="D4" s="29">
        <v>100</v>
      </c>
      <c r="E4" s="98">
        <v>100</v>
      </c>
      <c r="F4" s="27">
        <v>100</v>
      </c>
      <c r="G4" s="29">
        <v>104.44444444444446</v>
      </c>
      <c r="H4" s="29">
        <v>100</v>
      </c>
      <c r="I4" s="98">
        <v>87.804878048780495</v>
      </c>
      <c r="J4" s="27">
        <v>80</v>
      </c>
      <c r="K4" s="29">
        <v>100</v>
      </c>
      <c r="L4" s="29">
        <v>100</v>
      </c>
      <c r="M4" s="98">
        <v>83.333333333333343</v>
      </c>
      <c r="N4" s="27" t="str">
        <v>NA</v>
      </c>
      <c r="O4" s="29" t="str">
        <v>NA</v>
      </c>
      <c r="P4" s="29" t="str">
        <v>NA</v>
      </c>
      <c r="Q4" s="98" t="str">
        <v>NA</v>
      </c>
      <c r="R4" s="27" t="str">
        <v>NA</v>
      </c>
      <c r="S4" s="29" t="str">
        <v>NA</v>
      </c>
      <c r="T4" s="29" t="str">
        <v>NA</v>
      </c>
      <c r="U4" s="98" t="str">
        <v>NA</v>
      </c>
      <c r="V4" s="27" t="str">
        <v>NA</v>
      </c>
      <c r="W4" s="29" t="str">
        <v>NA</v>
      </c>
      <c r="X4" s="29" t="str">
        <v>NA</v>
      </c>
      <c r="Y4" s="30" t="str">
        <v>NA</v>
      </c>
    </row>
    <row r="5" spans="1:25" x14ac:dyDescent="0.3">
      <c r="A5" s="19" t="str">
        <v>2010992004 </v>
      </c>
      <c r="B5" s="27">
        <v>80</v>
      </c>
      <c r="C5" s="29" t="str">
        <v>NA</v>
      </c>
      <c r="D5" s="29">
        <v>71.428571428571431</v>
      </c>
      <c r="E5" s="98">
        <v>100</v>
      </c>
      <c r="F5" s="27">
        <v>68</v>
      </c>
      <c r="G5" s="29">
        <v>60</v>
      </c>
      <c r="H5" s="29">
        <v>55.555555555555557</v>
      </c>
      <c r="I5" s="98">
        <v>65.384615384615387</v>
      </c>
      <c r="J5" s="27" t="str">
        <v>NA</v>
      </c>
      <c r="K5" s="29">
        <v>60</v>
      </c>
      <c r="L5" s="29">
        <v>100</v>
      </c>
      <c r="M5" s="98">
        <v>46.666666666666664</v>
      </c>
      <c r="N5" s="27" t="str">
        <v>NA</v>
      </c>
      <c r="O5" s="29" t="str">
        <v>NA</v>
      </c>
      <c r="P5" s="29" t="str">
        <v>NA</v>
      </c>
      <c r="Q5" s="98" t="str">
        <v>NA</v>
      </c>
      <c r="R5" s="27" t="str">
        <v>NA</v>
      </c>
      <c r="S5" s="29" t="str">
        <v>NA</v>
      </c>
      <c r="T5" s="29" t="str">
        <v>NA</v>
      </c>
      <c r="U5" s="98" t="str">
        <v>NA</v>
      </c>
      <c r="V5" s="27" t="str">
        <v>NA</v>
      </c>
      <c r="W5" s="29" t="str">
        <v>NA</v>
      </c>
      <c r="X5" s="29" t="str">
        <v>NA</v>
      </c>
      <c r="Y5" s="30" t="str">
        <v>NA</v>
      </c>
    </row>
    <row r="6" spans="1:25" x14ac:dyDescent="0.3">
      <c r="A6" s="19" t="str">
        <v>2010992005 </v>
      </c>
      <c r="B6" s="27">
        <v>67.5</v>
      </c>
      <c r="C6" s="29" t="str">
        <v>NA</v>
      </c>
      <c r="D6" s="29">
        <v>85.714285714285708</v>
      </c>
      <c r="E6" s="98">
        <v>40</v>
      </c>
      <c r="F6" s="27">
        <v>80</v>
      </c>
      <c r="G6" s="29">
        <v>80</v>
      </c>
      <c r="H6" s="29">
        <v>100</v>
      </c>
      <c r="I6" s="98">
        <v>100</v>
      </c>
      <c r="J6" s="27">
        <v>10</v>
      </c>
      <c r="K6" s="29">
        <v>80</v>
      </c>
      <c r="L6" s="29">
        <v>20</v>
      </c>
      <c r="M6" s="98">
        <v>100</v>
      </c>
      <c r="N6" s="27" t="str">
        <v>NA</v>
      </c>
      <c r="O6" s="29" t="str">
        <v>NA</v>
      </c>
      <c r="P6" s="29" t="str">
        <v>NA</v>
      </c>
      <c r="Q6" s="98" t="str">
        <v>NA</v>
      </c>
      <c r="R6" s="27" t="str">
        <v>NA</v>
      </c>
      <c r="S6" s="29" t="str">
        <v>NA</v>
      </c>
      <c r="T6" s="29" t="str">
        <v>NA</v>
      </c>
      <c r="U6" s="98" t="str">
        <v>NA</v>
      </c>
      <c r="V6" s="27" t="str">
        <v>NA</v>
      </c>
      <c r="W6" s="29" t="str">
        <v>NA</v>
      </c>
      <c r="X6" s="29" t="str">
        <v>NA</v>
      </c>
      <c r="Y6" s="30" t="str">
        <v>NA</v>
      </c>
    </row>
    <row r="7" spans="1:25" x14ac:dyDescent="0.3">
      <c r="A7" s="19" t="str">
        <v>2010992006 </v>
      </c>
      <c r="B7" s="27">
        <v>71.428571428571431</v>
      </c>
      <c r="C7" s="29" t="str">
        <v>NA</v>
      </c>
      <c r="D7" s="29">
        <v>64.285714285714292</v>
      </c>
      <c r="E7" s="98">
        <v>58.333333333333336</v>
      </c>
      <c r="F7" s="27">
        <v>75</v>
      </c>
      <c r="G7" s="29" t="str">
        <v>NA</v>
      </c>
      <c r="H7" s="29" t="str">
        <v>NA</v>
      </c>
      <c r="I7" s="98">
        <v>100</v>
      </c>
      <c r="J7" s="27" t="str">
        <v>NA</v>
      </c>
      <c r="K7" s="29" t="str">
        <v>NA</v>
      </c>
      <c r="L7" s="29" t="str">
        <v>NA</v>
      </c>
      <c r="M7" s="98">
        <v>100</v>
      </c>
      <c r="N7" s="27" t="str">
        <v>NA</v>
      </c>
      <c r="O7" s="29" t="str">
        <v>NA</v>
      </c>
      <c r="P7" s="29" t="str">
        <v>NA</v>
      </c>
      <c r="Q7" s="98" t="str">
        <v>NA</v>
      </c>
      <c r="R7" s="27" t="str">
        <v>NA</v>
      </c>
      <c r="S7" s="29" t="str">
        <v>NA</v>
      </c>
      <c r="T7" s="29" t="str">
        <v>NA</v>
      </c>
      <c r="U7" s="98" t="str">
        <v>NA</v>
      </c>
      <c r="V7" s="27" t="str">
        <v>NA</v>
      </c>
      <c r="W7" s="29" t="str">
        <v>NA</v>
      </c>
      <c r="X7" s="29" t="str">
        <v>NA</v>
      </c>
      <c r="Y7" s="30" t="str">
        <v>NA</v>
      </c>
    </row>
    <row r="8" spans="1:25" x14ac:dyDescent="0.3">
      <c r="A8" s="19" t="str">
        <v>2010992008 </v>
      </c>
      <c r="B8" s="27">
        <v>60</v>
      </c>
      <c r="C8" s="29" t="str">
        <v>NA</v>
      </c>
      <c r="D8" s="29">
        <v>60</v>
      </c>
      <c r="E8" s="98">
        <v>57.894736842105267</v>
      </c>
      <c r="F8" s="27">
        <v>100</v>
      </c>
      <c r="G8" s="29" t="str">
        <v>NA</v>
      </c>
      <c r="H8" s="29">
        <v>83.333333333333343</v>
      </c>
      <c r="I8" s="98">
        <v>100</v>
      </c>
      <c r="J8" s="27">
        <v>10</v>
      </c>
      <c r="K8" s="29" t="str">
        <v>NA</v>
      </c>
      <c r="L8" s="29">
        <v>100</v>
      </c>
      <c r="M8" s="98">
        <v>100</v>
      </c>
      <c r="N8" s="27" t="str">
        <v>NA</v>
      </c>
      <c r="O8" s="29" t="str">
        <v>NA</v>
      </c>
      <c r="P8" s="29" t="str">
        <v>NA</v>
      </c>
      <c r="Q8" s="98" t="str">
        <v>NA</v>
      </c>
      <c r="R8" s="27" t="str">
        <v>NA</v>
      </c>
      <c r="S8" s="29" t="str">
        <v>NA</v>
      </c>
      <c r="T8" s="29" t="str">
        <v>NA</v>
      </c>
      <c r="U8" s="98" t="str">
        <v>NA</v>
      </c>
      <c r="V8" s="27" t="str">
        <v>NA</v>
      </c>
      <c r="W8" s="29" t="str">
        <v>NA</v>
      </c>
      <c r="X8" s="29" t="str">
        <v>NA</v>
      </c>
      <c r="Y8" s="30" t="str">
        <v>NA</v>
      </c>
    </row>
    <row r="9" spans="1:25" x14ac:dyDescent="0.3">
      <c r="A9" s="19" t="str">
        <v>2010992009 </v>
      </c>
      <c r="B9" s="27">
        <v>80</v>
      </c>
      <c r="C9" s="29">
        <v>100</v>
      </c>
      <c r="D9" s="29" t="str">
        <v>NA</v>
      </c>
      <c r="E9" s="98">
        <v>87.5</v>
      </c>
      <c r="F9" s="27">
        <v>100</v>
      </c>
      <c r="G9" s="29">
        <v>93.333333333333329</v>
      </c>
      <c r="H9" s="29" t="str">
        <v>NA</v>
      </c>
      <c r="I9" s="98">
        <v>100</v>
      </c>
      <c r="J9" s="27">
        <v>20</v>
      </c>
      <c r="K9" s="29">
        <v>95</v>
      </c>
      <c r="L9" s="29" t="str">
        <v>NA</v>
      </c>
      <c r="M9" s="98">
        <v>100</v>
      </c>
      <c r="N9" s="27" t="str">
        <v>NA</v>
      </c>
      <c r="O9" s="29" t="str">
        <v>NA</v>
      </c>
      <c r="P9" s="29" t="str">
        <v>NA</v>
      </c>
      <c r="Q9" s="98" t="str">
        <v>NA</v>
      </c>
      <c r="R9" s="27" t="str">
        <v>NA</v>
      </c>
      <c r="S9" s="29" t="str">
        <v>NA</v>
      </c>
      <c r="T9" s="29" t="str">
        <v>NA</v>
      </c>
      <c r="U9" s="98" t="str">
        <v>NA</v>
      </c>
      <c r="V9" s="27" t="str">
        <v>NA</v>
      </c>
      <c r="W9" s="29" t="str">
        <v>NA</v>
      </c>
      <c r="X9" s="29" t="str">
        <v>NA</v>
      </c>
      <c r="Y9" s="30" t="str">
        <v>NA</v>
      </c>
    </row>
    <row r="10" spans="1:25" x14ac:dyDescent="0.3">
      <c r="A10" s="19" t="str">
        <v>2010992010 </v>
      </c>
      <c r="B10" s="27">
        <v>67.5</v>
      </c>
      <c r="C10" s="29" t="str">
        <v>NA</v>
      </c>
      <c r="D10" s="29">
        <v>58.333333333333336</v>
      </c>
      <c r="E10" s="98">
        <v>92.857142857142861</v>
      </c>
      <c r="F10" s="27">
        <v>84</v>
      </c>
      <c r="G10" s="29" t="str">
        <v>NA</v>
      </c>
      <c r="H10" s="29">
        <v>100</v>
      </c>
      <c r="I10" s="98">
        <v>61.904761904761905</v>
      </c>
      <c r="J10" s="27">
        <v>10</v>
      </c>
      <c r="K10" s="29" t="str">
        <v>NA</v>
      </c>
      <c r="L10" s="29">
        <v>100</v>
      </c>
      <c r="M10" s="98">
        <v>46.666666666666664</v>
      </c>
      <c r="N10" s="27" t="str">
        <v>NA</v>
      </c>
      <c r="O10" s="29" t="str">
        <v>NA</v>
      </c>
      <c r="P10" s="29" t="str">
        <v>NA</v>
      </c>
      <c r="Q10" s="98" t="str">
        <v>NA</v>
      </c>
      <c r="R10" s="27" t="str">
        <v>NA</v>
      </c>
      <c r="S10" s="29" t="str">
        <v>NA</v>
      </c>
      <c r="T10" s="29" t="str">
        <v>NA</v>
      </c>
      <c r="U10" s="98" t="str">
        <v>NA</v>
      </c>
      <c r="V10" s="27" t="str">
        <v>NA</v>
      </c>
      <c r="W10" s="29" t="str">
        <v>NA</v>
      </c>
      <c r="X10" s="29" t="str">
        <v>NA</v>
      </c>
      <c r="Y10" s="30" t="str">
        <v>NA</v>
      </c>
    </row>
    <row r="11" spans="1:25" x14ac:dyDescent="0.3">
      <c r="A11" s="19" t="str">
        <v>2010992011 </v>
      </c>
      <c r="B11" s="27">
        <v>80</v>
      </c>
      <c r="C11" s="29" t="str">
        <v>NA</v>
      </c>
      <c r="D11" s="29">
        <v>85.714285714285708</v>
      </c>
      <c r="E11" s="98">
        <v>100</v>
      </c>
      <c r="F11" s="27">
        <v>70</v>
      </c>
      <c r="G11" s="29">
        <v>60</v>
      </c>
      <c r="H11" s="29">
        <v>100</v>
      </c>
      <c r="I11" s="98">
        <v>65.517241379310349</v>
      </c>
      <c r="J11" s="27" t="str">
        <v>NA</v>
      </c>
      <c r="K11" s="29">
        <v>60</v>
      </c>
      <c r="L11" s="29">
        <v>42.857142857142854</v>
      </c>
      <c r="M11" s="98">
        <v>60</v>
      </c>
      <c r="N11" s="27" t="str">
        <v>NA</v>
      </c>
      <c r="O11" s="29" t="str">
        <v>NA</v>
      </c>
      <c r="P11" s="29" t="str">
        <v>NA</v>
      </c>
      <c r="Q11" s="98" t="str">
        <v>NA</v>
      </c>
      <c r="R11" s="27" t="str">
        <v>NA</v>
      </c>
      <c r="S11" s="29" t="str">
        <v>NA</v>
      </c>
      <c r="T11" s="29" t="str">
        <v>NA</v>
      </c>
      <c r="U11" s="98" t="str">
        <v>NA</v>
      </c>
      <c r="V11" s="27" t="str">
        <v>NA</v>
      </c>
      <c r="W11" s="29" t="str">
        <v>NA</v>
      </c>
      <c r="X11" s="29" t="str">
        <v>NA</v>
      </c>
      <c r="Y11" s="30" t="str">
        <v>NA</v>
      </c>
    </row>
    <row r="12" spans="1:25" x14ac:dyDescent="0.3">
      <c r="A12" s="19" t="str">
        <v>2010992012 </v>
      </c>
      <c r="B12" s="27">
        <v>82.222222222222214</v>
      </c>
      <c r="C12" s="29">
        <v>100</v>
      </c>
      <c r="D12" s="29">
        <v>60</v>
      </c>
      <c r="E12" s="98">
        <v>57.894736842105267</v>
      </c>
      <c r="F12" s="27">
        <v>100</v>
      </c>
      <c r="G12" s="29">
        <v>71.428571428571431</v>
      </c>
      <c r="H12" s="29">
        <v>66.666666666666657</v>
      </c>
      <c r="I12" s="98">
        <v>90.476190476190482</v>
      </c>
      <c r="J12" s="27">
        <v>20</v>
      </c>
      <c r="K12" s="29">
        <v>60</v>
      </c>
      <c r="L12" s="29" t="str">
        <v>NA</v>
      </c>
      <c r="M12" s="98">
        <v>100</v>
      </c>
      <c r="N12" s="27" t="str">
        <v>NA</v>
      </c>
      <c r="O12" s="29" t="str">
        <v>NA</v>
      </c>
      <c r="P12" s="29" t="str">
        <v>NA</v>
      </c>
      <c r="Q12" s="98" t="str">
        <v>NA</v>
      </c>
      <c r="R12" s="27" t="str">
        <v>NA</v>
      </c>
      <c r="S12" s="29" t="str">
        <v>NA</v>
      </c>
      <c r="T12" s="29" t="str">
        <v>NA</v>
      </c>
      <c r="U12" s="98" t="str">
        <v>NA</v>
      </c>
      <c r="V12" s="27" t="str">
        <v>NA</v>
      </c>
      <c r="W12" s="29" t="str">
        <v>NA</v>
      </c>
      <c r="X12" s="29" t="str">
        <v>NA</v>
      </c>
      <c r="Y12" s="30" t="str">
        <v>NA</v>
      </c>
    </row>
    <row r="13" spans="1:25" x14ac:dyDescent="0.3">
      <c r="A13" s="19" t="str">
        <v>2010992014 </v>
      </c>
      <c r="B13" s="27">
        <v>88.571428571428569</v>
      </c>
      <c r="C13" s="29" t="str">
        <v>NA</v>
      </c>
      <c r="D13" s="29">
        <v>60</v>
      </c>
      <c r="E13" s="98">
        <v>100</v>
      </c>
      <c r="F13" s="27">
        <v>100</v>
      </c>
      <c r="G13" s="29">
        <v>70</v>
      </c>
      <c r="H13" s="29">
        <v>50</v>
      </c>
      <c r="I13" s="98">
        <v>61.904761904761905</v>
      </c>
      <c r="J13" s="27">
        <v>60</v>
      </c>
      <c r="K13" s="29">
        <v>70</v>
      </c>
      <c r="L13" s="29" t="str">
        <v>NA</v>
      </c>
      <c r="M13" s="98">
        <v>46.666666666666664</v>
      </c>
      <c r="N13" s="27" t="str">
        <v>NA</v>
      </c>
      <c r="O13" s="29" t="str">
        <v>NA</v>
      </c>
      <c r="P13" s="29" t="str">
        <v>NA</v>
      </c>
      <c r="Q13" s="98" t="str">
        <v>NA</v>
      </c>
      <c r="R13" s="27" t="str">
        <v>NA</v>
      </c>
      <c r="S13" s="29" t="str">
        <v>NA</v>
      </c>
      <c r="T13" s="29" t="str">
        <v>NA</v>
      </c>
      <c r="U13" s="98" t="str">
        <v>NA</v>
      </c>
      <c r="V13" s="27" t="str">
        <v>NA</v>
      </c>
      <c r="W13" s="29" t="str">
        <v>NA</v>
      </c>
      <c r="X13" s="29" t="str">
        <v>NA</v>
      </c>
      <c r="Y13" s="30" t="str">
        <v>NA</v>
      </c>
    </row>
    <row r="14" spans="1:25" x14ac:dyDescent="0.3">
      <c r="A14" s="19" t="str">
        <v>2010992015 </v>
      </c>
      <c r="B14" s="27">
        <v>66.666666666666657</v>
      </c>
      <c r="C14" s="29">
        <v>100</v>
      </c>
      <c r="D14" s="29">
        <v>83.333333333333343</v>
      </c>
      <c r="E14" s="98">
        <v>100</v>
      </c>
      <c r="F14" s="27">
        <v>60</v>
      </c>
      <c r="G14" s="29">
        <v>58.82352941176471</v>
      </c>
      <c r="H14" s="29">
        <v>100</v>
      </c>
      <c r="I14" s="98">
        <v>61.904761904761905</v>
      </c>
      <c r="J14" s="27">
        <v>10</v>
      </c>
      <c r="K14" s="29">
        <v>70</v>
      </c>
      <c r="L14" s="29">
        <v>42.857142857142854</v>
      </c>
      <c r="M14" s="98">
        <v>45</v>
      </c>
      <c r="N14" s="27" t="str">
        <v>NA</v>
      </c>
      <c r="O14" s="29" t="str">
        <v>NA</v>
      </c>
      <c r="P14" s="29" t="str">
        <v>NA</v>
      </c>
      <c r="Q14" s="98" t="str">
        <v>NA</v>
      </c>
      <c r="R14" s="27" t="str">
        <v>NA</v>
      </c>
      <c r="S14" s="29" t="str">
        <v>NA</v>
      </c>
      <c r="T14" s="29" t="str">
        <v>NA</v>
      </c>
      <c r="U14" s="98" t="str">
        <v>NA</v>
      </c>
      <c r="V14" s="27" t="str">
        <v>NA</v>
      </c>
      <c r="W14" s="29" t="str">
        <v>NA</v>
      </c>
      <c r="X14" s="29" t="str">
        <v>NA</v>
      </c>
      <c r="Y14" s="30" t="str">
        <v>NA</v>
      </c>
    </row>
    <row r="15" spans="1:25" x14ac:dyDescent="0.3">
      <c r="A15" s="19" t="str">
        <v>2010992016 </v>
      </c>
      <c r="B15" s="27">
        <v>97.142857142857139</v>
      </c>
      <c r="C15" s="29">
        <v>93.333333333333329</v>
      </c>
      <c r="D15" s="29">
        <v>100</v>
      </c>
      <c r="E15" s="98">
        <v>69.230769230769226</v>
      </c>
      <c r="F15" s="27">
        <v>90</v>
      </c>
      <c r="G15" s="29">
        <v>80</v>
      </c>
      <c r="H15" s="29">
        <v>100</v>
      </c>
      <c r="I15" s="98">
        <v>76.470588235294116</v>
      </c>
      <c r="J15" s="27" t="str">
        <v>NA</v>
      </c>
      <c r="K15" s="29">
        <v>73.333333333333329</v>
      </c>
      <c r="L15" s="29">
        <v>100</v>
      </c>
      <c r="M15" s="98">
        <v>60</v>
      </c>
      <c r="N15" s="27" t="str">
        <v>NA</v>
      </c>
      <c r="O15" s="29" t="str">
        <v>NA</v>
      </c>
      <c r="P15" s="29" t="str">
        <v>NA</v>
      </c>
      <c r="Q15" s="98" t="str">
        <v>NA</v>
      </c>
      <c r="R15" s="27" t="str">
        <v>NA</v>
      </c>
      <c r="S15" s="29" t="str">
        <v>NA</v>
      </c>
      <c r="T15" s="29" t="str">
        <v>NA</v>
      </c>
      <c r="U15" s="98" t="str">
        <v>NA</v>
      </c>
      <c r="V15" s="27" t="str">
        <v>NA</v>
      </c>
      <c r="W15" s="29" t="str">
        <v>NA</v>
      </c>
      <c r="X15" s="29" t="str">
        <v>NA</v>
      </c>
      <c r="Y15" s="30" t="str">
        <v>NA</v>
      </c>
    </row>
    <row r="16" spans="1:25" x14ac:dyDescent="0.3">
      <c r="A16" s="19" t="str">
        <v>2010992017 </v>
      </c>
      <c r="B16" s="27">
        <v>70</v>
      </c>
      <c r="C16" s="29" t="str">
        <v>NA</v>
      </c>
      <c r="D16" s="29">
        <v>64.285714285714292</v>
      </c>
      <c r="E16" s="98">
        <v>100</v>
      </c>
      <c r="F16" s="27">
        <v>75</v>
      </c>
      <c r="G16" s="29">
        <v>80</v>
      </c>
      <c r="H16" s="29">
        <v>100</v>
      </c>
      <c r="I16" s="98">
        <v>69.230769230769226</v>
      </c>
      <c r="J16" s="27" t="str">
        <v>NA</v>
      </c>
      <c r="K16" s="29">
        <v>80</v>
      </c>
      <c r="L16" s="29" t="str">
        <v>NA</v>
      </c>
      <c r="M16" s="98">
        <v>46.666666666666664</v>
      </c>
      <c r="N16" s="27" t="str">
        <v>NA</v>
      </c>
      <c r="O16" s="29" t="str">
        <v>NA</v>
      </c>
      <c r="P16" s="29" t="str">
        <v>NA</v>
      </c>
      <c r="Q16" s="98" t="str">
        <v>NA</v>
      </c>
      <c r="R16" s="27" t="str">
        <v>NA</v>
      </c>
      <c r="S16" s="29" t="str">
        <v>NA</v>
      </c>
      <c r="T16" s="29" t="str">
        <v>NA</v>
      </c>
      <c r="U16" s="98" t="str">
        <v>NA</v>
      </c>
      <c r="V16" s="27" t="str">
        <v>NA</v>
      </c>
      <c r="W16" s="29" t="str">
        <v>NA</v>
      </c>
      <c r="X16" s="29" t="str">
        <v>NA</v>
      </c>
      <c r="Y16" s="30" t="str">
        <v>NA</v>
      </c>
    </row>
    <row r="17" spans="1:25" x14ac:dyDescent="0.3">
      <c r="A17" s="19" t="str">
        <v>2010992018 </v>
      </c>
      <c r="B17" s="27">
        <v>62.222222222222221</v>
      </c>
      <c r="C17" s="29">
        <v>94.117647058823522</v>
      </c>
      <c r="D17" s="29">
        <v>71.428571428571431</v>
      </c>
      <c r="E17" s="98">
        <v>78.571428571428569</v>
      </c>
      <c r="F17" s="27">
        <v>75</v>
      </c>
      <c r="G17" s="29">
        <v>77.777777777777786</v>
      </c>
      <c r="H17" s="29">
        <v>100</v>
      </c>
      <c r="I17" s="98">
        <v>74.193548387096769</v>
      </c>
      <c r="J17" s="27">
        <v>10</v>
      </c>
      <c r="K17" s="29">
        <v>66.666666666666657</v>
      </c>
      <c r="L17" s="29">
        <v>20</v>
      </c>
      <c r="M17" s="98">
        <v>46.666666666666664</v>
      </c>
      <c r="N17" s="27" t="str">
        <v>NA</v>
      </c>
      <c r="O17" s="29" t="str">
        <v>NA</v>
      </c>
      <c r="P17" s="29" t="str">
        <v>NA</v>
      </c>
      <c r="Q17" s="98" t="str">
        <v>NA</v>
      </c>
      <c r="R17" s="27" t="str">
        <v>NA</v>
      </c>
      <c r="S17" s="29" t="str">
        <v>NA</v>
      </c>
      <c r="T17" s="29" t="str">
        <v>NA</v>
      </c>
      <c r="U17" s="98" t="str">
        <v>NA</v>
      </c>
      <c r="V17" s="27" t="str">
        <v>NA</v>
      </c>
      <c r="W17" s="29" t="str">
        <v>NA</v>
      </c>
      <c r="X17" s="29" t="str">
        <v>NA</v>
      </c>
      <c r="Y17" s="30" t="str">
        <v>NA</v>
      </c>
    </row>
    <row r="18" spans="1:25" x14ac:dyDescent="0.3">
      <c r="A18" s="19" t="str">
        <v>2010992163 </v>
      </c>
      <c r="B18" s="27">
        <v>80</v>
      </c>
      <c r="C18" s="29">
        <v>100</v>
      </c>
      <c r="D18" s="29" t="str">
        <v>NA</v>
      </c>
      <c r="E18" s="98">
        <v>69.230769230769226</v>
      </c>
      <c r="F18" s="27">
        <v>100</v>
      </c>
      <c r="G18" s="29">
        <v>97.777777777777771</v>
      </c>
      <c r="H18" s="29" t="str">
        <v>NA</v>
      </c>
      <c r="I18" s="98">
        <v>94.117647058823522</v>
      </c>
      <c r="J18" s="27">
        <v>10</v>
      </c>
      <c r="K18" s="29">
        <v>95</v>
      </c>
      <c r="L18" s="29" t="str">
        <v>NA</v>
      </c>
      <c r="M18" s="98">
        <v>92</v>
      </c>
      <c r="N18" s="27" t="str">
        <v>NA</v>
      </c>
      <c r="O18" s="29" t="str">
        <v>NA</v>
      </c>
      <c r="P18" s="29" t="str">
        <v>NA</v>
      </c>
      <c r="Q18" s="98" t="str">
        <v>NA</v>
      </c>
      <c r="R18" s="27" t="str">
        <v>NA</v>
      </c>
      <c r="S18" s="29" t="str">
        <v>NA</v>
      </c>
      <c r="T18" s="29" t="str">
        <v>NA</v>
      </c>
      <c r="U18" s="98" t="str">
        <v>NA</v>
      </c>
      <c r="V18" s="27" t="str">
        <v>NA</v>
      </c>
      <c r="W18" s="29" t="str">
        <v>NA</v>
      </c>
      <c r="X18" s="29" t="str">
        <v>NA</v>
      </c>
      <c r="Y18" s="30" t="str">
        <v>NA</v>
      </c>
    </row>
    <row r="19" spans="1:25" x14ac:dyDescent="0.3">
      <c r="A19" s="19" t="str">
        <v>2010992202 </v>
      </c>
      <c r="B19" s="27">
        <v>57.499999999999993</v>
      </c>
      <c r="C19" s="29">
        <v>100</v>
      </c>
      <c r="D19" s="29">
        <v>88.888888888888886</v>
      </c>
      <c r="E19" s="98">
        <v>57.894736842105267</v>
      </c>
      <c r="F19" s="27">
        <v>66.666666666666657</v>
      </c>
      <c r="G19" s="29">
        <v>67.857142857142861</v>
      </c>
      <c r="H19" s="29">
        <v>63.636363636363633</v>
      </c>
      <c r="I19" s="98">
        <v>75</v>
      </c>
      <c r="J19" s="27">
        <v>10</v>
      </c>
      <c r="K19" s="29">
        <v>60</v>
      </c>
      <c r="L19" s="29">
        <v>20</v>
      </c>
      <c r="M19" s="98">
        <v>64</v>
      </c>
      <c r="N19" s="27" t="str">
        <v>NA</v>
      </c>
      <c r="O19" s="29" t="str">
        <v>NA</v>
      </c>
      <c r="P19" s="29" t="str">
        <v>NA</v>
      </c>
      <c r="Q19" s="98" t="str">
        <v>NA</v>
      </c>
      <c r="R19" s="27" t="str">
        <v>NA</v>
      </c>
      <c r="S19" s="29" t="str">
        <v>NA</v>
      </c>
      <c r="T19" s="29" t="str">
        <v>NA</v>
      </c>
      <c r="U19" s="98" t="str">
        <v>NA</v>
      </c>
      <c r="V19" s="27" t="str">
        <v>NA</v>
      </c>
      <c r="W19" s="29" t="str">
        <v>NA</v>
      </c>
      <c r="X19" s="29" t="str">
        <v>NA</v>
      </c>
      <c r="Y19" s="30" t="str">
        <v>NA</v>
      </c>
    </row>
    <row r="20" spans="1:25" x14ac:dyDescent="0.3">
      <c r="A20" s="19" t="str">
        <v>2010992203 </v>
      </c>
      <c r="B20" s="27">
        <v>80</v>
      </c>
      <c r="C20" s="29">
        <v>100</v>
      </c>
      <c r="D20" s="29">
        <v>77.777777777777786</v>
      </c>
      <c r="E20" s="98">
        <v>66.666666666666657</v>
      </c>
      <c r="F20" s="27">
        <v>85</v>
      </c>
      <c r="G20" s="29">
        <v>78.571428571428569</v>
      </c>
      <c r="H20" s="29">
        <v>100</v>
      </c>
      <c r="I20" s="98">
        <v>84.615384615384613</v>
      </c>
      <c r="J20" s="27" t="str">
        <v>NA</v>
      </c>
      <c r="K20" s="29">
        <v>90</v>
      </c>
      <c r="L20" s="29">
        <v>42.857142857142854</v>
      </c>
      <c r="M20" s="98">
        <v>100</v>
      </c>
      <c r="N20" s="27" t="str">
        <v>NA</v>
      </c>
      <c r="O20" s="29" t="str">
        <v>NA</v>
      </c>
      <c r="P20" s="29" t="str">
        <v>NA</v>
      </c>
      <c r="Q20" s="98" t="str">
        <v>NA</v>
      </c>
      <c r="R20" s="27" t="str">
        <v>NA</v>
      </c>
      <c r="S20" s="29" t="str">
        <v>NA</v>
      </c>
      <c r="T20" s="29" t="str">
        <v>NA</v>
      </c>
      <c r="U20" s="98" t="str">
        <v>NA</v>
      </c>
      <c r="V20" s="27" t="str">
        <v>NA</v>
      </c>
      <c r="W20" s="29" t="str">
        <v>NA</v>
      </c>
      <c r="X20" s="29" t="str">
        <v>NA</v>
      </c>
      <c r="Y20" s="30" t="str">
        <v>NA</v>
      </c>
    </row>
  </sheetData>
  <phoneticPr fontId="12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A2DE-D580-4E99-ABF5-5425F16B76EF}">
  <sheetPr codeName="Sheet49"/>
  <dimension ref="A1:K19"/>
  <sheetViews>
    <sheetView workbookViewId="0">
      <selection activeCell="H2" sqref="H2"/>
    </sheetView>
  </sheetViews>
  <sheetFormatPr defaultRowHeight="14.4" x14ac:dyDescent="0.3"/>
  <cols>
    <col min="1" max="1" width="21.77734375" style="19" bestFit="1" customWidth="1"/>
    <col min="2" max="2" width="10.5546875" bestFit="1" customWidth="1"/>
    <col min="3" max="3" width="11.5546875" bestFit="1" customWidth="1"/>
    <col min="4" max="4" width="10.5546875" bestFit="1" customWidth="1"/>
    <col min="5" max="6" width="11.5546875" bestFit="1" customWidth="1"/>
    <col min="7" max="7" width="10.5546875" bestFit="1" customWidth="1"/>
  </cols>
  <sheetData>
    <row r="1" spans="1:11" ht="15" thickBot="1" x14ac:dyDescent="0.35">
      <c r="A1" s="99" t="str" cm="1">
        <f t="array" ref="A1:A19">'ETE Result'!$B$1:INDEX('ETE Result'!$B:$B,COUNTA('ETE Result'!$B:$B))</f>
        <v>Admission No. (Roll No.)</v>
      </c>
      <c r="B1" t="str" cm="1">
        <f t="array" ref="B1:G1">'ST3 CO Question Map'!C1:H1</f>
        <v>EC118_CO1</v>
      </c>
      <c r="C1" t="str">
        <v>EC118_CO2</v>
      </c>
      <c r="D1" t="str">
        <v>EC118_CO3</v>
      </c>
      <c r="E1" t="str">
        <v>EC118_CO4</v>
      </c>
      <c r="F1" t="str">
        <v>EC118_CO5</v>
      </c>
      <c r="G1" t="str">
        <v>EC118_CO6</v>
      </c>
    </row>
    <row r="2" spans="1:11" x14ac:dyDescent="0.3">
      <c r="A2" s="19" t="str">
        <v>2010990089 </v>
      </c>
      <c r="B2" cm="1">
        <f t="array" ref="B2:B19">_xlfn.BYROW(A2:INDEX(A:A,COUNTA(A:A)),_xlfn.LAMBDA(_xlpm.row,IFERROR(IFERROR(AVERAGE(_xlfn.XLOOKUP(_xlfn.XLOOKUP(_xlpm.row,'Student Exam Map'!A2:INDEX('Student Exam Map'!A:A,COUNTA('Student Exam Map'!A:A)),'Student Exam Map'!B2:INDEX('Student Exam Map'!C:C,COUNTA('Student Exam Map'!C:C))),Sheet1!B2:D2,Sheet1!B3:INDEX(Sheet1!D:D,COUNTA(Sheet1!D:D))))*'OBE Details'!$B$9,"No STs")+IFERROR(_xlfn.XLOOKUP(_xlpm.row,Sheet1!A3:INDEX(Sheet1!A:A,COUNTA(Sheet1!A:A)),Sheet1!E3:INDEX(Sheet1!E:E,COUNTA(Sheet1!E:E)))*'OBE Details'!$B$10,"No ETE"),"NA")))</f>
        <v>92</v>
      </c>
      <c r="C2" s="1" cm="1">
        <f t="array" ref="C2:C19">_xlfn.BYROW(A2:INDEX(A:A,COUNTA(A:A)),_xlfn.LAMBDA(_xlpm.row,IFERROR(IFERROR(AVERAGE(_xlfn.XLOOKUP(_xlfn.XLOOKUP(_xlpm.row,'Student Exam Map'!A2:INDEX('Student Exam Map'!A:A,COUNTA('Student Exam Map'!A:A)),'Student Exam Map'!B2:INDEX('Student Exam Map'!C:C,COUNTA('Student Exam Map'!C:C))),Sheet1!F2:H2,Sheet1!F3:INDEX(Sheet1!H:H,COUNTA(Sheet1!H:H))))*'OBE Details'!$B$9,"No STs")+IFERROR(_xlfn.XLOOKUP(_xlpm.row,Sheet1!A3:INDEX(Sheet1!A:A,COUNTA(Sheet1!A:A)),Sheet1!I3:INDEX(Sheet1!I:I,COUNTA(Sheet1!I:I)))*'OBE Details'!$B$10,"No ETE"),"NA")))</f>
        <v>78.533333333333331</v>
      </c>
      <c r="D2" cm="1">
        <f t="array" ref="D2:D19">_xlfn.BYROW(A2:INDEX(A:A,COUNTA(A:A)),_xlfn.LAMBDA(_xlpm.row,IFERROR(IFERROR(AVERAGE(_xlfn.XLOOKUP(_xlfn.XLOOKUP(_xlpm.row,'Student Exam Map'!A2:INDEX('Student Exam Map'!A:A,COUNTA('Student Exam Map'!A:A)),'Student Exam Map'!B2:INDEX('Student Exam Map'!C:C,COUNTA('Student Exam Map'!C:C))),Sheet1!J2:L2,Sheet1!J3:INDEX(Sheet1!L:L,COUNTA(Sheet1!L:L))))*'OBE Details'!$B$9,"No STs")+IFERROR(_xlfn.XLOOKUP(_xlpm.row,Sheet1!A3:INDEX(Sheet1!A:A,COUNTA(Sheet1!A:A)),Sheet1!M3:INDEX(Sheet1!M:M,COUNTA(Sheet1!M:M)))*'OBE Details'!$B$10,"No ETE"),"NA")))</f>
        <v>46.8</v>
      </c>
      <c r="E2" t="str" cm="1">
        <f t="array" ref="E2:E19">_xlfn.BYROW(A2:INDEX(A:A,COUNTA(A:A)),_xlfn.LAMBDA(_xlpm.row,IFERROR(IFERROR(AVERAGE(_xlfn.XLOOKUP(_xlfn.XLOOKUP(_xlpm.row,'Student Exam Map'!A2:INDEX('Student Exam Map'!A:A,COUNTA('Student Exam Map'!A:A)),'Student Exam Map'!B2:INDEX('Student Exam Map'!C:C,COUNTA('Student Exam Map'!C:C))),Sheet1!N2:P2,Sheet1!N3:INDEX(Sheet1!P:P,COUNTA(Sheet1!P:P))))*'OBE Details'!$B$9,"No STs")+IFERROR(_xlfn.XLOOKUP(_xlpm.row,Sheet1!A3:INDEX(Sheet1!A:A,COUNTA(Sheet1!A:A)),Sheet1!Q3:INDEX(Sheet1!Q:Q,COUNTA(Sheet1!Q:Q)))*'OBE Details'!$B$10,"No ETE"),"NA")))</f>
        <v>NA</v>
      </c>
      <c r="F2" t="str" cm="1">
        <f t="array" ref="F2:F19">_xlfn.BYROW(A2:INDEX(A:A,COUNTA(A:A)),_xlfn.LAMBDA(_xlpm.row,IFERROR(IFERROR(AVERAGE(_xlfn.XLOOKUP(_xlfn.XLOOKUP(_xlpm.row,'Student Exam Map'!A2:INDEX('Student Exam Map'!A:A,COUNTA('Student Exam Map'!A:A)),'Student Exam Map'!B2:INDEX('Student Exam Map'!C:C,COUNTA('Student Exam Map'!C:C))),Sheet1!R2:T2,Sheet1!R3:INDEX(Sheet1!T:T,COUNTA(Sheet1!T:T))))*'OBE Details'!$B$9,"No STs")+IFERROR(_xlfn.XLOOKUP(_xlpm.row,Sheet1!A3:INDEX(Sheet1!A:A,COUNTA(Sheet1!A:A)),Sheet1!U3:INDEX(Sheet1!U:U,COUNTA(Sheet1!U:U)))*'OBE Details'!$B$10,"No ETE"),"NA")))</f>
        <v>NA</v>
      </c>
      <c r="G2" t="str" cm="1">
        <f t="array" ref="G2:G19">_xlfn.BYROW(A2:INDEX(A:A,COUNTA(A:A)),_xlfn.LAMBDA(_xlpm.row,IFERROR(IFERROR(AVERAGE(_xlfn.XLOOKUP(_xlfn.XLOOKUP(_xlpm.row,'Student Exam Map'!A2:INDEX('Student Exam Map'!A:A,COUNTA('Student Exam Map'!A:A)),'Student Exam Map'!B2:INDEX('Student Exam Map'!C:C,COUNTA('Student Exam Map'!C:C))),Sheet1!V2:X2,Sheet1!V3:INDEX(Sheet1!X:X,COUNTA(Sheet1!X:X))))*'OBE Details'!$B$9,"No STs")+IFERROR(_xlfn.XLOOKUP(_xlpm.row,Sheet1!A3:INDEX(Sheet1!A:A,COUNTA(Sheet1!A:A)),Sheet1!Y3:INDEX(Sheet1!Y:Y,COUNTA(Sheet1!Y:Y)))*'OBE Details'!$B$10,"No ETE"),"NA")))</f>
        <v>NA</v>
      </c>
      <c r="H2" cm="1">
        <f t="array" ref="H2:H19">_xlfn.BYROW(A2:INDEX(A:A, COUNTA(A:A)), _xlfn.LAMBDA(_xlpm.student,
  AVERAGE(
    _xlfn.XLOOKUP(
      _xlfn.XLOOKUP(
        _xlpm.student,
        'Student Exam Map'!$A$2:INDEX('Student Exam Map'!$A:$A, COUNTA('Student Exam Map'!$A:$A)),
        'Student Exam Map'!$B$2:INDEX('Student Exam Map'!$B:$B, COUNTA('Student Exam Map'!$B:$B))
      ),
      Sheet1!B2:D2,
      Sheet1!B3:INDEX(Sheet1!D:D, COUNTA(Sheet1!D:D))
    )
  ) * 'OBE Details'!$B$9 +
  _xlfn.XLOOKUP(
    _xlpm.student,
    Sheet1!A3:INDEX(Sheet1!A:A, COUNTA(Sheet1!A:A)),
    Sheet1!E3:INDEX(Sheet1!E:E, COUNTA(Sheet1!E:E))
  ) * 'OBE Details'!$B$10
))</f>
        <v>89.905643738977076</v>
      </c>
      <c r="I2" t="str" cm="1">
        <f t="array" ref="I2:I19">_xlfn.BYROW(A2:INDEX(A:A,COUNTA(A:A)),_xlfn.LAMBDA(_xlpm.row,IFERROR(IFERROR(AVERAGE(_xlfn.XLOOKUP(_xlfn.XLOOKUP(_xlpm.row,'Student Exam Map'!A2:INDEX('Student Exam Map'!A:A,COUNTA('Student Exam Map'!A:A)),'Student Exam Map'!B2:INDEX('Student Exam Map'!C:C,COUNTA('Student Exam Map'!C:C))),Sheet1!V2:X2,Sheet1!V3:INDEX(Sheet1!X:X,COUNTA(Sheet1!X:X))))*'OBE Details'!$B$9,"No STs")+IFERROR(_xlfn.XLOOKUP(_xlpm.row,Sheet1!A3:INDEX(Sheet1!A:A,COUNTA(Sheet1!A:A)),Sheet1!Y3:INDEX(Sheet1!Y:Y,COUNTA(Sheet1!Y:Y)))*'OBE Details'!$B$10,AVERAGE(_xlfn.XLOOKUP(_xlfn.XLOOKUP(_xlpm.row,'Student Exam Map'!A2:INDEX('Student Exam Map'!A:A,COUNTA('Student Exam Map'!A:A)),'Student Exam Map'!B2:INDEX('Student Exam Map'!C:C,COUNTA('Student Exam Map'!C:C))),Sheet1!V2:X2,Sheet1!V3:INDEX(Sheet1!X:X,COUNTA(Sheet1!X:X))))*'OBE Details'!$B$10),"NA")))</f>
        <v>NA</v>
      </c>
      <c r="J2" cm="1">
        <f t="array" ref="J2:J19">_xlfn.BYROW($A$2:INDEX($A:$A,COUNTA($A:$A)),_xlfn.LAMBDA(_xlpm.row,AVERAGE(
_xlfn.XLOOKUP(
_xlfn.XLOOKUP(
_xlpm.row,
'Student Exam Map'!$A$2:INDEX('Student Exam Map'!$A:$A,COUNTA('Student Exam Map'!$A:$A)),
'Student Exam Map'!$B$2:INDEX('Student Exam Map'!$B:$B,COUNTA('Student Exam Map'!$B:$B))
),
Sheet1!$E$2:$H$2,
Sheet1!$E$3:INDEX(Sheet1!$H:$H,COUNTA(Sheet1!$H:$H))
)*'OBE Details'!$B$9
+
_xlfn.XLOOKUP(
_xlpm.row,
Sheet1!$A$3:INDEX(Sheet1!$A:$A,COUNTA(Sheet1!$A:$A)),
Sheet1!$I$3:INDEX(Sheet1!$I:$I,COUNTA(Sheet1!$I:$I))
)*'OBE Details'!$B$10
)))</f>
        <v>77.037037037037038</v>
      </c>
      <c r="K2" s="1" cm="1">
        <f t="array" ref="K2">AVERAGE(_xlfn.XLOOKUP(_xlfn.XLOOKUP(A2,'Student Exam Map'!A2:A19,'Student Exam Map'!B2:C19),Sheet1!F2:H2,Sheet1!F3:H20))*'OBE Details'!$B$9+_xlfn.XLOOKUP(A2,Sheet1!A3:A20,Sheet1!I3:I20)*'OBE Details'!$B$10</f>
        <v>78.533333333333331</v>
      </c>
    </row>
    <row r="3" spans="1:11" x14ac:dyDescent="0.3">
      <c r="A3" s="21" t="str">
        <v>2010992002 </v>
      </c>
      <c r="B3">
        <v>92</v>
      </c>
      <c r="C3" s="1">
        <v>85.282926829268291</v>
      </c>
      <c r="D3">
        <v>68</v>
      </c>
      <c r="E3" t="str">
        <v>NA</v>
      </c>
      <c r="F3" t="str">
        <v>NA</v>
      </c>
      <c r="G3" t="str">
        <v>NA</v>
      </c>
      <c r="H3">
        <v>89.905643738977076</v>
      </c>
      <c r="I3" t="str">
        <v>NA</v>
      </c>
      <c r="J3">
        <v>86.386630532972021</v>
      </c>
    </row>
    <row r="4" spans="1:11" x14ac:dyDescent="0.3">
      <c r="A4" s="19" t="str">
        <v>2010992004 </v>
      </c>
      <c r="B4">
        <v>92</v>
      </c>
      <c r="C4" s="1">
        <v>74.430769230769243</v>
      </c>
      <c r="D4">
        <v>34</v>
      </c>
      <c r="E4" t="str">
        <v>NA</v>
      </c>
      <c r="F4" t="str">
        <v>NA</v>
      </c>
      <c r="G4" t="str">
        <v>NA</v>
      </c>
      <c r="H4">
        <v>89.905643738977076</v>
      </c>
      <c r="I4" t="str">
        <v>NA</v>
      </c>
      <c r="J4">
        <v>72.93447293447295</v>
      </c>
    </row>
    <row r="5" spans="1:11" x14ac:dyDescent="0.3">
      <c r="A5" s="19" t="str">
        <v>2010992005 </v>
      </c>
      <c r="B5">
        <v>56</v>
      </c>
      <c r="C5" s="1">
        <v>95.2</v>
      </c>
      <c r="D5">
        <v>66</v>
      </c>
      <c r="E5" t="str">
        <v>NA</v>
      </c>
      <c r="F5" t="str">
        <v>NA</v>
      </c>
      <c r="G5" t="str">
        <v>NA</v>
      </c>
      <c r="H5">
        <v>53.905643738977076</v>
      </c>
      <c r="I5" t="str">
        <v>NA</v>
      </c>
      <c r="J5">
        <v>93.703703703703709</v>
      </c>
    </row>
    <row r="6" spans="1:11" x14ac:dyDescent="0.3">
      <c r="A6" s="19" t="str">
        <v>2010992006 </v>
      </c>
      <c r="B6">
        <v>67</v>
      </c>
      <c r="C6" s="1">
        <v>95.2</v>
      </c>
      <c r="D6">
        <v>66</v>
      </c>
      <c r="E6" t="str">
        <v>NA</v>
      </c>
      <c r="F6" t="str">
        <v>NA</v>
      </c>
      <c r="G6" t="str">
        <v>NA</v>
      </c>
      <c r="H6">
        <v>64.905643738977076</v>
      </c>
      <c r="I6" t="str">
        <v>NA</v>
      </c>
      <c r="J6">
        <v>93.703703703703709</v>
      </c>
    </row>
    <row r="7" spans="1:11" x14ac:dyDescent="0.3">
      <c r="A7" s="19" t="str">
        <v>2010992008 </v>
      </c>
      <c r="B7">
        <v>66.73684210526315</v>
      </c>
      <c r="C7" s="1">
        <v>95.2</v>
      </c>
      <c r="D7">
        <v>66</v>
      </c>
      <c r="E7" t="str">
        <v>NA</v>
      </c>
      <c r="F7" t="str">
        <v>NA</v>
      </c>
      <c r="G7" t="str">
        <v>NA</v>
      </c>
      <c r="H7">
        <v>64.642485844240241</v>
      </c>
      <c r="I7" t="str">
        <v>NA</v>
      </c>
      <c r="J7">
        <v>93.703703703703709</v>
      </c>
    </row>
    <row r="8" spans="1:11" x14ac:dyDescent="0.3">
      <c r="A8" s="19" t="str">
        <v>2010992009 </v>
      </c>
      <c r="B8">
        <v>92.5</v>
      </c>
      <c r="C8" s="1">
        <v>90</v>
      </c>
      <c r="D8">
        <v>80</v>
      </c>
      <c r="E8" t="str">
        <v>NA</v>
      </c>
      <c r="F8" t="str">
        <v>NA</v>
      </c>
      <c r="G8" t="str">
        <v>NA</v>
      </c>
      <c r="H8">
        <v>91.998039215686276</v>
      </c>
      <c r="I8" t="str">
        <v>NA</v>
      </c>
      <c r="J8" t="e">
        <v>#VALUE!</v>
      </c>
    </row>
    <row r="9" spans="1:11" x14ac:dyDescent="0.3">
      <c r="A9" s="19" t="str">
        <v>2010992010 </v>
      </c>
      <c r="B9">
        <v>87.714285714285722</v>
      </c>
      <c r="C9" s="1">
        <v>72.342857142857142</v>
      </c>
      <c r="D9">
        <v>34</v>
      </c>
      <c r="E9" t="str">
        <v>NA</v>
      </c>
      <c r="F9" t="str">
        <v>NA</v>
      </c>
      <c r="G9" t="str">
        <v>NA</v>
      </c>
      <c r="H9">
        <v>85.619929453262785</v>
      </c>
      <c r="I9" t="str">
        <v>NA</v>
      </c>
      <c r="J9">
        <v>70.846560846560834</v>
      </c>
    </row>
    <row r="10" spans="1:11" x14ac:dyDescent="0.3">
      <c r="A10" s="19" t="str">
        <v>2010992011 </v>
      </c>
      <c r="B10">
        <v>92</v>
      </c>
      <c r="C10" s="1">
        <v>74.510344827586209</v>
      </c>
      <c r="D10">
        <v>42</v>
      </c>
      <c r="E10" t="str">
        <v>NA</v>
      </c>
      <c r="F10" t="str">
        <v>NA</v>
      </c>
      <c r="G10" t="str">
        <v>NA</v>
      </c>
      <c r="H10">
        <v>89.905643738977076</v>
      </c>
      <c r="I10" t="str">
        <v>NA</v>
      </c>
      <c r="J10">
        <v>73.014048531289916</v>
      </c>
    </row>
    <row r="11" spans="1:11" x14ac:dyDescent="0.3">
      <c r="A11" s="19" t="str">
        <v>2010992012 </v>
      </c>
      <c r="B11">
        <v>66.73684210526315</v>
      </c>
      <c r="C11" s="1">
        <v>86.885714285714286</v>
      </c>
      <c r="D11">
        <v>78</v>
      </c>
      <c r="E11" t="str">
        <v>NA</v>
      </c>
      <c r="F11" t="str">
        <v>NA</v>
      </c>
      <c r="G11" t="str">
        <v>NA</v>
      </c>
      <c r="H11">
        <v>64.642485844240241</v>
      </c>
      <c r="I11" t="str">
        <v>NA</v>
      </c>
      <c r="J11">
        <v>87.989417989417959</v>
      </c>
    </row>
    <row r="12" spans="1:11" x14ac:dyDescent="0.3">
      <c r="A12" s="19" t="str">
        <v>2010992014 </v>
      </c>
      <c r="B12">
        <v>92</v>
      </c>
      <c r="C12" s="1">
        <v>69.742857142857133</v>
      </c>
      <c r="D12">
        <v>46</v>
      </c>
      <c r="E12" t="str">
        <v>NA</v>
      </c>
      <c r="F12" t="str">
        <v>NA</v>
      </c>
      <c r="G12" t="str">
        <v>NA</v>
      </c>
      <c r="H12">
        <v>89.905643738977076</v>
      </c>
      <c r="I12" t="str">
        <v>NA</v>
      </c>
      <c r="J12">
        <v>70.846560846560834</v>
      </c>
    </row>
    <row r="13" spans="1:11" x14ac:dyDescent="0.3">
      <c r="A13" s="19" t="str">
        <v>2010992015 </v>
      </c>
      <c r="B13">
        <v>92</v>
      </c>
      <c r="C13" s="1">
        <v>72.342857142857142</v>
      </c>
      <c r="D13">
        <v>33</v>
      </c>
      <c r="E13" t="str">
        <v>NA</v>
      </c>
      <c r="F13" t="str">
        <v>NA</v>
      </c>
      <c r="G13" t="str">
        <v>NA</v>
      </c>
      <c r="H13">
        <v>89.905643738977076</v>
      </c>
      <c r="I13" t="str">
        <v>NA</v>
      </c>
      <c r="J13">
        <v>70.846560846560834</v>
      </c>
    </row>
    <row r="14" spans="1:11" x14ac:dyDescent="0.3">
      <c r="A14" s="19" t="str">
        <v>2010992016 </v>
      </c>
      <c r="B14">
        <v>73.538461538461533</v>
      </c>
      <c r="C14" s="1">
        <v>78.482352941176472</v>
      </c>
      <c r="D14">
        <v>54</v>
      </c>
      <c r="E14" t="str">
        <v>NA</v>
      </c>
      <c r="F14" t="str">
        <v>NA</v>
      </c>
      <c r="G14" t="str">
        <v>NA</v>
      </c>
      <c r="H14">
        <v>71.444105277438609</v>
      </c>
      <c r="I14" t="str">
        <v>NA</v>
      </c>
      <c r="J14">
        <v>79.586056644880202</v>
      </c>
    </row>
    <row r="15" spans="1:11" x14ac:dyDescent="0.3">
      <c r="A15" s="19" t="str">
        <v>2010992017 </v>
      </c>
      <c r="B15">
        <v>92</v>
      </c>
      <c r="C15" s="1">
        <v>76.738461538461536</v>
      </c>
      <c r="D15">
        <v>34</v>
      </c>
      <c r="E15" t="str">
        <v>NA</v>
      </c>
      <c r="F15" t="str">
        <v>NA</v>
      </c>
      <c r="G15" t="str">
        <v>NA</v>
      </c>
      <c r="H15">
        <v>89.905643738977076</v>
      </c>
      <c r="I15" t="str">
        <v>NA</v>
      </c>
      <c r="J15">
        <v>75.242165242165228</v>
      </c>
    </row>
    <row r="16" spans="1:11" x14ac:dyDescent="0.3">
      <c r="A16" s="19" t="str">
        <v>2010992018 </v>
      </c>
      <c r="B16">
        <v>79.142857142857139</v>
      </c>
      <c r="C16" s="1">
        <v>77.116129032258058</v>
      </c>
      <c r="D16">
        <v>46</v>
      </c>
      <c r="E16" t="str">
        <v>NA</v>
      </c>
      <c r="F16" t="str">
        <v>NA</v>
      </c>
      <c r="G16" t="str">
        <v>NA</v>
      </c>
      <c r="H16">
        <v>86.640896358543415</v>
      </c>
      <c r="I16" t="str">
        <v>NA</v>
      </c>
      <c r="J16" t="e">
        <v>#VALUE!</v>
      </c>
    </row>
    <row r="17" spans="1:10" x14ac:dyDescent="0.3">
      <c r="A17" s="19" t="str">
        <v>2010992163 </v>
      </c>
      <c r="B17">
        <v>73.538461538461533</v>
      </c>
      <c r="C17" s="1">
        <v>89.07058823529411</v>
      </c>
      <c r="D17">
        <v>73.199999999999989</v>
      </c>
      <c r="E17" t="str">
        <v>NA</v>
      </c>
      <c r="F17" t="str">
        <v>NA</v>
      </c>
      <c r="G17" t="str">
        <v>NA</v>
      </c>
      <c r="H17">
        <v>81.036500754147809</v>
      </c>
      <c r="I17" t="str">
        <v>NA</v>
      </c>
      <c r="J17" t="e">
        <v>#VALUE!</v>
      </c>
    </row>
    <row r="18" spans="1:10" x14ac:dyDescent="0.3">
      <c r="A18" s="19" t="str">
        <v>2010992202 </v>
      </c>
      <c r="B18">
        <v>66.73684210526315</v>
      </c>
      <c r="C18" s="1">
        <v>77.599999999999994</v>
      </c>
      <c r="D18">
        <v>56.4</v>
      </c>
      <c r="E18" t="str">
        <v>NA</v>
      </c>
      <c r="F18" t="str">
        <v>NA</v>
      </c>
      <c r="G18" t="str">
        <v>NA</v>
      </c>
      <c r="H18">
        <v>64.642485844240241</v>
      </c>
      <c r="I18" t="str">
        <v>NA</v>
      </c>
      <c r="J18">
        <v>78.703703703703709</v>
      </c>
    </row>
    <row r="19" spans="1:10" x14ac:dyDescent="0.3">
      <c r="A19" s="19" t="str">
        <v>2010992203 </v>
      </c>
      <c r="B19">
        <v>72</v>
      </c>
      <c r="C19" s="1">
        <v>83.369230769230768</v>
      </c>
      <c r="D19">
        <v>78</v>
      </c>
      <c r="E19" t="str">
        <v>NA</v>
      </c>
      <c r="F19" t="str">
        <v>NA</v>
      </c>
      <c r="G19" t="str">
        <v>NA</v>
      </c>
      <c r="H19">
        <v>69.905643738977062</v>
      </c>
      <c r="I19" t="str">
        <v>NA</v>
      </c>
      <c r="J19">
        <v>84.472934472934455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OBE Details</vt:lpstr>
      <vt:lpstr>ST1 CO Question Map</vt:lpstr>
      <vt:lpstr>ST1 Result</vt:lpstr>
      <vt:lpstr>ST2 CO Question Map</vt:lpstr>
      <vt:lpstr>ST2 Result</vt:lpstr>
      <vt:lpstr>ST3 CO Question Map</vt:lpstr>
      <vt:lpstr>ST3 Result</vt:lpstr>
      <vt:lpstr>ETE CO Question Map</vt:lpstr>
      <vt:lpstr>ETE Result</vt:lpstr>
      <vt:lpstr>ST1 Student Marks</vt:lpstr>
      <vt:lpstr>ST1 Question Map</vt:lpstr>
      <vt:lpstr>ST1 Student MO CO Score</vt:lpstr>
      <vt:lpstr>ST1 Student Attained CO Score</vt:lpstr>
      <vt:lpstr>ST1 Student Attainment percent</vt:lpstr>
      <vt:lpstr>ST1 CO Attainment Score</vt:lpstr>
      <vt:lpstr>ST1 Target Attained</vt:lpstr>
      <vt:lpstr>ST2 Student Marks</vt:lpstr>
      <vt:lpstr>ST2 Question Map</vt:lpstr>
      <vt:lpstr>ST2 Student MO CO Score</vt:lpstr>
      <vt:lpstr>ST2 Student Attained CO Score</vt:lpstr>
      <vt:lpstr>ST2 Student Attainment percent</vt:lpstr>
      <vt:lpstr>ST2 CO Attainment Score</vt:lpstr>
      <vt:lpstr>ST2 Target Attained</vt:lpstr>
      <vt:lpstr>ST3 Student Marks</vt:lpstr>
      <vt:lpstr>ST3 Question Map</vt:lpstr>
      <vt:lpstr>ST3 Student MO CO Score</vt:lpstr>
      <vt:lpstr>ST3 Student Attained CO Score</vt:lpstr>
      <vt:lpstr>ST3 Student Attainment percent</vt:lpstr>
      <vt:lpstr>ST3 CO Attainment Score</vt:lpstr>
      <vt:lpstr>ST3 Target Attained</vt:lpstr>
      <vt:lpstr>ETE Student Marks</vt:lpstr>
      <vt:lpstr>ETE Question Map</vt:lpstr>
      <vt:lpstr>ETE Student MO CO Score</vt:lpstr>
      <vt:lpstr>ETE Student Attained CO Score</vt:lpstr>
      <vt:lpstr>ETE Student Attainment percent</vt:lpstr>
      <vt:lpstr>ETE CO Attainment Score</vt:lpstr>
      <vt:lpstr>ETE Target Attained</vt:lpstr>
      <vt:lpstr>ST1 Student Wise</vt:lpstr>
      <vt:lpstr>ST2 Student Wise</vt:lpstr>
      <vt:lpstr>ST3 Student Wise</vt:lpstr>
      <vt:lpstr>ETE Student Wise</vt:lpstr>
      <vt:lpstr>Averages</vt:lpstr>
      <vt:lpstr>CO Attainment</vt:lpstr>
      <vt:lpstr>Student Wise OVR MO</vt:lpstr>
      <vt:lpstr>Student Wise OVR percent</vt:lpstr>
      <vt:lpstr>Student Exam Marks </vt:lpstr>
      <vt:lpstr>Student Exam Map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Prateek Singh</cp:lastModifiedBy>
  <dcterms:created xsi:type="dcterms:W3CDTF">2015-06-05T18:17:20Z</dcterms:created>
  <dcterms:modified xsi:type="dcterms:W3CDTF">2025-12-30T08:02:09Z</dcterms:modified>
</cp:coreProperties>
</file>