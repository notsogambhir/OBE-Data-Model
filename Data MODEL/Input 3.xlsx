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BE-Data-Model\Data MODEL\"/>
    </mc:Choice>
  </mc:AlternateContent>
  <xr:revisionPtr revIDLastSave="0" documentId="13_ncr:1_{0F97C2FD-528E-4BD7-BB52-368650A92A93}" xr6:coauthVersionLast="47" xr6:coauthVersionMax="47" xr10:uidLastSave="{00000000-0000-0000-0000-000000000000}"/>
  <bookViews>
    <workbookView xWindow="-120" yWindow="-120" windowWidth="29040" windowHeight="15720" firstSheet="1" activeTab="7" xr2:uid="{B1E4A8B4-03E1-4452-B829-205B05F0277B}"/>
  </bookViews>
  <sheets>
    <sheet name="OBE Details" sheetId="1" r:id="rId1"/>
    <sheet name="ST1 Ques Mapping" sheetId="2" r:id="rId2"/>
    <sheet name="ST1 Result" sheetId="3" r:id="rId3"/>
    <sheet name="ST2 Ques Mapping" sheetId="4" r:id="rId4"/>
    <sheet name="ST2 Result" sheetId="7" r:id="rId5"/>
    <sheet name="ST3 Ques Mapping" sheetId="5" r:id="rId6"/>
    <sheet name="ST3 Result" sheetId="8" r:id="rId7"/>
    <sheet name="ETE Ques Mapping" sheetId="6" r:id="rId8"/>
    <sheet name="ETE Result" sheetId="9" r:id="rId9"/>
    <sheet name="ASN Ques Mapping" sheetId="10" r:id="rId10"/>
    <sheet name="ASN Result" sheetId="11" r:id="rId11"/>
  </sheets>
  <externalReferences>
    <externalReference r:id="rId1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9" l="1" a="1"/>
  <c r="V2" i="9" s="1"/>
  <c r="F1" i="9" a="1"/>
  <c r="F1" i="9" s="1"/>
  <c r="J2" i="11" l="1" a="1"/>
  <c r="J2" i="11" s="1"/>
  <c r="F1" i="11" a="1"/>
  <c r="F1" i="11" s="1"/>
  <c r="S2" i="3" a="1"/>
  <c r="S2" i="3" s="1"/>
  <c r="AC4" i="8"/>
  <c r="AC3" i="8"/>
  <c r="AC2" i="8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<sst xmlns="http://schemas.openxmlformats.org/spreadsheetml/2006/main" count="1073" uniqueCount="102">
  <si>
    <t>CO Score</t>
  </si>
  <si>
    <t>Percentage of Co attained</t>
  </si>
  <si>
    <t>Threshold</t>
  </si>
  <si>
    <t>Types</t>
  </si>
  <si>
    <t>Weightages</t>
  </si>
  <si>
    <t>Internal (Avg of ST1,ST2,ST3)</t>
  </si>
  <si>
    <t>External(ETE)</t>
  </si>
  <si>
    <t>Perecntage of students attaining Target</t>
  </si>
  <si>
    <t>Q_Id</t>
  </si>
  <si>
    <t>Max Marks</t>
  </si>
  <si>
    <t>CO1</t>
  </si>
  <si>
    <t>CO2</t>
  </si>
  <si>
    <t>CO3</t>
  </si>
  <si>
    <t>CO4</t>
  </si>
  <si>
    <t>CO5</t>
  </si>
  <si>
    <t>CO6</t>
  </si>
  <si>
    <t>1a</t>
  </si>
  <si>
    <t>1b</t>
  </si>
  <si>
    <t>1c</t>
  </si>
  <si>
    <t>1d</t>
  </si>
  <si>
    <t>1e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</si>
  <si>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</si>
  <si>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</si>
  <si>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</si>
  <si>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</si>
  <si>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</si>
  <si>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</si>
  <si>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</si>
  <si>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</si>
  <si>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</si>
  <si>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</si>
  <si>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</si>
  <si>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</si>
  <si>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</si>
  <si>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</si>
  <si>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</si>
  <si>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Assignment</t>
  </si>
  <si>
    <t>FA1</t>
  </si>
  <si>
    <t>FA2</t>
  </si>
  <si>
    <t>Sr.no</t>
  </si>
  <si>
    <t>Admission No. (Roll No.)</t>
  </si>
  <si>
    <t>Name of Student</t>
  </si>
  <si>
    <t>Course Code</t>
  </si>
  <si>
    <t>Exam Name (ETE/ST/FA)</t>
  </si>
  <si>
    <t>Total Marks</t>
  </si>
  <si>
    <t>max Marks</t>
  </si>
  <si>
    <t>23EC360</t>
  </si>
  <si>
    <t>ST1</t>
  </si>
  <si>
    <t>U</t>
  </si>
  <si>
    <t>ST2</t>
  </si>
  <si>
    <t>ST3</t>
  </si>
  <si>
    <t>ETE</t>
  </si>
  <si>
    <t>Q1</t>
  </si>
  <si>
    <t>TotUl MUrks</t>
  </si>
  <si>
    <t>Maximum marks</t>
  </si>
  <si>
    <t>ABHISHEK PRASHAR </t>
  </si>
  <si>
    <t>ME201</t>
  </si>
  <si>
    <t>ABHINAV SHARMA </t>
  </si>
  <si>
    <t>ADITYA SHARDA </t>
  </si>
  <si>
    <t>AMEY DHIMAN </t>
  </si>
  <si>
    <t>AMOGH SHARMA </t>
  </si>
  <si>
    <t>ARMANDEEP SINGH </t>
  </si>
  <si>
    <t>ASHWIN KRISHNAN </t>
  </si>
  <si>
    <t>DEVEN SINGH RANOUT </t>
  </si>
  <si>
    <t>GURMANJOT SINGH </t>
  </si>
  <si>
    <t>GURPARTAP SINGH SALUJA </t>
  </si>
  <si>
    <t>HARSIRAT SINGH </t>
  </si>
  <si>
    <t>JASKARAN SINGH </t>
  </si>
  <si>
    <t>MOHIT DUGGAL </t>
  </si>
  <si>
    <t>NAVARUN SHARMA </t>
  </si>
  <si>
    <t>PAAVAN SARNA </t>
  </si>
  <si>
    <t>RAHUL LAKHANPAL </t>
  </si>
  <si>
    <t>SHIVAM MEHNDIRATTA </t>
  </si>
  <si>
    <t>SHUBHAM SHARMA </t>
  </si>
  <si>
    <t>SIDDHANT KUMAR LAMBA </t>
  </si>
  <si>
    <t>HARSH  </t>
  </si>
  <si>
    <t>KANU CHAUHAN </t>
  </si>
  <si>
    <t>VANSH MITTAL </t>
  </si>
  <si>
    <t>ARAV BHARDWAJ </t>
  </si>
  <si>
    <t>SUMIT KUMAR </t>
  </si>
  <si>
    <t>TANISHQ GULATI </t>
  </si>
  <si>
    <t>YATIN VERMA </t>
  </si>
  <si>
    <t>ARGHA DAS </t>
  </si>
  <si>
    <t>MAYANK KATOCH </t>
  </si>
  <si>
    <t>RANJEET CHAUHAN </t>
  </si>
  <si>
    <t>RUPESH KUMAR </t>
  </si>
  <si>
    <t>ABHINAV CHAND </t>
  </si>
  <si>
    <t>ASHUTOSH SHARMA </t>
  </si>
  <si>
    <t>AYUSH SHARMA </t>
  </si>
  <si>
    <t>ARPIT PANDYA  </t>
  </si>
  <si>
    <t>SHIVAM ASHUTOSH </t>
  </si>
  <si>
    <t>RISHABH THAKUR</t>
  </si>
  <si>
    <t>KHYATH THAKUR</t>
  </si>
  <si>
    <t>BHANU</t>
  </si>
  <si>
    <t>Exam Name</t>
  </si>
  <si>
    <t>Q_ID</t>
  </si>
  <si>
    <t>Asignment 1</t>
  </si>
  <si>
    <t>Asignment 2</t>
  </si>
  <si>
    <t>Asignment 3</t>
  </si>
  <si>
    <t>Asignment 4</t>
  </si>
  <si>
    <t xml:space="preserve">Total Marks Obtained </t>
  </si>
  <si>
    <t>ASN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</si>
</sst>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rgb="FF000000"/>
      <name val="&quot;Times New Roman&quot;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FBFBFB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2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1" xfId="0" applyFont="1" applyBorder="1"/>
    <xf numFmtId="0" fontId="1" fillId="0" borderId="3" xfId="0" applyFont="1" applyBorder="1"/>
    <xf numFmtId="0" fontId="2" fillId="0" borderId="4" xfId="0" applyFont="1" applyBorder="1" applyAlignment="1">
      <alignment horizontal="right"/>
    </xf>
    <xf numFmtId="0" fontId="3" fillId="0" borderId="5" xfId="0" applyFont="1" applyBorder="1"/>
    <xf numFmtId="0" fontId="3" fillId="0" borderId="6" xfId="0" applyFont="1" applyBorder="1"/>
    <xf numFmtId="0" fontId="1" fillId="0" borderId="4" xfId="0" applyFont="1" applyBorder="1"/>
    <xf numFmtId="9" fontId="2" fillId="0" borderId="4" xfId="0" applyNumberFormat="1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right" wrapText="1"/>
    </xf>
    <xf numFmtId="0" fontId="2" fillId="0" borderId="7" xfId="0" applyFont="1" applyBorder="1" applyAlignment="1">
      <alignment horizontal="center" wrapText="1"/>
    </xf>
    <xf numFmtId="0" fontId="2" fillId="0" borderId="7" xfId="0" applyFont="1" applyBorder="1" applyAlignment="1">
      <alignment horizontal="left" vertical="top"/>
    </xf>
    <xf numFmtId="0" fontId="4" fillId="0" borderId="7" xfId="0" applyFont="1" applyBorder="1" applyAlignment="1">
      <alignment horizontal="right" wrapText="1"/>
    </xf>
    <xf numFmtId="0" fontId="2" fillId="0" borderId="1" xfId="0" applyFont="1" applyBorder="1" applyAlignment="1">
      <alignment vertical="top" wrapText="1"/>
    </xf>
    <xf numFmtId="0" fontId="2" fillId="0" borderId="8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horizontal="right" vertical="top" wrapText="1"/>
    </xf>
    <xf numFmtId="0" fontId="2" fillId="0" borderId="4" xfId="0" applyFont="1" applyBorder="1" applyAlignment="1">
      <alignment horizontal="center" vertical="top" wrapText="1"/>
    </xf>
    <xf numFmtId="0" fontId="1" fillId="0" borderId="9" xfId="0" applyFont="1" applyBorder="1"/>
    <xf numFmtId="9" fontId="2" fillId="0" borderId="10" xfId="0" applyNumberFormat="1" applyFont="1" applyBorder="1" applyAlignment="1">
      <alignment horizontal="right"/>
    </xf>
    <xf numFmtId="0" fontId="0" fillId="0" borderId="11" xfId="0" applyBorder="1" applyProtection="1"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1" xfId="0" applyBorder="1"/>
    <xf numFmtId="0" fontId="0" fillId="0" borderId="0" xfId="0" applyProtection="1">
      <protection locked="0"/>
    </xf>
    <xf numFmtId="0" fontId="0" fillId="0" borderId="11" xfId="0" applyBorder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11" xfId="0" applyBorder="1" applyProtection="1">
      <protection locked="0"/>
    </xf>
    <xf numFmtId="1" fontId="0" fillId="0" borderId="0" xfId="0" applyNumberFormat="1" applyProtection="1">
      <protection locked="0"/>
    </xf>
    <xf numFmtId="1" fontId="0" fillId="0" borderId="11" xfId="0" applyNumberFormat="1" applyBorder="1" applyAlignment="1" applyProtection="1">
      <alignment horizontal="right"/>
      <protection locked="0"/>
    </xf>
    <xf numFmtId="1" fontId="0" fillId="0" borderId="0" xfId="0" applyNumberFormat="1" applyAlignment="1" applyProtection="1">
      <alignment horizontal="right"/>
      <protection locked="0"/>
    </xf>
    <xf numFmtId="1" fontId="5" fillId="0" borderId="0" xfId="0" applyNumberFormat="1" applyFont="1" applyAlignment="1" applyProtection="1">
      <alignment horizontal="right"/>
      <protection locked="0"/>
    </xf>
    <xf numFmtId="0" fontId="6" fillId="2" borderId="11" xfId="0" applyFont="1" applyFill="1" applyBorder="1" applyAlignment="1">
      <alignment horizontal="center" vertical="top" wrapText="1"/>
    </xf>
    <xf numFmtId="0" fontId="6" fillId="3" borderId="1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Other%20computers\USB%20and%20External%20Devices\Gambhir%2064\Mech%20dept\Theory%20Courses\2nd%20Sem\ME201\Teacher%20Input%20Sheet.xlsx" TargetMode="External"/><Relationship Id="rId1" Type="http://schemas.openxmlformats.org/officeDocument/2006/relationships/externalLinkPath" Target="file:///G:\Other%20computers\USB%20and%20External%20Devices\Gambhir%2064\Mech%20dept\Theory%20Courses\2nd%20Sem\ME201\Teacher%20Input%20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BE Details"/>
      <sheetName val="ST1 Question Map"/>
      <sheetName val="ST1 Result"/>
      <sheetName val="ST2 Question Map"/>
      <sheetName val="ST2 Result"/>
      <sheetName val="ST3 Question Map"/>
      <sheetName val="ST3 Result"/>
      <sheetName val="ETE Question Map"/>
      <sheetName val="ETE Result"/>
      <sheetName val="ASN Question Map"/>
      <sheetName val="ASN Resul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A2" t="str">
            <v>Q1</v>
          </cell>
        </row>
        <row r="3">
          <cell r="A3" t="str">
            <v>Q2</v>
          </cell>
        </row>
        <row r="4">
          <cell r="A4" t="str">
            <v>Q3</v>
          </cell>
        </row>
        <row r="5">
          <cell r="A5" t="str">
            <v>Q4</v>
          </cell>
        </row>
        <row r="6">
          <cell r="A6" t="str">
            <v>Q5</v>
          </cell>
        </row>
        <row r="7">
          <cell r="A7" t="str">
            <v>Q6</v>
          </cell>
        </row>
        <row r="8">
          <cell r="A8" t="str">
            <v>Q7</v>
          </cell>
        </row>
        <row r="9">
          <cell r="A9" t="str">
            <v>Q8</v>
          </cell>
        </row>
        <row r="10">
          <cell r="A10" t="str">
            <v>Q9</v>
          </cell>
        </row>
        <row r="11">
          <cell r="A11" t="str">
            <v>Q10</v>
          </cell>
        </row>
        <row r="12">
          <cell r="A12" t="str">
            <v>Q11</v>
          </cell>
        </row>
        <row r="13">
          <cell r="A13" t="str">
            <v>Q12</v>
          </cell>
        </row>
        <row r="14">
          <cell r="A14" t="str">
            <v>Q13</v>
          </cell>
        </row>
        <row r="15">
          <cell r="A15" t="str">
            <v>Q14</v>
          </cell>
        </row>
        <row r="16">
          <cell r="A16" t="str">
            <v>Q15</v>
          </cell>
        </row>
        <row r="17">
          <cell r="A17" t="str">
            <v>Q16</v>
          </cell>
        </row>
      </sheetData>
      <sheetData sheetId="8"/>
      <sheetData sheetId="9">
        <row r="2">
          <cell r="A2" t="str">
            <v>Asignment 1</v>
          </cell>
        </row>
        <row r="3">
          <cell r="A3" t="str">
            <v>Asignment 2</v>
          </cell>
        </row>
        <row r="4">
          <cell r="A4" t="str">
            <v>Asignment 3</v>
          </cell>
        </row>
        <row r="5">
          <cell r="A5" t="str">
            <v>Asignment 4</v>
          </cell>
        </row>
      </sheetData>
      <sheetData sheetId="10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DA65C-456D-42EE-841C-F5A347A45114}">
  <dimension ref="A1:B13"/>
  <sheetViews>
    <sheetView zoomScale="150" workbookViewId="0">
      <selection activeCell="B8" sqref="B8"/>
    </sheetView>
  </sheetViews>
  <sheetFormatPr defaultRowHeight="15"/>
  <cols>
    <col min="1" max="1" width="26.85546875" bestFit="1" customWidth="1"/>
    <col min="2" max="2" width="37" bestFit="1" customWidth="1"/>
  </cols>
  <sheetData>
    <row r="1" spans="1:2" ht="15.75" thickBot="1">
      <c r="A1" s="3" t="s">
        <v>0</v>
      </c>
      <c r="B1" s="1" t="s">
        <v>1</v>
      </c>
    </row>
    <row r="2" spans="1:2" ht="15.75" thickBot="1">
      <c r="A2" s="4" t="s">
        <v>2</v>
      </c>
      <c r="B2" s="5">
        <v>60</v>
      </c>
    </row>
    <row r="3" spans="1:2" ht="15.75" thickBot="1">
      <c r="A3" s="6"/>
      <c r="B3" s="6"/>
    </row>
    <row r="4" spans="1:2" ht="15.75" thickBot="1">
      <c r="A4" s="7"/>
      <c r="B4" s="7"/>
    </row>
    <row r="5" spans="1:2" ht="15.75" thickBot="1">
      <c r="A5" s="4" t="s">
        <v>3</v>
      </c>
      <c r="B5" s="8" t="s">
        <v>4</v>
      </c>
    </row>
    <row r="6" spans="1:2" ht="15.75" thickBot="1">
      <c r="A6" s="4" t="s">
        <v>5</v>
      </c>
      <c r="B6" s="9">
        <v>0.3</v>
      </c>
    </row>
    <row r="7" spans="1:2" ht="15.75" thickBot="1">
      <c r="A7" s="4" t="s">
        <v>6</v>
      </c>
      <c r="B7" s="9">
        <v>0.6</v>
      </c>
    </row>
    <row r="8" spans="1:2" ht="15.75" thickBot="1">
      <c r="A8" s="22" t="s">
        <v>36</v>
      </c>
      <c r="B8" s="23">
        <v>0.1</v>
      </c>
    </row>
    <row r="9" spans="1:2" ht="15.75" thickBot="1">
      <c r="A9" s="7"/>
      <c r="B9" s="7"/>
    </row>
    <row r="10" spans="1:2" ht="15.75" thickBot="1">
      <c r="A10" s="4" t="s">
        <v>0</v>
      </c>
      <c r="B10" s="2" t="s">
        <v>7</v>
      </c>
    </row>
    <row r="11" spans="1:2" ht="15.75" thickBot="1">
      <c r="A11" s="10">
        <v>3</v>
      </c>
      <c r="B11" s="9">
        <v>0.8</v>
      </c>
    </row>
    <row r="12" spans="1:2" ht="15.75" thickBot="1">
      <c r="A12" s="10">
        <v>2</v>
      </c>
      <c r="B12" s="9">
        <v>0.7</v>
      </c>
    </row>
    <row r="13" spans="1:2" ht="15.75" thickBot="1">
      <c r="A13" s="10">
        <v>1</v>
      </c>
      <c r="B13" s="9">
        <v>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ABA6D-A731-4491-BED9-7DC5085D106F}">
  <dimension ref="A1:D14"/>
  <sheetViews>
    <sheetView zoomScale="201" workbookViewId="0">
      <selection activeCell="D1" sqref="D1"/>
    </sheetView>
  </sheetViews>
  <sheetFormatPr defaultRowHeight="15"/>
  <sheetData>
    <row r="1" spans="1:4">
      <c r="A1" s="25" t="s">
        <v>8</v>
      </c>
      <c r="B1" s="25" t="s">
        <v>9</v>
      </c>
      <c r="C1" s="25" t="s">
        <v>10</v>
      </c>
      <c r="D1" s="25" t="s">
        <v>11</v>
      </c>
    </row>
    <row r="2" spans="1:4">
      <c r="A2" s="25" t="s">
        <v>52</v>
      </c>
      <c r="B2" s="25">
        <v>5</v>
      </c>
      <c r="C2" s="24" t="b">
        <v>0</v>
      </c>
      <c r="D2" s="24" t="b">
        <v>1</v>
      </c>
    </row>
    <row r="3" spans="1:4">
      <c r="A3" s="25" t="s">
        <v>21</v>
      </c>
      <c r="B3" s="25">
        <v>2</v>
      </c>
      <c r="C3" s="24" t="b">
        <v>1</v>
      </c>
      <c r="D3" s="24" t="b">
        <v>0</v>
      </c>
    </row>
    <row r="4" spans="1:4">
      <c r="A4" s="25" t="s">
        <v>22</v>
      </c>
      <c r="B4" s="25">
        <v>2</v>
      </c>
      <c r="C4" s="24" t="b">
        <v>0</v>
      </c>
      <c r="D4" s="24" t="b">
        <v>1</v>
      </c>
    </row>
    <row r="5" spans="1:4">
      <c r="A5" s="25" t="s">
        <v>23</v>
      </c>
      <c r="B5" s="25">
        <v>2</v>
      </c>
      <c r="C5" s="24" t="b">
        <v>1</v>
      </c>
      <c r="D5" s="24" t="b">
        <v>0</v>
      </c>
    </row>
    <row r="6" spans="1:4">
      <c r="A6" s="25" t="s">
        <v>24</v>
      </c>
      <c r="B6" s="25">
        <v>2</v>
      </c>
      <c r="C6" s="24" t="b">
        <v>0</v>
      </c>
      <c r="D6" s="24" t="b">
        <v>1</v>
      </c>
    </row>
    <row r="7" spans="1:4">
      <c r="A7" s="25" t="s">
        <v>25</v>
      </c>
      <c r="B7" s="25">
        <v>2</v>
      </c>
      <c r="C7" s="24" t="b">
        <v>1</v>
      </c>
      <c r="D7" s="24" t="b">
        <v>0</v>
      </c>
    </row>
    <row r="8" spans="1:4">
      <c r="A8" s="25" t="s">
        <v>26</v>
      </c>
      <c r="B8" s="25">
        <v>2</v>
      </c>
      <c r="C8" s="24" t="b">
        <v>0</v>
      </c>
      <c r="D8" s="24" t="b">
        <v>1</v>
      </c>
    </row>
    <row r="9" spans="1:4">
      <c r="A9" s="25" t="s">
        <v>27</v>
      </c>
      <c r="B9" s="25">
        <v>5</v>
      </c>
      <c r="C9" s="24" t="b">
        <v>1</v>
      </c>
      <c r="D9" s="24" t="b">
        <v>0</v>
      </c>
    </row>
    <row r="10" spans="1:4">
      <c r="A10" s="25" t="s">
        <v>28</v>
      </c>
      <c r="B10" s="25">
        <v>5</v>
      </c>
      <c r="C10" s="24" t="b">
        <v>0</v>
      </c>
      <c r="D10" s="24" t="b">
        <v>1</v>
      </c>
    </row>
    <row r="11" spans="1:4">
      <c r="A11" s="25" t="s">
        <v>29</v>
      </c>
      <c r="B11" s="25">
        <v>5</v>
      </c>
      <c r="C11" s="24" t="b">
        <v>1</v>
      </c>
      <c r="D11" s="24" t="b">
        <v>0</v>
      </c>
    </row>
    <row r="12" spans="1:4">
      <c r="A12" s="25" t="s">
        <v>30</v>
      </c>
      <c r="B12" s="25">
        <v>5</v>
      </c>
      <c r="C12" s="24" t="b">
        <v>0</v>
      </c>
      <c r="D12" s="24" t="b">
        <v>1</v>
      </c>
    </row>
    <row r="13" spans="1:4">
      <c r="A13" s="25" t="s">
        <v>31</v>
      </c>
      <c r="B13" s="25">
        <v>10</v>
      </c>
      <c r="C13" s="24" t="b">
        <v>1</v>
      </c>
      <c r="D13" s="24" t="b">
        <v>0</v>
      </c>
    </row>
    <row r="14" spans="1:4">
      <c r="A14" s="25" t="s">
        <v>32</v>
      </c>
      <c r="B14" s="25">
        <v>10</v>
      </c>
      <c r="C14" s="24" t="b">
        <v>0</v>
      </c>
      <c r="D14" s="24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25BF5-5BE5-4D5C-ABCB-5EE01C4D804C}">
  <dimension ref="A1:W48"/>
  <sheetViews>
    <sheetView workbookViewId="0">
      <selection activeCell="F1" sqref="F1:R1048576"/>
    </sheetView>
  </sheetViews>
  <sheetFormatPr defaultRowHeight="15"/>
  <cols>
    <col min="1" max="1" width="5.5703125" bestFit="1" customWidth="1"/>
    <col min="2" max="2" width="23.28515625" bestFit="1" customWidth="1"/>
    <col min="3" max="3" width="24.85546875" bestFit="1" customWidth="1"/>
    <col min="4" max="4" width="12" bestFit="1" customWidth="1"/>
    <col min="5" max="5" width="22.28515625" bestFit="1" customWidth="1"/>
    <col min="6" max="14" width="3.42578125" bestFit="1" customWidth="1"/>
    <col min="15" max="18" width="4.42578125" bestFit="1" customWidth="1"/>
    <col min="19" max="19" width="11.5703125" bestFit="1" customWidth="1"/>
    <col min="20" max="20" width="15.85546875" bestFit="1" customWidth="1"/>
    <col min="21" max="21" width="4.140625" bestFit="1" customWidth="1"/>
    <col min="22" max="22" width="11.28515625" bestFit="1" customWidth="1"/>
    <col min="23" max="23" width="10.5703125" bestFit="1" customWidth="1"/>
  </cols>
  <sheetData>
    <row r="1" spans="1:23">
      <c r="A1" s="26" t="s">
        <v>39</v>
      </c>
      <c r="B1" s="26" t="s">
        <v>40</v>
      </c>
      <c r="C1" s="26" t="s">
        <v>41</v>
      </c>
      <c r="D1" s="26" t="s">
        <v>42</v>
      </c>
      <c r="E1" s="26" t="s">
        <v>43</v>
      </c>
      <c r="F1" s="26" t="s">
        <v>52</v>
      </c>
      <c r="G1" s="26" t="s">
        <v>21</v>
      </c>
      <c r="H1" s="26" t="s">
        <v>22</v>
      </c>
      <c r="I1" s="26" t="s">
        <v>23</v>
      </c>
      <c r="J1" s="26" t="s">
        <v>24</v>
      </c>
      <c r="K1" s="26" t="s">
        <v>25</v>
      </c>
      <c r="L1" s="26" t="s">
        <v>26</v>
      </c>
      <c r="M1" s="26" t="s">
        <v>27</v>
      </c>
      <c r="N1" s="26" t="s">
        <v>28</v>
      </c>
      <c r="O1" s="26" t="s">
        <v>29</v>
      </c>
      <c r="P1" s="26" t="s">
        <v>30</v>
      </c>
      <c r="Q1" s="26" t="s">
        <v>31</v>
      </c>
      <c r="R1" s="26" t="s">
        <v>32</v>
      </c>
      <c r="S1" s="26" t="s">
        <v>53</v>
      </c>
      <c r="T1" s="26" t="s">
        <v>54</v>
      </c>
      <c r="U1" s="28"/>
      <c r="V1" s="28"/>
      <c r="W1" s="28"/>
    </row>
    <row r="2" spans="1:23">
      <c r="A2" s="29">
        <v>1</v>
      </c>
      <c r="B2" s="29">
        <v>2010990024</v>
      </c>
      <c r="C2" s="29" t="s">
        <v>55</v>
      </c>
      <c r="D2" s="26" t="s">
        <v>56</v>
      </c>
      <c r="E2" s="26" t="s">
        <v>47</v>
      </c>
      <c r="F2" s="29">
        <v>5</v>
      </c>
      <c r="G2" s="29">
        <v>2</v>
      </c>
      <c r="H2" s="29">
        <v>1</v>
      </c>
      <c r="I2" s="29" t="s">
        <v>48</v>
      </c>
      <c r="J2" s="29">
        <v>1</v>
      </c>
      <c r="K2" s="29">
        <v>2</v>
      </c>
      <c r="L2" s="29">
        <v>2</v>
      </c>
      <c r="M2" s="29" t="s">
        <v>48</v>
      </c>
      <c r="N2" s="29">
        <v>5</v>
      </c>
      <c r="O2" s="29">
        <v>5</v>
      </c>
      <c r="P2" s="29">
        <v>2</v>
      </c>
      <c r="Q2" s="29" t="s">
        <v>48</v>
      </c>
      <c r="R2" s="29">
        <v>10</v>
      </c>
      <c r="S2" s="26" cm="1">
        <f t="array" ref="S2:S39">_xlfn.BYROW(F2:INDEX(R:R, COUNTA(B:B)), _xlfn.LAMBDA(_xlpm.row, SUM(_xlpm.row)))</f>
        <v>35</v>
      </c>
      <c r="T2" s="26">
        <v>40</v>
      </c>
      <c r="U2" s="28"/>
      <c r="V2" s="28"/>
      <c r="W2" s="28"/>
    </row>
    <row r="3" spans="1:23">
      <c r="A3" s="29">
        <v>2</v>
      </c>
      <c r="B3" s="29">
        <v>2010992301</v>
      </c>
      <c r="C3" s="29" t="s">
        <v>57</v>
      </c>
      <c r="D3" s="26" t="s">
        <v>56</v>
      </c>
      <c r="E3" s="26" t="s">
        <v>47</v>
      </c>
      <c r="F3" s="29">
        <v>5</v>
      </c>
      <c r="G3" s="29">
        <v>2</v>
      </c>
      <c r="H3" s="29">
        <v>1</v>
      </c>
      <c r="I3" s="29">
        <v>2</v>
      </c>
      <c r="J3" s="29">
        <v>1</v>
      </c>
      <c r="K3" s="29" t="s">
        <v>48</v>
      </c>
      <c r="L3" s="29">
        <v>2</v>
      </c>
      <c r="M3" s="29">
        <v>1</v>
      </c>
      <c r="N3" s="29" t="s">
        <v>48</v>
      </c>
      <c r="O3" s="29">
        <v>0</v>
      </c>
      <c r="P3" s="29">
        <v>0</v>
      </c>
      <c r="Q3" s="29">
        <v>10</v>
      </c>
      <c r="R3" s="29" t="s">
        <v>48</v>
      </c>
      <c r="S3">
        <v>24</v>
      </c>
      <c r="T3" s="26">
        <v>40</v>
      </c>
      <c r="U3" s="28"/>
      <c r="V3" s="28"/>
      <c r="W3" s="28"/>
    </row>
    <row r="4" spans="1:23">
      <c r="A4" s="29">
        <v>3</v>
      </c>
      <c r="B4" s="29">
        <v>2010992302</v>
      </c>
      <c r="C4" s="29" t="s">
        <v>58</v>
      </c>
      <c r="D4" s="26" t="s">
        <v>56</v>
      </c>
      <c r="E4" s="26" t="s">
        <v>47</v>
      </c>
      <c r="F4" s="29">
        <v>3</v>
      </c>
      <c r="G4" s="29">
        <v>2</v>
      </c>
      <c r="H4" s="29">
        <v>2</v>
      </c>
      <c r="I4" s="29">
        <v>2</v>
      </c>
      <c r="J4" s="29">
        <v>2</v>
      </c>
      <c r="K4" s="29" t="s">
        <v>48</v>
      </c>
      <c r="L4" s="29">
        <v>2</v>
      </c>
      <c r="M4" s="29">
        <v>5</v>
      </c>
      <c r="N4" s="29">
        <v>3</v>
      </c>
      <c r="O4" s="29">
        <v>4</v>
      </c>
      <c r="P4" s="29" t="s">
        <v>48</v>
      </c>
      <c r="Q4" s="29">
        <v>10</v>
      </c>
      <c r="R4" s="29" t="s">
        <v>48</v>
      </c>
      <c r="S4" s="26">
        <v>35</v>
      </c>
      <c r="T4" s="26">
        <v>40</v>
      </c>
      <c r="U4" s="28"/>
      <c r="V4" s="28"/>
      <c r="W4" s="28"/>
    </row>
    <row r="5" spans="1:23">
      <c r="A5" s="29">
        <v>4</v>
      </c>
      <c r="B5" s="29">
        <v>2010992303</v>
      </c>
      <c r="C5" s="29" t="s">
        <v>59</v>
      </c>
      <c r="D5" s="26" t="s">
        <v>56</v>
      </c>
      <c r="E5" s="26" t="s">
        <v>47</v>
      </c>
      <c r="F5" s="29">
        <v>5</v>
      </c>
      <c r="G5" s="29">
        <v>2</v>
      </c>
      <c r="H5" s="29" t="s">
        <v>48</v>
      </c>
      <c r="I5" s="29">
        <v>2</v>
      </c>
      <c r="J5" s="29">
        <v>2</v>
      </c>
      <c r="K5" s="29">
        <v>2</v>
      </c>
      <c r="L5" s="29">
        <v>2</v>
      </c>
      <c r="M5" s="29" t="s">
        <v>48</v>
      </c>
      <c r="N5" s="29">
        <v>5</v>
      </c>
      <c r="O5" s="29">
        <v>2</v>
      </c>
      <c r="P5" s="29">
        <v>2</v>
      </c>
      <c r="Q5" s="29">
        <v>10</v>
      </c>
      <c r="R5" s="29" t="s">
        <v>48</v>
      </c>
      <c r="S5">
        <v>34</v>
      </c>
      <c r="T5" s="26">
        <v>40</v>
      </c>
      <c r="U5" s="28"/>
      <c r="V5" s="28"/>
      <c r="W5" s="28"/>
    </row>
    <row r="6" spans="1:23">
      <c r="A6" s="29">
        <v>5</v>
      </c>
      <c r="B6" s="29">
        <v>2010992304</v>
      </c>
      <c r="C6" s="29" t="s">
        <v>60</v>
      </c>
      <c r="D6" s="26" t="s">
        <v>56</v>
      </c>
      <c r="E6" s="26" t="s">
        <v>47</v>
      </c>
      <c r="F6" s="29">
        <v>5</v>
      </c>
      <c r="G6" s="29">
        <v>2</v>
      </c>
      <c r="H6" s="29">
        <v>2</v>
      </c>
      <c r="I6" s="29">
        <v>2</v>
      </c>
      <c r="J6" s="29">
        <v>2</v>
      </c>
      <c r="K6" s="29" t="s">
        <v>48</v>
      </c>
      <c r="L6" s="29">
        <v>2</v>
      </c>
      <c r="M6" s="29">
        <v>5</v>
      </c>
      <c r="N6" s="29">
        <v>5</v>
      </c>
      <c r="O6" s="29" t="s">
        <v>48</v>
      </c>
      <c r="P6" s="29">
        <v>5</v>
      </c>
      <c r="Q6" s="29">
        <v>6</v>
      </c>
      <c r="R6" s="29" t="s">
        <v>48</v>
      </c>
      <c r="S6">
        <v>36</v>
      </c>
      <c r="T6" s="26">
        <v>40</v>
      </c>
      <c r="U6" s="28"/>
      <c r="V6" s="28"/>
      <c r="W6" s="28"/>
    </row>
    <row r="7" spans="1:23">
      <c r="A7" s="29">
        <v>6</v>
      </c>
      <c r="B7" s="29">
        <v>2010992305</v>
      </c>
      <c r="C7" s="29" t="s">
        <v>61</v>
      </c>
      <c r="D7" s="26" t="s">
        <v>56</v>
      </c>
      <c r="E7" s="26" t="s">
        <v>47</v>
      </c>
      <c r="F7" s="29">
        <v>2</v>
      </c>
      <c r="G7" s="29">
        <v>2</v>
      </c>
      <c r="H7" s="29">
        <v>2</v>
      </c>
      <c r="I7" s="29">
        <v>2</v>
      </c>
      <c r="J7" s="29">
        <v>2</v>
      </c>
      <c r="K7" s="29" t="s">
        <v>48</v>
      </c>
      <c r="L7" s="29">
        <v>1</v>
      </c>
      <c r="M7" s="29">
        <v>2</v>
      </c>
      <c r="N7" s="29" t="s">
        <v>48</v>
      </c>
      <c r="O7" s="29">
        <v>5</v>
      </c>
      <c r="P7" s="29">
        <v>4</v>
      </c>
      <c r="Q7" s="29" t="s">
        <v>48</v>
      </c>
      <c r="R7" s="29">
        <v>10</v>
      </c>
      <c r="S7">
        <v>32</v>
      </c>
      <c r="T7" s="26">
        <v>40</v>
      </c>
      <c r="U7" s="28"/>
      <c r="V7" s="28"/>
      <c r="W7" s="28"/>
    </row>
    <row r="8" spans="1:23">
      <c r="A8" s="29">
        <v>7</v>
      </c>
      <c r="B8" s="29">
        <v>2010992306</v>
      </c>
      <c r="C8" s="29" t="s">
        <v>62</v>
      </c>
      <c r="D8" s="26" t="s">
        <v>56</v>
      </c>
      <c r="E8" s="26" t="s">
        <v>47</v>
      </c>
      <c r="F8" s="29">
        <v>5</v>
      </c>
      <c r="G8" s="29">
        <v>2</v>
      </c>
      <c r="H8" s="29">
        <v>2</v>
      </c>
      <c r="I8" s="29" t="s">
        <v>48</v>
      </c>
      <c r="J8" s="29">
        <v>2</v>
      </c>
      <c r="K8" s="29">
        <v>2</v>
      </c>
      <c r="L8" s="29">
        <v>2</v>
      </c>
      <c r="M8" s="29" t="s">
        <v>48</v>
      </c>
      <c r="N8" s="29">
        <v>5</v>
      </c>
      <c r="O8" s="29">
        <v>5</v>
      </c>
      <c r="P8" s="29">
        <v>4</v>
      </c>
      <c r="Q8" s="29" t="s">
        <v>48</v>
      </c>
      <c r="R8" s="29">
        <v>10</v>
      </c>
      <c r="S8">
        <v>39</v>
      </c>
      <c r="T8" s="26">
        <v>40</v>
      </c>
      <c r="U8" s="28"/>
      <c r="V8" s="28"/>
      <c r="W8" s="28"/>
    </row>
    <row r="9" spans="1:23">
      <c r="A9" s="29">
        <v>8</v>
      </c>
      <c r="B9" s="29">
        <v>2010992308</v>
      </c>
      <c r="C9" s="29" t="s">
        <v>63</v>
      </c>
      <c r="D9" s="26" t="s">
        <v>56</v>
      </c>
      <c r="E9" s="26" t="s">
        <v>47</v>
      </c>
      <c r="F9" s="29">
        <v>5</v>
      </c>
      <c r="G9" s="29">
        <v>2</v>
      </c>
      <c r="H9" s="29">
        <v>2</v>
      </c>
      <c r="I9" s="29">
        <v>2</v>
      </c>
      <c r="J9" s="29">
        <v>2</v>
      </c>
      <c r="K9" s="29">
        <v>2</v>
      </c>
      <c r="L9" s="29" t="s">
        <v>48</v>
      </c>
      <c r="M9" s="29">
        <v>5</v>
      </c>
      <c r="N9" s="29">
        <v>4</v>
      </c>
      <c r="O9" s="29" t="s">
        <v>48</v>
      </c>
      <c r="P9" s="29">
        <v>5</v>
      </c>
      <c r="Q9" s="29" t="s">
        <v>48</v>
      </c>
      <c r="R9" s="29">
        <v>6</v>
      </c>
      <c r="S9">
        <v>35</v>
      </c>
      <c r="T9" s="26">
        <v>40</v>
      </c>
      <c r="U9" s="28"/>
      <c r="V9" s="28"/>
      <c r="W9" s="28"/>
    </row>
    <row r="10" spans="1:23">
      <c r="A10" s="29">
        <v>9</v>
      </c>
      <c r="B10" s="29">
        <v>2010992310</v>
      </c>
      <c r="C10" s="29" t="s">
        <v>64</v>
      </c>
      <c r="D10" s="26" t="s">
        <v>56</v>
      </c>
      <c r="E10" s="26" t="s">
        <v>47</v>
      </c>
      <c r="F10" s="29">
        <v>5</v>
      </c>
      <c r="G10" s="29" t="s">
        <v>48</v>
      </c>
      <c r="H10" s="29">
        <v>2</v>
      </c>
      <c r="I10" s="29">
        <v>2</v>
      </c>
      <c r="J10" s="29">
        <v>2</v>
      </c>
      <c r="K10" s="29">
        <v>2</v>
      </c>
      <c r="L10" s="29">
        <v>2</v>
      </c>
      <c r="M10" s="29" t="s">
        <v>48</v>
      </c>
      <c r="N10" s="29">
        <v>5</v>
      </c>
      <c r="O10" s="29">
        <v>5</v>
      </c>
      <c r="P10" s="29">
        <v>5</v>
      </c>
      <c r="Q10" s="29">
        <v>6</v>
      </c>
      <c r="R10" s="29" t="s">
        <v>48</v>
      </c>
      <c r="S10">
        <v>36</v>
      </c>
      <c r="T10" s="26">
        <v>40</v>
      </c>
      <c r="U10" s="26"/>
      <c r="V10" s="26"/>
      <c r="W10" s="28"/>
    </row>
    <row r="11" spans="1:23">
      <c r="A11" s="29">
        <v>10</v>
      </c>
      <c r="B11" s="29">
        <v>2010992311</v>
      </c>
      <c r="C11" s="29" t="s">
        <v>65</v>
      </c>
      <c r="D11" s="26" t="s">
        <v>56</v>
      </c>
      <c r="E11" s="26" t="s">
        <v>47</v>
      </c>
      <c r="F11" s="29">
        <v>5</v>
      </c>
      <c r="G11" s="29">
        <v>2</v>
      </c>
      <c r="H11" s="29" t="s">
        <v>48</v>
      </c>
      <c r="I11" s="29">
        <v>2</v>
      </c>
      <c r="J11" s="29">
        <v>2</v>
      </c>
      <c r="K11" s="29">
        <v>2</v>
      </c>
      <c r="L11" s="29">
        <v>2</v>
      </c>
      <c r="M11" s="29">
        <v>3</v>
      </c>
      <c r="N11" s="29" t="s">
        <v>48</v>
      </c>
      <c r="O11" s="29">
        <v>2</v>
      </c>
      <c r="P11" s="29">
        <v>5</v>
      </c>
      <c r="Q11" s="29">
        <v>10</v>
      </c>
      <c r="R11" s="29" t="s">
        <v>48</v>
      </c>
      <c r="S11">
        <v>35</v>
      </c>
      <c r="T11" s="26">
        <v>40</v>
      </c>
      <c r="U11" s="26"/>
      <c r="V11" s="26"/>
      <c r="W11" s="28"/>
    </row>
    <row r="12" spans="1:23">
      <c r="A12" s="29">
        <v>11</v>
      </c>
      <c r="B12" s="29">
        <v>2010992312</v>
      </c>
      <c r="C12" s="29" t="s">
        <v>66</v>
      </c>
      <c r="D12" s="26" t="s">
        <v>56</v>
      </c>
      <c r="E12" s="26" t="s">
        <v>47</v>
      </c>
      <c r="F12" s="29">
        <v>5</v>
      </c>
      <c r="G12" s="29">
        <v>2</v>
      </c>
      <c r="H12" s="29" t="s">
        <v>48</v>
      </c>
      <c r="I12" s="29">
        <v>2</v>
      </c>
      <c r="J12" s="29">
        <v>2</v>
      </c>
      <c r="K12" s="29">
        <v>2</v>
      </c>
      <c r="L12" s="29">
        <v>2</v>
      </c>
      <c r="M12" s="29">
        <v>5</v>
      </c>
      <c r="N12" s="29" t="s">
        <v>48</v>
      </c>
      <c r="O12" s="29">
        <v>5</v>
      </c>
      <c r="P12" s="29">
        <v>5</v>
      </c>
      <c r="Q12" s="29" t="s">
        <v>48</v>
      </c>
      <c r="R12" s="29">
        <v>5</v>
      </c>
      <c r="S12">
        <v>35</v>
      </c>
      <c r="T12" s="26">
        <v>40</v>
      </c>
      <c r="V12" s="26"/>
      <c r="W12" s="28"/>
    </row>
    <row r="13" spans="1:23">
      <c r="A13" s="29">
        <v>12</v>
      </c>
      <c r="B13" s="29">
        <v>2010992313</v>
      </c>
      <c r="C13" s="29" t="s">
        <v>67</v>
      </c>
      <c r="D13" s="26" t="s">
        <v>56</v>
      </c>
      <c r="E13" s="26" t="s">
        <v>47</v>
      </c>
      <c r="F13" s="29">
        <v>3</v>
      </c>
      <c r="G13" s="29">
        <v>2</v>
      </c>
      <c r="H13" s="29">
        <v>2</v>
      </c>
      <c r="I13" s="29">
        <v>2</v>
      </c>
      <c r="J13" s="29">
        <v>2</v>
      </c>
      <c r="K13" s="29" t="s">
        <v>48</v>
      </c>
      <c r="L13" s="29">
        <v>2</v>
      </c>
      <c r="M13" s="29">
        <v>5</v>
      </c>
      <c r="N13" s="29">
        <v>3</v>
      </c>
      <c r="O13" s="29" t="s">
        <v>48</v>
      </c>
      <c r="P13" s="29">
        <v>3</v>
      </c>
      <c r="Q13" s="29">
        <v>10</v>
      </c>
      <c r="R13" s="29" t="s">
        <v>48</v>
      </c>
      <c r="S13">
        <v>34</v>
      </c>
      <c r="T13" s="26">
        <v>40</v>
      </c>
      <c r="U13" s="26"/>
      <c r="V13" s="26"/>
    </row>
    <row r="14" spans="1:23">
      <c r="A14" s="29">
        <v>13</v>
      </c>
      <c r="B14" s="29">
        <v>2010992314</v>
      </c>
      <c r="C14" s="29" t="s">
        <v>68</v>
      </c>
      <c r="D14" s="26" t="s">
        <v>56</v>
      </c>
      <c r="E14" s="26" t="s">
        <v>47</v>
      </c>
      <c r="F14" s="29">
        <v>5</v>
      </c>
      <c r="G14" s="29">
        <v>2</v>
      </c>
      <c r="H14" s="29">
        <v>2</v>
      </c>
      <c r="I14" s="29" t="s">
        <v>48</v>
      </c>
      <c r="J14" s="29">
        <v>0</v>
      </c>
      <c r="K14" s="29">
        <v>2</v>
      </c>
      <c r="L14" s="29">
        <v>2</v>
      </c>
      <c r="M14" s="29" t="s">
        <v>48</v>
      </c>
      <c r="N14" s="29">
        <v>2</v>
      </c>
      <c r="O14" s="29">
        <v>1</v>
      </c>
      <c r="P14" s="29">
        <v>2</v>
      </c>
      <c r="Q14" s="29">
        <v>9</v>
      </c>
      <c r="R14" s="29" t="s">
        <v>48</v>
      </c>
      <c r="S14">
        <v>27</v>
      </c>
      <c r="T14" s="26">
        <v>40</v>
      </c>
      <c r="V14" s="26"/>
    </row>
    <row r="15" spans="1:23">
      <c r="A15" s="29">
        <v>14</v>
      </c>
      <c r="B15" s="29">
        <v>2010992315</v>
      </c>
      <c r="C15" s="29" t="s">
        <v>69</v>
      </c>
      <c r="D15" s="26" t="s">
        <v>56</v>
      </c>
      <c r="E15" s="26" t="s">
        <v>47</v>
      </c>
      <c r="F15" s="29">
        <v>3</v>
      </c>
      <c r="G15" s="29">
        <v>2</v>
      </c>
      <c r="H15" s="29" t="s">
        <v>48</v>
      </c>
      <c r="I15" s="29">
        <v>2</v>
      </c>
      <c r="J15" s="29">
        <v>2</v>
      </c>
      <c r="K15" s="29">
        <v>2</v>
      </c>
      <c r="L15" s="29">
        <v>2</v>
      </c>
      <c r="M15" s="29">
        <v>1</v>
      </c>
      <c r="N15" s="29">
        <v>5</v>
      </c>
      <c r="O15" s="29" t="s">
        <v>48</v>
      </c>
      <c r="P15" s="29">
        <v>1</v>
      </c>
      <c r="Q15" s="29" t="s">
        <v>48</v>
      </c>
      <c r="R15" s="29">
        <v>10</v>
      </c>
      <c r="S15">
        <v>30</v>
      </c>
      <c r="T15" s="26">
        <v>40</v>
      </c>
      <c r="V15" s="26"/>
    </row>
    <row r="16" spans="1:23">
      <c r="A16" s="29">
        <v>15</v>
      </c>
      <c r="B16" s="29">
        <v>2010992316</v>
      </c>
      <c r="C16" s="29" t="s">
        <v>70</v>
      </c>
      <c r="D16" s="26" t="s">
        <v>56</v>
      </c>
      <c r="E16" s="26" t="s">
        <v>47</v>
      </c>
      <c r="F16" s="29">
        <v>5</v>
      </c>
      <c r="G16" s="29">
        <v>2</v>
      </c>
      <c r="H16" s="29">
        <v>2</v>
      </c>
      <c r="I16" s="29">
        <v>2</v>
      </c>
      <c r="J16" s="29" t="s">
        <v>48</v>
      </c>
      <c r="K16" s="29">
        <v>1</v>
      </c>
      <c r="L16" s="29">
        <v>1</v>
      </c>
      <c r="M16" s="29">
        <v>2</v>
      </c>
      <c r="N16" s="29">
        <v>5</v>
      </c>
      <c r="O16" s="29" t="s">
        <v>48</v>
      </c>
      <c r="P16" s="29">
        <v>2</v>
      </c>
      <c r="Q16" s="29">
        <v>10</v>
      </c>
      <c r="R16" s="29" t="s">
        <v>48</v>
      </c>
      <c r="S16">
        <v>32</v>
      </c>
      <c r="T16" s="26">
        <v>40</v>
      </c>
      <c r="V16" s="26"/>
    </row>
    <row r="17" spans="1:22">
      <c r="A17" s="29">
        <v>16</v>
      </c>
      <c r="B17" s="29">
        <v>2010992317</v>
      </c>
      <c r="C17" s="29" t="s">
        <v>71</v>
      </c>
      <c r="D17" s="26" t="s">
        <v>56</v>
      </c>
      <c r="E17" s="26" t="s">
        <v>47</v>
      </c>
      <c r="F17" s="29">
        <v>5</v>
      </c>
      <c r="G17" s="29">
        <v>2</v>
      </c>
      <c r="H17" s="29" t="s">
        <v>48</v>
      </c>
      <c r="I17" s="29">
        <v>2</v>
      </c>
      <c r="J17" s="29">
        <v>2</v>
      </c>
      <c r="K17" s="29">
        <v>2</v>
      </c>
      <c r="L17" s="29">
        <v>2</v>
      </c>
      <c r="M17" s="29">
        <v>3</v>
      </c>
      <c r="N17" s="29" t="s">
        <v>48</v>
      </c>
      <c r="O17" s="29">
        <v>5</v>
      </c>
      <c r="P17" s="29">
        <v>5</v>
      </c>
      <c r="Q17" s="29">
        <v>9</v>
      </c>
      <c r="R17" s="29" t="s">
        <v>48</v>
      </c>
      <c r="S17">
        <v>37</v>
      </c>
      <c r="T17" s="26">
        <v>40</v>
      </c>
      <c r="V17" s="26"/>
    </row>
    <row r="18" spans="1:22">
      <c r="A18" s="29">
        <v>17</v>
      </c>
      <c r="B18" s="29">
        <v>2010992318</v>
      </c>
      <c r="C18" s="29" t="s">
        <v>72</v>
      </c>
      <c r="D18" s="26" t="s">
        <v>56</v>
      </c>
      <c r="E18" s="26" t="s">
        <v>47</v>
      </c>
      <c r="F18" s="29">
        <v>5</v>
      </c>
      <c r="G18" s="29">
        <v>2</v>
      </c>
      <c r="H18" s="29" t="s">
        <v>48</v>
      </c>
      <c r="I18" s="29">
        <v>2</v>
      </c>
      <c r="J18" s="29">
        <v>2</v>
      </c>
      <c r="K18" s="29">
        <v>2</v>
      </c>
      <c r="L18" s="29">
        <v>2</v>
      </c>
      <c r="M18" s="29" t="s">
        <v>48</v>
      </c>
      <c r="N18" s="29">
        <v>5</v>
      </c>
      <c r="O18" s="29">
        <v>5</v>
      </c>
      <c r="P18" s="29">
        <v>5</v>
      </c>
      <c r="Q18" s="29" t="s">
        <v>48</v>
      </c>
      <c r="R18" s="29">
        <v>8</v>
      </c>
      <c r="S18">
        <v>38</v>
      </c>
      <c r="T18" s="26">
        <v>40</v>
      </c>
      <c r="V18" s="26"/>
    </row>
    <row r="19" spans="1:22">
      <c r="A19" s="29">
        <v>18</v>
      </c>
      <c r="B19" s="29">
        <v>2010992320</v>
      </c>
      <c r="C19" s="29" t="s">
        <v>73</v>
      </c>
      <c r="D19" s="26" t="s">
        <v>56</v>
      </c>
      <c r="E19" s="26" t="s">
        <v>47</v>
      </c>
      <c r="F19" s="29">
        <v>5</v>
      </c>
      <c r="G19" s="29">
        <v>2</v>
      </c>
      <c r="H19" s="29">
        <v>2</v>
      </c>
      <c r="I19" s="29" t="s">
        <v>48</v>
      </c>
      <c r="J19" s="29">
        <v>2</v>
      </c>
      <c r="K19" s="29">
        <v>2</v>
      </c>
      <c r="L19" s="29">
        <v>2</v>
      </c>
      <c r="M19" s="29">
        <v>4</v>
      </c>
      <c r="N19" s="29">
        <v>5</v>
      </c>
      <c r="O19" s="29" t="s">
        <v>48</v>
      </c>
      <c r="P19" s="29">
        <v>5</v>
      </c>
      <c r="Q19" s="29" t="s">
        <v>48</v>
      </c>
      <c r="R19" s="29">
        <v>6</v>
      </c>
      <c r="S19">
        <v>35</v>
      </c>
      <c r="T19" s="26">
        <v>40</v>
      </c>
      <c r="V19" s="26"/>
    </row>
    <row r="20" spans="1:22">
      <c r="A20" s="29">
        <v>19</v>
      </c>
      <c r="B20" s="29">
        <v>2010992321</v>
      </c>
      <c r="C20" s="29" t="s">
        <v>74</v>
      </c>
      <c r="D20" s="26" t="s">
        <v>56</v>
      </c>
      <c r="E20" s="26" t="s">
        <v>47</v>
      </c>
      <c r="F20" s="29">
        <v>5</v>
      </c>
      <c r="G20" s="29" t="s">
        <v>48</v>
      </c>
      <c r="H20" s="29">
        <v>2</v>
      </c>
      <c r="I20" s="29">
        <v>2</v>
      </c>
      <c r="J20" s="29">
        <v>2</v>
      </c>
      <c r="K20" s="29">
        <v>1</v>
      </c>
      <c r="L20" s="29">
        <v>1</v>
      </c>
      <c r="M20" s="29">
        <v>3</v>
      </c>
      <c r="N20" s="29" t="s">
        <v>48</v>
      </c>
      <c r="O20" s="29">
        <v>5</v>
      </c>
      <c r="P20" s="29">
        <v>5</v>
      </c>
      <c r="Q20" s="29" t="s">
        <v>48</v>
      </c>
      <c r="R20" s="29">
        <v>10</v>
      </c>
      <c r="S20">
        <v>36</v>
      </c>
      <c r="T20" s="26">
        <v>40</v>
      </c>
      <c r="V20" s="26"/>
    </row>
    <row r="21" spans="1:22">
      <c r="A21" s="29">
        <v>20</v>
      </c>
      <c r="B21" s="29">
        <v>2010992324</v>
      </c>
      <c r="C21" s="29" t="s">
        <v>75</v>
      </c>
      <c r="D21" s="26" t="s">
        <v>56</v>
      </c>
      <c r="E21" s="26" t="s">
        <v>47</v>
      </c>
      <c r="F21" s="29">
        <v>5</v>
      </c>
      <c r="G21" s="29" t="s">
        <v>48</v>
      </c>
      <c r="H21" s="29">
        <v>2</v>
      </c>
      <c r="I21" s="29">
        <v>2</v>
      </c>
      <c r="J21" s="29">
        <v>2</v>
      </c>
      <c r="K21" s="29">
        <v>2</v>
      </c>
      <c r="L21" s="29">
        <v>2</v>
      </c>
      <c r="M21" s="29">
        <v>5</v>
      </c>
      <c r="N21" s="29">
        <v>5</v>
      </c>
      <c r="O21" s="29" t="s">
        <v>48</v>
      </c>
      <c r="P21" s="29">
        <v>5</v>
      </c>
      <c r="Q21" s="29" t="s">
        <v>48</v>
      </c>
      <c r="R21" s="29">
        <v>4</v>
      </c>
      <c r="S21">
        <v>34</v>
      </c>
      <c r="T21" s="26">
        <v>40</v>
      </c>
      <c r="V21" s="26"/>
    </row>
    <row r="22" spans="1:22">
      <c r="A22" s="29">
        <v>21</v>
      </c>
      <c r="B22" s="29">
        <v>2010992325</v>
      </c>
      <c r="C22" s="29" t="s">
        <v>76</v>
      </c>
      <c r="D22" s="26" t="s">
        <v>56</v>
      </c>
      <c r="E22" s="26" t="s">
        <v>47</v>
      </c>
      <c r="F22" s="29">
        <v>5</v>
      </c>
      <c r="G22" s="29">
        <v>2</v>
      </c>
      <c r="H22" s="29" t="s">
        <v>48</v>
      </c>
      <c r="I22" s="29">
        <v>2</v>
      </c>
      <c r="J22" s="29">
        <v>2</v>
      </c>
      <c r="K22" s="29">
        <v>2</v>
      </c>
      <c r="L22" s="29">
        <v>0</v>
      </c>
      <c r="M22" s="29">
        <v>4</v>
      </c>
      <c r="N22" s="29">
        <v>4</v>
      </c>
      <c r="O22" s="29" t="s">
        <v>48</v>
      </c>
      <c r="P22" s="29">
        <v>2</v>
      </c>
      <c r="Q22" s="29">
        <v>8</v>
      </c>
      <c r="R22" s="29" t="s">
        <v>48</v>
      </c>
      <c r="S22">
        <v>31</v>
      </c>
      <c r="T22" s="26">
        <v>40</v>
      </c>
      <c r="V22" s="26"/>
    </row>
    <row r="23" spans="1:22">
      <c r="A23" s="29">
        <v>22</v>
      </c>
      <c r="B23" s="29">
        <v>2010992326</v>
      </c>
      <c r="C23" s="29" t="s">
        <v>77</v>
      </c>
      <c r="D23" s="26" t="s">
        <v>56</v>
      </c>
      <c r="E23" s="26" t="s">
        <v>47</v>
      </c>
      <c r="F23" s="29">
        <v>3</v>
      </c>
      <c r="G23" s="29">
        <v>2</v>
      </c>
      <c r="H23" s="29">
        <v>2</v>
      </c>
      <c r="I23" s="29">
        <v>2</v>
      </c>
      <c r="J23" s="29">
        <v>2</v>
      </c>
      <c r="K23" s="29" t="s">
        <v>48</v>
      </c>
      <c r="L23" s="29">
        <v>1</v>
      </c>
      <c r="M23" s="29">
        <v>5</v>
      </c>
      <c r="N23" s="29" t="s">
        <v>48</v>
      </c>
      <c r="O23" s="29">
        <v>3</v>
      </c>
      <c r="P23" s="29">
        <v>1</v>
      </c>
      <c r="Q23" s="29">
        <v>10</v>
      </c>
      <c r="R23" s="29" t="s">
        <v>48</v>
      </c>
      <c r="S23">
        <v>31</v>
      </c>
      <c r="T23" s="26">
        <v>40</v>
      </c>
      <c r="V23" s="26"/>
    </row>
    <row r="24" spans="1:22">
      <c r="A24" s="29">
        <v>23</v>
      </c>
      <c r="B24" s="29">
        <v>2010992327</v>
      </c>
      <c r="C24" s="29" t="s">
        <v>78</v>
      </c>
      <c r="D24" s="26" t="s">
        <v>56</v>
      </c>
      <c r="E24" s="26" t="s">
        <v>47</v>
      </c>
      <c r="F24" s="29">
        <v>5</v>
      </c>
      <c r="G24" s="29">
        <v>2</v>
      </c>
      <c r="H24" s="29">
        <v>2</v>
      </c>
      <c r="I24" s="29">
        <v>2</v>
      </c>
      <c r="J24" s="29" t="s">
        <v>48</v>
      </c>
      <c r="K24" s="29">
        <v>2</v>
      </c>
      <c r="L24" s="29">
        <v>2</v>
      </c>
      <c r="M24" s="29">
        <v>3</v>
      </c>
      <c r="N24" s="29">
        <v>5</v>
      </c>
      <c r="O24" s="29" t="s">
        <v>48</v>
      </c>
      <c r="P24" s="29">
        <v>2</v>
      </c>
      <c r="Q24" s="29">
        <v>7</v>
      </c>
      <c r="R24" s="29" t="s">
        <v>48</v>
      </c>
      <c r="S24">
        <v>32</v>
      </c>
      <c r="T24" s="26">
        <v>40</v>
      </c>
      <c r="V24" s="26"/>
    </row>
    <row r="25" spans="1:22">
      <c r="A25" s="29">
        <v>24</v>
      </c>
      <c r="B25" s="29">
        <v>2010992328</v>
      </c>
      <c r="C25" s="29" t="s">
        <v>79</v>
      </c>
      <c r="D25" s="26" t="s">
        <v>56</v>
      </c>
      <c r="E25" s="26" t="s">
        <v>47</v>
      </c>
      <c r="F25" s="29">
        <v>5</v>
      </c>
      <c r="G25" s="29">
        <v>2</v>
      </c>
      <c r="H25" s="29">
        <v>2</v>
      </c>
      <c r="I25" s="29">
        <v>1</v>
      </c>
      <c r="J25" s="29">
        <v>1</v>
      </c>
      <c r="K25" s="29">
        <v>2</v>
      </c>
      <c r="L25" s="29" t="s">
        <v>48</v>
      </c>
      <c r="M25" s="29">
        <v>5</v>
      </c>
      <c r="N25" s="29">
        <v>2</v>
      </c>
      <c r="O25" s="29">
        <v>5</v>
      </c>
      <c r="P25" s="29" t="s">
        <v>48</v>
      </c>
      <c r="Q25" s="29" t="s">
        <v>48</v>
      </c>
      <c r="R25" s="29">
        <v>8</v>
      </c>
      <c r="S25">
        <v>33</v>
      </c>
      <c r="T25" s="26">
        <v>40</v>
      </c>
      <c r="V25" s="26"/>
    </row>
    <row r="26" spans="1:22">
      <c r="A26" s="29">
        <v>25</v>
      </c>
      <c r="B26" s="29">
        <v>2010992329</v>
      </c>
      <c r="C26" s="29" t="s">
        <v>80</v>
      </c>
      <c r="D26" s="26" t="s">
        <v>56</v>
      </c>
      <c r="E26" s="26" t="s">
        <v>47</v>
      </c>
      <c r="F26" s="29">
        <v>5</v>
      </c>
      <c r="G26" s="29" t="s">
        <v>48</v>
      </c>
      <c r="H26" s="29">
        <v>2</v>
      </c>
      <c r="I26" s="29">
        <v>2</v>
      </c>
      <c r="J26" s="29">
        <v>2</v>
      </c>
      <c r="K26" s="29">
        <v>2</v>
      </c>
      <c r="L26" s="29">
        <v>2</v>
      </c>
      <c r="M26" s="29">
        <v>5</v>
      </c>
      <c r="N26" s="29">
        <v>5</v>
      </c>
      <c r="O26" s="29">
        <v>4</v>
      </c>
      <c r="P26" s="29" t="s">
        <v>48</v>
      </c>
      <c r="Q26" s="29">
        <v>7</v>
      </c>
      <c r="R26" s="29" t="s">
        <v>48</v>
      </c>
      <c r="S26">
        <v>36</v>
      </c>
      <c r="T26" s="26">
        <v>40</v>
      </c>
      <c r="V26" s="26"/>
    </row>
    <row r="27" spans="1:22">
      <c r="A27" s="29">
        <v>26</v>
      </c>
      <c r="B27" s="29">
        <v>2010992331</v>
      </c>
      <c r="C27" s="29" t="s">
        <v>81</v>
      </c>
      <c r="D27" s="26" t="s">
        <v>56</v>
      </c>
      <c r="E27" s="26" t="s">
        <v>47</v>
      </c>
      <c r="F27" s="29">
        <v>2</v>
      </c>
      <c r="G27" s="29">
        <v>2</v>
      </c>
      <c r="H27" s="29" t="s">
        <v>48</v>
      </c>
      <c r="I27" s="29">
        <v>2</v>
      </c>
      <c r="J27" s="29">
        <v>2</v>
      </c>
      <c r="K27" s="29">
        <v>2</v>
      </c>
      <c r="L27" s="29">
        <v>2</v>
      </c>
      <c r="M27" s="29" t="s">
        <v>48</v>
      </c>
      <c r="N27" s="29">
        <v>5</v>
      </c>
      <c r="O27" s="29">
        <v>3</v>
      </c>
      <c r="P27" s="29">
        <v>5</v>
      </c>
      <c r="Q27" s="29" t="s">
        <v>48</v>
      </c>
      <c r="R27" s="29">
        <v>10</v>
      </c>
      <c r="S27">
        <v>35</v>
      </c>
      <c r="T27" s="26">
        <v>40</v>
      </c>
      <c r="V27" s="26"/>
    </row>
    <row r="28" spans="1:22">
      <c r="A28" s="29">
        <v>27</v>
      </c>
      <c r="B28" s="29">
        <v>2010992332</v>
      </c>
      <c r="C28" s="29" t="s">
        <v>82</v>
      </c>
      <c r="D28" s="26" t="s">
        <v>56</v>
      </c>
      <c r="E28" s="26" t="s">
        <v>47</v>
      </c>
      <c r="F28" s="29">
        <v>5</v>
      </c>
      <c r="G28" s="29">
        <v>2</v>
      </c>
      <c r="H28" s="29">
        <v>2</v>
      </c>
      <c r="I28" s="29">
        <v>2</v>
      </c>
      <c r="J28" s="29">
        <v>2</v>
      </c>
      <c r="K28" s="29" t="s">
        <v>48</v>
      </c>
      <c r="L28" s="29">
        <v>2</v>
      </c>
      <c r="M28" s="29">
        <v>5</v>
      </c>
      <c r="N28" s="29">
        <v>5</v>
      </c>
      <c r="O28" s="29">
        <v>5</v>
      </c>
      <c r="P28" s="29" t="s">
        <v>48</v>
      </c>
      <c r="Q28" s="29" t="s">
        <v>48</v>
      </c>
      <c r="R28" s="29">
        <v>8</v>
      </c>
      <c r="S28">
        <v>38</v>
      </c>
      <c r="T28" s="26">
        <v>40</v>
      </c>
      <c r="V28" s="26"/>
    </row>
    <row r="29" spans="1:22">
      <c r="A29" s="29">
        <v>28</v>
      </c>
      <c r="B29" s="29">
        <v>2010992333</v>
      </c>
      <c r="C29" s="29" t="s">
        <v>83</v>
      </c>
      <c r="D29" s="26" t="s">
        <v>56</v>
      </c>
      <c r="E29" s="26" t="s">
        <v>47</v>
      </c>
      <c r="F29" s="29">
        <v>5</v>
      </c>
      <c r="G29" s="29">
        <v>2</v>
      </c>
      <c r="H29" s="29">
        <v>2</v>
      </c>
      <c r="I29" s="29">
        <v>2</v>
      </c>
      <c r="J29" s="29">
        <v>2</v>
      </c>
      <c r="K29" s="29" t="s">
        <v>48</v>
      </c>
      <c r="L29" s="29">
        <v>2</v>
      </c>
      <c r="M29" s="29" t="s">
        <v>48</v>
      </c>
      <c r="N29" s="29">
        <v>5</v>
      </c>
      <c r="O29" s="29">
        <v>5</v>
      </c>
      <c r="P29" s="29">
        <v>5</v>
      </c>
      <c r="Q29" s="29">
        <v>2</v>
      </c>
      <c r="R29" s="29" t="s">
        <v>48</v>
      </c>
      <c r="S29">
        <v>32</v>
      </c>
      <c r="T29" s="26">
        <v>40</v>
      </c>
      <c r="V29" s="26"/>
    </row>
    <row r="30" spans="1:22">
      <c r="A30" s="29">
        <v>29</v>
      </c>
      <c r="B30" s="29">
        <v>2010992334</v>
      </c>
      <c r="C30" s="29" t="s">
        <v>84</v>
      </c>
      <c r="D30" s="26" t="s">
        <v>56</v>
      </c>
      <c r="E30" s="26" t="s">
        <v>47</v>
      </c>
      <c r="F30" s="29">
        <v>5</v>
      </c>
      <c r="G30" s="29" t="s">
        <v>48</v>
      </c>
      <c r="H30" s="29">
        <v>2</v>
      </c>
      <c r="I30" s="29">
        <v>1</v>
      </c>
      <c r="J30" s="29">
        <v>2</v>
      </c>
      <c r="K30" s="29">
        <v>1</v>
      </c>
      <c r="L30" s="29">
        <v>2</v>
      </c>
      <c r="M30" s="29" t="s">
        <v>48</v>
      </c>
      <c r="N30" s="29">
        <v>1</v>
      </c>
      <c r="O30" s="29">
        <v>5</v>
      </c>
      <c r="P30" s="29">
        <v>4</v>
      </c>
      <c r="Q30" s="29" t="s">
        <v>48</v>
      </c>
      <c r="R30" s="29">
        <v>8</v>
      </c>
      <c r="S30">
        <v>31</v>
      </c>
      <c r="T30" s="26">
        <v>40</v>
      </c>
      <c r="V30" s="26"/>
    </row>
    <row r="31" spans="1:22">
      <c r="A31" s="29">
        <v>30</v>
      </c>
      <c r="B31" s="29">
        <v>2010992335</v>
      </c>
      <c r="C31" s="29" t="s">
        <v>85</v>
      </c>
      <c r="D31" s="26" t="s">
        <v>56</v>
      </c>
      <c r="E31" s="26" t="s">
        <v>47</v>
      </c>
      <c r="F31" s="29">
        <v>5</v>
      </c>
      <c r="G31" s="29">
        <v>2</v>
      </c>
      <c r="H31" s="29">
        <v>2</v>
      </c>
      <c r="I31" s="29">
        <v>1</v>
      </c>
      <c r="J31" s="29" t="s">
        <v>48</v>
      </c>
      <c r="K31" s="29">
        <v>2</v>
      </c>
      <c r="L31" s="29">
        <v>1</v>
      </c>
      <c r="M31" s="29" t="s">
        <v>48</v>
      </c>
      <c r="N31" s="29">
        <v>5</v>
      </c>
      <c r="O31" s="29">
        <v>3</v>
      </c>
      <c r="P31" s="29">
        <v>3</v>
      </c>
      <c r="Q31" s="29" t="s">
        <v>48</v>
      </c>
      <c r="R31" s="29">
        <v>9</v>
      </c>
      <c r="S31">
        <v>33</v>
      </c>
      <c r="T31" s="26">
        <v>40</v>
      </c>
      <c r="V31" s="26"/>
    </row>
    <row r="32" spans="1:22">
      <c r="A32" s="29">
        <v>31</v>
      </c>
      <c r="B32" s="29">
        <v>2010992336</v>
      </c>
      <c r="C32" s="29" t="s">
        <v>86</v>
      </c>
      <c r="D32" s="26" t="s">
        <v>56</v>
      </c>
      <c r="E32" s="26" t="s">
        <v>47</v>
      </c>
      <c r="F32" s="29">
        <v>5</v>
      </c>
      <c r="G32" s="29">
        <v>2</v>
      </c>
      <c r="H32" s="29">
        <v>2</v>
      </c>
      <c r="I32" s="29" t="s">
        <v>48</v>
      </c>
      <c r="J32" s="29">
        <v>2</v>
      </c>
      <c r="K32" s="29">
        <v>2</v>
      </c>
      <c r="L32" s="29">
        <v>2</v>
      </c>
      <c r="M32" s="29">
        <v>3</v>
      </c>
      <c r="N32" s="29">
        <v>3</v>
      </c>
      <c r="O32" s="29" t="s">
        <v>48</v>
      </c>
      <c r="P32" s="29">
        <v>5</v>
      </c>
      <c r="Q32" s="29">
        <v>6</v>
      </c>
      <c r="R32" s="29" t="s">
        <v>48</v>
      </c>
      <c r="S32">
        <v>32</v>
      </c>
      <c r="T32" s="26">
        <v>40</v>
      </c>
      <c r="V32" s="26"/>
    </row>
    <row r="33" spans="1:22">
      <c r="A33" s="29">
        <v>32</v>
      </c>
      <c r="B33" s="29">
        <v>2010992337</v>
      </c>
      <c r="C33" s="29" t="s">
        <v>87</v>
      </c>
      <c r="D33" s="26" t="s">
        <v>56</v>
      </c>
      <c r="E33" s="26" t="s">
        <v>47</v>
      </c>
      <c r="F33" s="29">
        <v>5</v>
      </c>
      <c r="G33" s="29" t="s">
        <v>48</v>
      </c>
      <c r="H33" s="29">
        <v>2</v>
      </c>
      <c r="I33" s="29">
        <v>2</v>
      </c>
      <c r="J33" s="29">
        <v>2</v>
      </c>
      <c r="K33" s="29">
        <v>2</v>
      </c>
      <c r="L33" s="29">
        <v>2</v>
      </c>
      <c r="M33" s="29">
        <v>4</v>
      </c>
      <c r="N33" s="29">
        <v>2</v>
      </c>
      <c r="O33" s="29">
        <v>3</v>
      </c>
      <c r="P33" s="29" t="s">
        <v>48</v>
      </c>
      <c r="Q33" s="29" t="s">
        <v>48</v>
      </c>
      <c r="R33" s="29">
        <v>10</v>
      </c>
      <c r="S33">
        <v>34</v>
      </c>
      <c r="T33" s="26">
        <v>40</v>
      </c>
      <c r="V33" s="26"/>
    </row>
    <row r="34" spans="1:22">
      <c r="A34" s="29">
        <v>33</v>
      </c>
      <c r="B34" s="29">
        <v>2010992338</v>
      </c>
      <c r="C34" s="29" t="s">
        <v>88</v>
      </c>
      <c r="D34" s="26" t="s">
        <v>56</v>
      </c>
      <c r="E34" s="26" t="s">
        <v>47</v>
      </c>
      <c r="F34" s="29">
        <v>5</v>
      </c>
      <c r="G34" s="29">
        <v>2</v>
      </c>
      <c r="H34" s="29">
        <v>1</v>
      </c>
      <c r="I34" s="29" t="s">
        <v>48</v>
      </c>
      <c r="J34" s="29">
        <v>2</v>
      </c>
      <c r="K34" s="29">
        <v>1</v>
      </c>
      <c r="L34" s="29">
        <v>2</v>
      </c>
      <c r="M34" s="29">
        <v>1</v>
      </c>
      <c r="N34" s="29" t="s">
        <v>48</v>
      </c>
      <c r="O34" s="29">
        <v>5</v>
      </c>
      <c r="P34" s="29">
        <v>5</v>
      </c>
      <c r="Q34" s="29" t="s">
        <v>48</v>
      </c>
      <c r="R34" s="29">
        <v>10</v>
      </c>
      <c r="S34">
        <v>34</v>
      </c>
      <c r="T34" s="26">
        <v>40</v>
      </c>
      <c r="V34" s="26"/>
    </row>
    <row r="35" spans="1:22">
      <c r="A35" s="29">
        <v>34</v>
      </c>
      <c r="B35" s="29">
        <v>2010992341</v>
      </c>
      <c r="C35" s="29" t="s">
        <v>89</v>
      </c>
      <c r="D35" s="26" t="s">
        <v>56</v>
      </c>
      <c r="E35" s="26" t="s">
        <v>47</v>
      </c>
      <c r="F35" s="29">
        <v>5</v>
      </c>
      <c r="G35" s="29" t="s">
        <v>48</v>
      </c>
      <c r="H35" s="29">
        <v>2</v>
      </c>
      <c r="I35" s="29">
        <v>1</v>
      </c>
      <c r="J35" s="29">
        <v>2</v>
      </c>
      <c r="K35" s="29">
        <v>2</v>
      </c>
      <c r="L35" s="29">
        <v>2</v>
      </c>
      <c r="M35" s="29">
        <v>5</v>
      </c>
      <c r="N35" s="29" t="s">
        <v>48</v>
      </c>
      <c r="O35" s="29">
        <v>5</v>
      </c>
      <c r="P35" s="29">
        <v>1</v>
      </c>
      <c r="Q35" s="29" t="s">
        <v>48</v>
      </c>
      <c r="R35" s="29">
        <v>7</v>
      </c>
      <c r="S35">
        <v>32</v>
      </c>
      <c r="T35" s="26">
        <v>40</v>
      </c>
      <c r="V35" s="26"/>
    </row>
    <row r="36" spans="1:22">
      <c r="A36" s="29">
        <v>35</v>
      </c>
      <c r="B36" s="29">
        <v>2010992342</v>
      </c>
      <c r="C36" s="29" t="s">
        <v>90</v>
      </c>
      <c r="D36" s="26" t="s">
        <v>56</v>
      </c>
      <c r="E36" s="26" t="s">
        <v>47</v>
      </c>
      <c r="F36" s="29">
        <v>5</v>
      </c>
      <c r="G36" s="29" t="s">
        <v>48</v>
      </c>
      <c r="H36" s="29">
        <v>2</v>
      </c>
      <c r="I36" s="29">
        <v>2</v>
      </c>
      <c r="J36" s="29">
        <v>2</v>
      </c>
      <c r="K36" s="29">
        <v>2</v>
      </c>
      <c r="L36" s="29">
        <v>2</v>
      </c>
      <c r="M36" s="29">
        <v>5</v>
      </c>
      <c r="N36" s="29" t="s">
        <v>48</v>
      </c>
      <c r="O36" s="29">
        <v>5</v>
      </c>
      <c r="P36" s="29">
        <v>4</v>
      </c>
      <c r="Q36" s="29">
        <v>10</v>
      </c>
      <c r="R36" s="29" t="s">
        <v>48</v>
      </c>
      <c r="S36">
        <v>39</v>
      </c>
      <c r="T36" s="26">
        <v>40</v>
      </c>
      <c r="V36" s="26"/>
    </row>
    <row r="37" spans="1:22">
      <c r="A37" s="29">
        <v>36</v>
      </c>
      <c r="B37" s="29">
        <v>2055991123</v>
      </c>
      <c r="C37" s="29" t="s">
        <v>91</v>
      </c>
      <c r="D37" s="26" t="s">
        <v>56</v>
      </c>
      <c r="E37" s="26" t="s">
        <v>47</v>
      </c>
      <c r="F37" s="29">
        <v>5</v>
      </c>
      <c r="G37" s="29" t="s">
        <v>48</v>
      </c>
      <c r="H37" s="29">
        <v>2</v>
      </c>
      <c r="I37" s="29">
        <v>2</v>
      </c>
      <c r="J37" s="29">
        <v>2</v>
      </c>
      <c r="K37" s="29">
        <v>2</v>
      </c>
      <c r="L37" s="29">
        <v>2</v>
      </c>
      <c r="M37" s="29">
        <v>1</v>
      </c>
      <c r="N37" s="29">
        <v>5</v>
      </c>
      <c r="O37" s="29">
        <v>4</v>
      </c>
      <c r="P37" s="29" t="s">
        <v>48</v>
      </c>
      <c r="Q37" s="29">
        <v>10</v>
      </c>
      <c r="R37" s="29" t="s">
        <v>48</v>
      </c>
      <c r="S37">
        <v>35</v>
      </c>
      <c r="T37" s="26">
        <v>40</v>
      </c>
      <c r="V37" s="26"/>
    </row>
    <row r="38" spans="1:22">
      <c r="A38" s="29">
        <v>37</v>
      </c>
      <c r="B38" s="29">
        <v>2055991126</v>
      </c>
      <c r="C38" s="29" t="s">
        <v>92</v>
      </c>
      <c r="D38" s="26" t="s">
        <v>56</v>
      </c>
      <c r="E38" s="26" t="s">
        <v>47</v>
      </c>
      <c r="F38" s="29">
        <v>4</v>
      </c>
      <c r="G38" s="29" t="s">
        <v>48</v>
      </c>
      <c r="H38" s="29">
        <v>2</v>
      </c>
      <c r="I38" s="29">
        <v>2</v>
      </c>
      <c r="J38" s="29">
        <v>2</v>
      </c>
      <c r="K38" s="29">
        <v>2</v>
      </c>
      <c r="L38" s="29">
        <v>2</v>
      </c>
      <c r="M38" s="29" t="s">
        <v>48</v>
      </c>
      <c r="N38" s="29">
        <v>4</v>
      </c>
      <c r="O38" s="29">
        <v>5</v>
      </c>
      <c r="P38" s="29">
        <v>5</v>
      </c>
      <c r="Q38" s="29">
        <v>7</v>
      </c>
      <c r="R38" s="29" t="s">
        <v>48</v>
      </c>
      <c r="S38">
        <v>35</v>
      </c>
      <c r="T38" s="26">
        <v>40</v>
      </c>
      <c r="V38" s="26"/>
    </row>
    <row r="39" spans="1:22">
      <c r="A39" s="29">
        <v>38</v>
      </c>
      <c r="B39" s="29">
        <v>2055991600</v>
      </c>
      <c r="C39" s="29" t="s">
        <v>93</v>
      </c>
      <c r="D39" s="26" t="s">
        <v>56</v>
      </c>
      <c r="E39" s="26" t="s">
        <v>47</v>
      </c>
      <c r="F39" s="29">
        <v>5</v>
      </c>
      <c r="G39" s="29">
        <v>2</v>
      </c>
      <c r="H39" s="29" t="s">
        <v>48</v>
      </c>
      <c r="I39" s="29">
        <v>2</v>
      </c>
      <c r="J39" s="29">
        <v>2</v>
      </c>
      <c r="K39" s="29">
        <v>2</v>
      </c>
      <c r="L39" s="29">
        <v>1</v>
      </c>
      <c r="M39" s="29">
        <v>4</v>
      </c>
      <c r="N39" s="29">
        <v>5</v>
      </c>
      <c r="O39" s="29" t="s">
        <v>48</v>
      </c>
      <c r="P39" s="29">
        <v>1</v>
      </c>
      <c r="Q39" s="29" t="s">
        <v>48</v>
      </c>
      <c r="R39" s="29">
        <v>4</v>
      </c>
      <c r="S39">
        <v>28</v>
      </c>
      <c r="T39" s="26">
        <v>40</v>
      </c>
      <c r="V39" s="26"/>
    </row>
    <row r="40" spans="1:22">
      <c r="C40" s="29"/>
      <c r="D40" s="29"/>
      <c r="E40" s="26"/>
      <c r="F40" s="26"/>
      <c r="G40" s="26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V40" s="26"/>
    </row>
    <row r="41" spans="1:22">
      <c r="C41" s="29"/>
      <c r="D41" s="29"/>
      <c r="E41" s="26"/>
      <c r="F41" s="26"/>
      <c r="G41" s="26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V41" s="26"/>
    </row>
    <row r="42" spans="1:22">
      <c r="C42" s="29"/>
      <c r="D42" s="29"/>
      <c r="E42" s="26"/>
      <c r="F42" s="26"/>
      <c r="G42" s="26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V42" s="26"/>
    </row>
    <row r="43" spans="1:22">
      <c r="C43" s="29"/>
      <c r="D43" s="29"/>
      <c r="E43" s="26"/>
      <c r="F43" s="26"/>
      <c r="G43" s="26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V43" s="26"/>
    </row>
    <row r="44" spans="1:22">
      <c r="C44" s="29"/>
      <c r="D44" s="29"/>
      <c r="E44" s="26"/>
      <c r="F44" s="26"/>
      <c r="G44" s="26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V44" s="26"/>
    </row>
    <row r="45" spans="1:22">
      <c r="C45" s="29"/>
      <c r="D45" s="29"/>
      <c r="E45" s="26"/>
      <c r="F45" s="26"/>
      <c r="G45" s="26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V45" s="26"/>
    </row>
    <row r="46" spans="1:22">
      <c r="C46" s="29"/>
      <c r="D46" s="29"/>
      <c r="E46" s="26"/>
      <c r="F46" s="26"/>
      <c r="G46" s="26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V46" s="26"/>
    </row>
    <row r="47" spans="1:22">
      <c r="C47" s="29"/>
      <c r="D47" s="29"/>
      <c r="E47" s="26"/>
      <c r="F47" s="26"/>
      <c r="G47" s="26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V47" s="26"/>
    </row>
    <row r="48" spans="1:22">
      <c r="C48" s="29"/>
      <c r="D48" s="29"/>
      <c r="E48" s="26"/>
      <c r="F48" s="26"/>
      <c r="G48" s="26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V48" s="2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E7360-3620-4A06-81D8-42B603138710}">
  <dimension ref="A1:D14"/>
  <sheetViews>
    <sheetView workbookViewId="0">
      <selection activeCell="B25" sqref="B25"/>
    </sheetView>
  </sheetViews>
  <sheetFormatPr defaultRowHeight="15"/>
  <sheetData>
    <row r="1" spans="1:4">
      <c r="A1" s="30" t="s">
        <v>8</v>
      </c>
      <c r="B1" s="30" t="s">
        <v>9</v>
      </c>
      <c r="C1" s="30" t="s">
        <v>12</v>
      </c>
      <c r="D1" s="30" t="s">
        <v>13</v>
      </c>
    </row>
    <row r="2" spans="1:4">
      <c r="A2" s="30" t="s">
        <v>52</v>
      </c>
      <c r="B2" s="30">
        <v>5</v>
      </c>
      <c r="C2" s="24" t="b">
        <v>0</v>
      </c>
      <c r="D2" s="24" t="b">
        <v>1</v>
      </c>
    </row>
    <row r="3" spans="1:4">
      <c r="A3" s="30" t="s">
        <v>21</v>
      </c>
      <c r="B3" s="30">
        <v>2</v>
      </c>
      <c r="C3" s="24" t="b">
        <v>1</v>
      </c>
      <c r="D3" s="24" t="b">
        <v>0</v>
      </c>
    </row>
    <row r="4" spans="1:4">
      <c r="A4" s="30" t="s">
        <v>22</v>
      </c>
      <c r="B4" s="30">
        <v>2</v>
      </c>
      <c r="C4" s="24" t="b">
        <v>0</v>
      </c>
      <c r="D4" s="24" t="b">
        <v>1</v>
      </c>
    </row>
    <row r="5" spans="1:4">
      <c r="A5" s="30" t="s">
        <v>23</v>
      </c>
      <c r="B5" s="30">
        <v>2</v>
      </c>
      <c r="C5" s="24" t="b">
        <v>1</v>
      </c>
      <c r="D5" s="24" t="b">
        <v>0</v>
      </c>
    </row>
    <row r="6" spans="1:4">
      <c r="A6" s="30" t="s">
        <v>24</v>
      </c>
      <c r="B6" s="30">
        <v>2</v>
      </c>
      <c r="C6" s="24" t="b">
        <v>0</v>
      </c>
      <c r="D6" s="24" t="b">
        <v>1</v>
      </c>
    </row>
    <row r="7" spans="1:4">
      <c r="A7" s="30" t="s">
        <v>25</v>
      </c>
      <c r="B7" s="30">
        <v>2</v>
      </c>
      <c r="C7" s="24" t="b">
        <v>1</v>
      </c>
      <c r="D7" s="24" t="b">
        <v>0</v>
      </c>
    </row>
    <row r="8" spans="1:4">
      <c r="A8" s="30" t="s">
        <v>26</v>
      </c>
      <c r="B8" s="30">
        <v>2</v>
      </c>
      <c r="C8" s="24" t="b">
        <v>0</v>
      </c>
      <c r="D8" s="24" t="b">
        <v>1</v>
      </c>
    </row>
    <row r="9" spans="1:4">
      <c r="A9" s="30" t="s">
        <v>27</v>
      </c>
      <c r="B9" s="30">
        <v>5</v>
      </c>
      <c r="C9" s="24" t="b">
        <v>1</v>
      </c>
      <c r="D9" s="24" t="b">
        <v>0</v>
      </c>
    </row>
    <row r="10" spans="1:4">
      <c r="A10" s="30" t="s">
        <v>28</v>
      </c>
      <c r="B10" s="30">
        <v>5</v>
      </c>
      <c r="C10" s="24" t="b">
        <v>0</v>
      </c>
      <c r="D10" s="24" t="b">
        <v>1</v>
      </c>
    </row>
    <row r="11" spans="1:4">
      <c r="A11" s="30" t="s">
        <v>29</v>
      </c>
      <c r="B11" s="30">
        <v>5</v>
      </c>
      <c r="C11" s="24" t="b">
        <v>1</v>
      </c>
      <c r="D11" s="24" t="b">
        <v>0</v>
      </c>
    </row>
    <row r="12" spans="1:4">
      <c r="A12" s="30" t="s">
        <v>30</v>
      </c>
      <c r="B12" s="30">
        <v>5</v>
      </c>
      <c r="C12" s="24" t="b">
        <v>0</v>
      </c>
      <c r="D12" s="24" t="b">
        <v>1</v>
      </c>
    </row>
    <row r="13" spans="1:4">
      <c r="A13" s="30" t="s">
        <v>31</v>
      </c>
      <c r="B13" s="30">
        <v>10</v>
      </c>
      <c r="C13" s="24" t="b">
        <v>1</v>
      </c>
      <c r="D13" s="24" t="b">
        <v>0</v>
      </c>
    </row>
    <row r="14" spans="1:4">
      <c r="A14" s="30" t="s">
        <v>32</v>
      </c>
      <c r="B14" s="30">
        <v>10</v>
      </c>
      <c r="C14" s="24" t="b">
        <v>0</v>
      </c>
      <c r="D14" s="24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BDF50-58E1-4375-AC88-BB3745B3958A}">
  <dimension ref="A1:T39"/>
  <sheetViews>
    <sheetView topLeftCell="A6" workbookViewId="0">
      <selection activeCell="D22" sqref="D22"/>
    </sheetView>
  </sheetViews>
  <sheetFormatPr defaultRowHeight="15"/>
  <cols>
    <col min="1" max="1" width="5.5703125" bestFit="1" customWidth="1"/>
    <col min="2" max="2" width="23.28515625" bestFit="1" customWidth="1"/>
    <col min="3" max="3" width="27.140625" bestFit="1" customWidth="1"/>
    <col min="4" max="4" width="12" bestFit="1" customWidth="1"/>
    <col min="5" max="5" width="11.42578125" bestFit="1" customWidth="1"/>
    <col min="6" max="11" width="3.42578125" bestFit="1" customWidth="1"/>
    <col min="12" max="18" width="4.42578125" bestFit="1" customWidth="1"/>
    <col min="19" max="19" width="11.28515625" bestFit="1" customWidth="1"/>
    <col min="20" max="20" width="15.85546875" bestFit="1" customWidth="1"/>
  </cols>
  <sheetData>
    <row r="1" spans="1:20">
      <c r="A1" s="26" t="s">
        <v>39</v>
      </c>
      <c r="B1" s="31" t="s">
        <v>40</v>
      </c>
      <c r="C1" s="26" t="s">
        <v>41</v>
      </c>
      <c r="D1" s="26" t="s">
        <v>42</v>
      </c>
      <c r="E1" s="26" t="s">
        <v>94</v>
      </c>
      <c r="F1" s="26" t="s">
        <v>52</v>
      </c>
      <c r="G1" s="26" t="s">
        <v>21</v>
      </c>
      <c r="H1" s="26" t="s">
        <v>22</v>
      </c>
      <c r="I1" s="26" t="s">
        <v>23</v>
      </c>
      <c r="J1" s="26" t="s">
        <v>24</v>
      </c>
      <c r="K1" s="26" t="s">
        <v>25</v>
      </c>
      <c r="L1" s="26" t="s">
        <v>26</v>
      </c>
      <c r="M1" s="26" t="s">
        <v>27</v>
      </c>
      <c r="N1" s="26" t="s">
        <v>28</v>
      </c>
      <c r="O1" s="26" t="s">
        <v>29</v>
      </c>
      <c r="P1" s="26" t="s">
        <v>30</v>
      </c>
      <c r="Q1" s="26" t="s">
        <v>31</v>
      </c>
      <c r="R1" s="26" t="s">
        <v>32</v>
      </c>
      <c r="S1" s="26" t="s">
        <v>44</v>
      </c>
      <c r="T1" s="26" t="s">
        <v>54</v>
      </c>
    </row>
    <row r="2" spans="1:20">
      <c r="A2" s="27">
        <v>1</v>
      </c>
      <c r="B2" s="27">
        <v>2010990024</v>
      </c>
      <c r="C2" s="27" t="s">
        <v>55</v>
      </c>
      <c r="D2" s="26" t="s">
        <v>56</v>
      </c>
      <c r="E2" s="26" t="s">
        <v>49</v>
      </c>
      <c r="F2" s="27">
        <v>5</v>
      </c>
      <c r="G2" s="27">
        <v>1</v>
      </c>
      <c r="H2" s="27">
        <v>2</v>
      </c>
      <c r="I2" s="27">
        <v>2</v>
      </c>
      <c r="J2" s="27">
        <v>2</v>
      </c>
      <c r="K2" s="27" t="s">
        <v>48</v>
      </c>
      <c r="L2" s="27">
        <v>1</v>
      </c>
      <c r="M2" s="27">
        <v>4</v>
      </c>
      <c r="N2" s="27">
        <v>2</v>
      </c>
      <c r="O2" s="27" t="s">
        <v>48</v>
      </c>
      <c r="P2" s="27">
        <v>5</v>
      </c>
      <c r="Q2" s="27" t="s">
        <v>48</v>
      </c>
      <c r="R2" s="27">
        <v>7</v>
      </c>
      <c r="S2" s="26">
        <v>31</v>
      </c>
      <c r="T2" s="26">
        <v>40</v>
      </c>
    </row>
    <row r="3" spans="1:20">
      <c r="A3" s="27">
        <v>2</v>
      </c>
      <c r="B3" s="27">
        <v>2010992301</v>
      </c>
      <c r="C3" s="27" t="s">
        <v>57</v>
      </c>
      <c r="D3" s="26" t="s">
        <v>56</v>
      </c>
      <c r="E3" s="26" t="s">
        <v>49</v>
      </c>
      <c r="F3" s="27">
        <v>5</v>
      </c>
      <c r="G3" s="27">
        <v>2</v>
      </c>
      <c r="H3" s="27">
        <v>0</v>
      </c>
      <c r="I3" s="27">
        <v>0</v>
      </c>
      <c r="J3" s="27">
        <v>2</v>
      </c>
      <c r="K3" s="27">
        <v>2</v>
      </c>
      <c r="L3" s="27" t="s">
        <v>48</v>
      </c>
      <c r="M3" s="27">
        <v>3</v>
      </c>
      <c r="N3" s="27">
        <v>2</v>
      </c>
      <c r="O3" s="27">
        <v>3</v>
      </c>
      <c r="P3" s="27" t="s">
        <v>48</v>
      </c>
      <c r="Q3" s="27">
        <v>8</v>
      </c>
      <c r="R3" s="27" t="s">
        <v>48</v>
      </c>
      <c r="S3" s="26">
        <v>27</v>
      </c>
      <c r="T3" s="26">
        <v>40</v>
      </c>
    </row>
    <row r="4" spans="1:20">
      <c r="A4" s="27">
        <v>3</v>
      </c>
      <c r="B4" s="27">
        <v>2010992302</v>
      </c>
      <c r="C4" s="27" t="s">
        <v>58</v>
      </c>
      <c r="D4" s="26" t="s">
        <v>56</v>
      </c>
      <c r="E4" s="26" t="s">
        <v>49</v>
      </c>
      <c r="F4" s="27">
        <v>3</v>
      </c>
      <c r="G4" s="27">
        <v>2</v>
      </c>
      <c r="H4" s="27">
        <v>2</v>
      </c>
      <c r="I4" s="27">
        <v>1</v>
      </c>
      <c r="J4" s="27">
        <v>1</v>
      </c>
      <c r="K4" s="27">
        <v>1</v>
      </c>
      <c r="L4" s="27" t="s">
        <v>48</v>
      </c>
      <c r="M4" s="27">
        <v>2</v>
      </c>
      <c r="N4" s="27" t="s">
        <v>48</v>
      </c>
      <c r="O4" s="27">
        <v>3</v>
      </c>
      <c r="P4" s="27">
        <v>5</v>
      </c>
      <c r="Q4" s="27" t="s">
        <v>48</v>
      </c>
      <c r="R4" s="27">
        <v>6</v>
      </c>
      <c r="S4" s="26">
        <v>26</v>
      </c>
      <c r="T4" s="26">
        <v>40</v>
      </c>
    </row>
    <row r="5" spans="1:20">
      <c r="A5" s="27">
        <v>4</v>
      </c>
      <c r="B5" s="27">
        <v>2010992303</v>
      </c>
      <c r="C5" s="27" t="s">
        <v>59</v>
      </c>
      <c r="D5" s="26" t="s">
        <v>56</v>
      </c>
      <c r="E5" s="26" t="s">
        <v>49</v>
      </c>
      <c r="F5" s="27">
        <v>5</v>
      </c>
      <c r="G5" s="27" t="s">
        <v>48</v>
      </c>
      <c r="H5" s="27">
        <v>2</v>
      </c>
      <c r="I5" s="27">
        <v>2</v>
      </c>
      <c r="J5" s="27">
        <v>2</v>
      </c>
      <c r="K5" s="27">
        <v>2</v>
      </c>
      <c r="L5" s="27">
        <v>1</v>
      </c>
      <c r="M5" s="27">
        <v>1</v>
      </c>
      <c r="N5" s="27" t="s">
        <v>48</v>
      </c>
      <c r="O5" s="27">
        <v>4</v>
      </c>
      <c r="P5" s="27">
        <v>1</v>
      </c>
      <c r="Q5" s="27" t="s">
        <v>48</v>
      </c>
      <c r="R5" s="27">
        <v>10</v>
      </c>
      <c r="S5" s="26">
        <v>30</v>
      </c>
      <c r="T5" s="26">
        <v>40</v>
      </c>
    </row>
    <row r="6" spans="1:20">
      <c r="A6" s="27">
        <v>5</v>
      </c>
      <c r="B6" s="27">
        <v>2010992304</v>
      </c>
      <c r="C6" s="27" t="s">
        <v>60</v>
      </c>
      <c r="D6" s="26" t="s">
        <v>56</v>
      </c>
      <c r="E6" s="26" t="s">
        <v>49</v>
      </c>
      <c r="F6" s="27">
        <v>5</v>
      </c>
      <c r="G6" s="27">
        <v>1</v>
      </c>
      <c r="H6" s="27">
        <v>1</v>
      </c>
      <c r="I6" s="27" t="s">
        <v>48</v>
      </c>
      <c r="J6" s="27">
        <v>1</v>
      </c>
      <c r="K6" s="27">
        <v>1</v>
      </c>
      <c r="L6" s="27">
        <v>1</v>
      </c>
      <c r="M6" s="27">
        <v>4</v>
      </c>
      <c r="N6" s="27">
        <v>4</v>
      </c>
      <c r="O6" s="27" t="s">
        <v>48</v>
      </c>
      <c r="P6" s="27">
        <v>2</v>
      </c>
      <c r="Q6" s="27">
        <v>10</v>
      </c>
      <c r="R6" s="27" t="s">
        <v>48</v>
      </c>
      <c r="S6" s="26">
        <v>30</v>
      </c>
      <c r="T6" s="26">
        <v>40</v>
      </c>
    </row>
    <row r="7" spans="1:20">
      <c r="A7" s="27">
        <v>6</v>
      </c>
      <c r="B7" s="27">
        <v>2010992305</v>
      </c>
      <c r="C7" s="27" t="s">
        <v>61</v>
      </c>
      <c r="D7" s="26" t="s">
        <v>56</v>
      </c>
      <c r="E7" s="26" t="s">
        <v>49</v>
      </c>
      <c r="F7" s="27">
        <v>5</v>
      </c>
      <c r="G7" s="27" t="s">
        <v>48</v>
      </c>
      <c r="H7" s="27">
        <v>2</v>
      </c>
      <c r="I7" s="27">
        <v>1</v>
      </c>
      <c r="J7" s="27">
        <v>2</v>
      </c>
      <c r="K7" s="27">
        <v>1</v>
      </c>
      <c r="L7" s="27">
        <v>2</v>
      </c>
      <c r="M7" s="27">
        <v>5</v>
      </c>
      <c r="N7" s="27" t="s">
        <v>48</v>
      </c>
      <c r="O7" s="27">
        <v>5</v>
      </c>
      <c r="P7" s="27">
        <v>2</v>
      </c>
      <c r="Q7" s="27" t="s">
        <v>48</v>
      </c>
      <c r="R7" s="27">
        <v>2</v>
      </c>
      <c r="S7" s="26">
        <v>27</v>
      </c>
      <c r="T7" s="26">
        <v>40</v>
      </c>
    </row>
    <row r="8" spans="1:20">
      <c r="A8" s="27">
        <v>7</v>
      </c>
      <c r="B8" s="27">
        <v>2010992306</v>
      </c>
      <c r="C8" s="27" t="s">
        <v>62</v>
      </c>
      <c r="D8" s="26" t="s">
        <v>56</v>
      </c>
      <c r="E8" s="26" t="s">
        <v>49</v>
      </c>
      <c r="F8" s="27">
        <v>5</v>
      </c>
      <c r="G8" s="27" t="s">
        <v>48</v>
      </c>
      <c r="H8" s="27">
        <v>2</v>
      </c>
      <c r="I8" s="27">
        <v>2</v>
      </c>
      <c r="J8" s="27">
        <v>2</v>
      </c>
      <c r="K8" s="27">
        <v>2</v>
      </c>
      <c r="L8" s="27">
        <v>2</v>
      </c>
      <c r="M8" s="27">
        <v>5</v>
      </c>
      <c r="N8" s="27" t="s">
        <v>48</v>
      </c>
      <c r="O8" s="27">
        <v>5</v>
      </c>
      <c r="P8" s="27">
        <v>5</v>
      </c>
      <c r="Q8" s="27" t="s">
        <v>48</v>
      </c>
      <c r="R8" s="27">
        <v>3</v>
      </c>
      <c r="S8" s="26">
        <v>33</v>
      </c>
      <c r="T8" s="26">
        <v>40</v>
      </c>
    </row>
    <row r="9" spans="1:20">
      <c r="A9" s="27">
        <v>8</v>
      </c>
      <c r="B9" s="27">
        <v>2010992308</v>
      </c>
      <c r="C9" s="27" t="s">
        <v>63</v>
      </c>
      <c r="D9" s="26" t="s">
        <v>56</v>
      </c>
      <c r="E9" s="26" t="s">
        <v>49</v>
      </c>
      <c r="F9" s="27">
        <v>2</v>
      </c>
      <c r="G9" s="27">
        <v>2</v>
      </c>
      <c r="H9" s="27">
        <v>1</v>
      </c>
      <c r="I9" s="27">
        <v>2</v>
      </c>
      <c r="J9" s="27">
        <v>1</v>
      </c>
      <c r="K9" s="27" t="s">
        <v>48</v>
      </c>
      <c r="L9" s="27">
        <v>1</v>
      </c>
      <c r="M9" s="27">
        <v>4</v>
      </c>
      <c r="N9" s="27">
        <v>3</v>
      </c>
      <c r="O9" s="27" t="s">
        <v>48</v>
      </c>
      <c r="P9" s="27">
        <v>3</v>
      </c>
      <c r="Q9" s="27" t="s">
        <v>48</v>
      </c>
      <c r="R9" s="27">
        <v>8</v>
      </c>
      <c r="S9" s="26">
        <v>27</v>
      </c>
      <c r="T9" s="26">
        <v>40</v>
      </c>
    </row>
    <row r="10" spans="1:20">
      <c r="A10" s="27">
        <v>9</v>
      </c>
      <c r="B10" s="27">
        <v>2010992310</v>
      </c>
      <c r="C10" s="27" t="s">
        <v>64</v>
      </c>
      <c r="D10" s="26" t="s">
        <v>56</v>
      </c>
      <c r="E10" s="26" t="s">
        <v>49</v>
      </c>
      <c r="F10" s="27">
        <v>3</v>
      </c>
      <c r="G10" s="27" t="s">
        <v>48</v>
      </c>
      <c r="H10" s="27">
        <v>1</v>
      </c>
      <c r="I10" s="27">
        <v>1</v>
      </c>
      <c r="J10" s="27">
        <v>2</v>
      </c>
      <c r="K10" s="27">
        <v>2</v>
      </c>
      <c r="L10" s="27">
        <v>2</v>
      </c>
      <c r="M10" s="27" t="s">
        <v>48</v>
      </c>
      <c r="N10" s="27">
        <v>5</v>
      </c>
      <c r="O10" s="27">
        <v>1</v>
      </c>
      <c r="P10" s="27">
        <v>5</v>
      </c>
      <c r="Q10" s="27">
        <v>9</v>
      </c>
      <c r="R10" s="27" t="s">
        <v>48</v>
      </c>
      <c r="S10" s="26">
        <v>31</v>
      </c>
      <c r="T10" s="26">
        <v>40</v>
      </c>
    </row>
    <row r="11" spans="1:20">
      <c r="A11" s="27">
        <v>10</v>
      </c>
      <c r="B11" s="27">
        <v>2010992311</v>
      </c>
      <c r="C11" s="27" t="s">
        <v>65</v>
      </c>
      <c r="D11" s="26" t="s">
        <v>56</v>
      </c>
      <c r="E11" s="26" t="s">
        <v>49</v>
      </c>
      <c r="F11" s="27">
        <v>3</v>
      </c>
      <c r="G11" s="27">
        <v>2</v>
      </c>
      <c r="H11" s="27">
        <v>2</v>
      </c>
      <c r="I11" s="27">
        <v>1</v>
      </c>
      <c r="J11" s="27" t="s">
        <v>48</v>
      </c>
      <c r="K11" s="27">
        <v>2</v>
      </c>
      <c r="L11" s="27">
        <v>2</v>
      </c>
      <c r="M11" s="27" t="s">
        <v>48</v>
      </c>
      <c r="N11" s="27">
        <v>1</v>
      </c>
      <c r="O11" s="27">
        <v>5</v>
      </c>
      <c r="P11" s="27">
        <v>2</v>
      </c>
      <c r="Q11" s="27">
        <v>10</v>
      </c>
      <c r="R11" s="27" t="s">
        <v>48</v>
      </c>
      <c r="S11" s="26">
        <v>30</v>
      </c>
      <c r="T11" s="26">
        <v>40</v>
      </c>
    </row>
    <row r="12" spans="1:20">
      <c r="A12" s="27">
        <v>11</v>
      </c>
      <c r="B12" s="27">
        <v>2010992312</v>
      </c>
      <c r="C12" s="27" t="s">
        <v>66</v>
      </c>
      <c r="D12" s="26" t="s">
        <v>56</v>
      </c>
      <c r="E12" s="26" t="s">
        <v>49</v>
      </c>
      <c r="F12" s="27">
        <v>5</v>
      </c>
      <c r="G12" s="27">
        <v>2</v>
      </c>
      <c r="H12" s="27" t="s">
        <v>48</v>
      </c>
      <c r="I12" s="27">
        <v>2</v>
      </c>
      <c r="J12" s="27">
        <v>2</v>
      </c>
      <c r="K12" s="27">
        <v>1</v>
      </c>
      <c r="L12" s="27">
        <v>1</v>
      </c>
      <c r="M12" s="27">
        <v>3</v>
      </c>
      <c r="N12" s="27">
        <v>1</v>
      </c>
      <c r="O12" s="27" t="s">
        <v>48</v>
      </c>
      <c r="P12" s="27">
        <v>0</v>
      </c>
      <c r="Q12" s="27">
        <v>10</v>
      </c>
      <c r="R12" s="27" t="s">
        <v>48</v>
      </c>
      <c r="S12" s="26">
        <v>27</v>
      </c>
      <c r="T12" s="26">
        <v>40</v>
      </c>
    </row>
    <row r="13" spans="1:20" ht="13.5" customHeight="1">
      <c r="A13" s="27">
        <v>12</v>
      </c>
      <c r="B13" s="27">
        <v>2010992313</v>
      </c>
      <c r="C13" s="27" t="s">
        <v>67</v>
      </c>
      <c r="D13" s="26" t="s">
        <v>56</v>
      </c>
      <c r="E13" s="26" t="s">
        <v>49</v>
      </c>
      <c r="F13" s="27">
        <v>2</v>
      </c>
      <c r="G13" s="27">
        <v>2</v>
      </c>
      <c r="H13" s="27">
        <v>2</v>
      </c>
      <c r="I13" s="27">
        <v>2</v>
      </c>
      <c r="J13" s="27">
        <v>2</v>
      </c>
      <c r="K13" s="27" t="s">
        <v>48</v>
      </c>
      <c r="L13" s="27">
        <v>1</v>
      </c>
      <c r="M13" s="27">
        <v>4</v>
      </c>
      <c r="N13" s="27">
        <v>4</v>
      </c>
      <c r="O13" s="27">
        <v>5</v>
      </c>
      <c r="P13" s="27" t="s">
        <v>48</v>
      </c>
      <c r="Q13" s="27" t="s">
        <v>48</v>
      </c>
      <c r="R13" s="27">
        <v>10</v>
      </c>
      <c r="S13" s="26">
        <v>34</v>
      </c>
      <c r="T13" s="26">
        <v>40</v>
      </c>
    </row>
    <row r="14" spans="1:20" hidden="1">
      <c r="A14" s="27">
        <v>13</v>
      </c>
      <c r="B14" s="27">
        <v>2010992314</v>
      </c>
      <c r="C14" s="27" t="s">
        <v>68</v>
      </c>
      <c r="D14" s="26" t="s">
        <v>56</v>
      </c>
      <c r="E14" s="26" t="s">
        <v>49</v>
      </c>
      <c r="F14" s="27">
        <v>3</v>
      </c>
      <c r="G14" s="27">
        <v>1</v>
      </c>
      <c r="H14" s="27">
        <v>2</v>
      </c>
      <c r="I14" s="27">
        <v>2</v>
      </c>
      <c r="J14" s="27" t="s">
        <v>48</v>
      </c>
      <c r="K14" s="27">
        <v>2</v>
      </c>
      <c r="L14" s="27">
        <v>1</v>
      </c>
      <c r="M14" s="27">
        <v>1</v>
      </c>
      <c r="N14" s="27" t="s">
        <v>48</v>
      </c>
      <c r="O14" s="27">
        <v>5</v>
      </c>
      <c r="P14" s="27">
        <v>5</v>
      </c>
      <c r="Q14" s="27">
        <v>10</v>
      </c>
      <c r="R14" s="27" t="s">
        <v>48</v>
      </c>
      <c r="S14" s="26">
        <v>32</v>
      </c>
      <c r="T14" s="26">
        <v>40</v>
      </c>
    </row>
    <row r="15" spans="1:20">
      <c r="A15" s="27">
        <v>14</v>
      </c>
      <c r="B15" s="27">
        <v>2010992315</v>
      </c>
      <c r="C15" s="27" t="s">
        <v>69</v>
      </c>
      <c r="D15" s="26" t="s">
        <v>56</v>
      </c>
      <c r="E15" s="26" t="s">
        <v>49</v>
      </c>
      <c r="F15" s="27">
        <v>2</v>
      </c>
      <c r="G15" s="27">
        <v>2</v>
      </c>
      <c r="H15" s="27">
        <v>2</v>
      </c>
      <c r="I15" s="27">
        <v>2</v>
      </c>
      <c r="J15" s="27">
        <v>2</v>
      </c>
      <c r="K15" s="27" t="s">
        <v>48</v>
      </c>
      <c r="L15" s="27">
        <v>2</v>
      </c>
      <c r="M15" s="27" t="s">
        <v>48</v>
      </c>
      <c r="N15" s="27">
        <v>2</v>
      </c>
      <c r="O15" s="27">
        <v>2</v>
      </c>
      <c r="P15" s="27">
        <v>5</v>
      </c>
      <c r="Q15" s="27" t="s">
        <v>48</v>
      </c>
      <c r="R15" s="27">
        <v>4</v>
      </c>
      <c r="S15" s="26">
        <v>25</v>
      </c>
      <c r="T15" s="26">
        <v>40</v>
      </c>
    </row>
    <row r="16" spans="1:20">
      <c r="A16" s="27">
        <v>15</v>
      </c>
      <c r="B16" s="27">
        <v>2010992316</v>
      </c>
      <c r="C16" s="27" t="s">
        <v>70</v>
      </c>
      <c r="D16" s="26" t="s">
        <v>56</v>
      </c>
      <c r="E16" s="26" t="s">
        <v>49</v>
      </c>
      <c r="F16" s="27">
        <v>3</v>
      </c>
      <c r="G16" s="27">
        <v>2</v>
      </c>
      <c r="H16" s="27">
        <v>2</v>
      </c>
      <c r="I16" s="27">
        <v>2</v>
      </c>
      <c r="J16" s="27" t="s">
        <v>48</v>
      </c>
      <c r="K16" s="27">
        <v>2</v>
      </c>
      <c r="L16" s="27">
        <v>1</v>
      </c>
      <c r="M16" s="27">
        <v>5</v>
      </c>
      <c r="N16" s="27">
        <v>3</v>
      </c>
      <c r="O16" s="27">
        <v>5</v>
      </c>
      <c r="P16" s="27" t="s">
        <v>48</v>
      </c>
      <c r="Q16" s="27">
        <v>7</v>
      </c>
      <c r="R16" s="27" t="s">
        <v>48</v>
      </c>
      <c r="S16" s="26">
        <v>32</v>
      </c>
      <c r="T16" s="26">
        <v>40</v>
      </c>
    </row>
    <row r="17" spans="1:20">
      <c r="A17" s="27">
        <v>16</v>
      </c>
      <c r="B17" s="27">
        <v>2010992317</v>
      </c>
      <c r="C17" s="27" t="s">
        <v>71</v>
      </c>
      <c r="D17" s="26" t="s">
        <v>56</v>
      </c>
      <c r="E17" s="26" t="s">
        <v>49</v>
      </c>
      <c r="F17" s="27">
        <v>1</v>
      </c>
      <c r="G17" s="27">
        <v>2</v>
      </c>
      <c r="H17" s="27">
        <v>1</v>
      </c>
      <c r="I17" s="27">
        <v>2</v>
      </c>
      <c r="J17" s="27">
        <v>2</v>
      </c>
      <c r="K17" s="27">
        <v>1</v>
      </c>
      <c r="L17" s="27" t="s">
        <v>48</v>
      </c>
      <c r="M17" s="27">
        <v>5</v>
      </c>
      <c r="N17" s="27" t="s">
        <v>48</v>
      </c>
      <c r="O17" s="27">
        <v>5</v>
      </c>
      <c r="P17" s="27">
        <v>1</v>
      </c>
      <c r="Q17" s="27" t="s">
        <v>48</v>
      </c>
      <c r="R17" s="27">
        <v>10</v>
      </c>
      <c r="S17" s="26">
        <v>30</v>
      </c>
      <c r="T17" s="26">
        <v>40</v>
      </c>
    </row>
    <row r="18" spans="1:20">
      <c r="A18" s="27">
        <v>17</v>
      </c>
      <c r="B18" s="27">
        <v>2010992318</v>
      </c>
      <c r="C18" s="27" t="s">
        <v>72</v>
      </c>
      <c r="D18" s="26" t="s">
        <v>56</v>
      </c>
      <c r="E18" s="26" t="s">
        <v>49</v>
      </c>
      <c r="F18" s="27">
        <v>5</v>
      </c>
      <c r="G18" s="27">
        <v>2</v>
      </c>
      <c r="H18" s="27">
        <v>2</v>
      </c>
      <c r="I18" s="27">
        <v>2</v>
      </c>
      <c r="J18" s="27" t="s">
        <v>48</v>
      </c>
      <c r="K18" s="27">
        <v>2</v>
      </c>
      <c r="L18" s="27">
        <v>2</v>
      </c>
      <c r="M18" s="27" t="s">
        <v>48</v>
      </c>
      <c r="N18" s="27">
        <v>5</v>
      </c>
      <c r="O18" s="27">
        <v>5</v>
      </c>
      <c r="P18" s="27">
        <v>5</v>
      </c>
      <c r="Q18" s="27">
        <v>4</v>
      </c>
      <c r="R18" s="27" t="s">
        <v>48</v>
      </c>
      <c r="S18" s="26">
        <v>34</v>
      </c>
      <c r="T18" s="26">
        <v>40</v>
      </c>
    </row>
    <row r="19" spans="1:20">
      <c r="A19" s="27">
        <v>18</v>
      </c>
      <c r="B19" s="27">
        <v>2010992320</v>
      </c>
      <c r="C19" s="27" t="s">
        <v>73</v>
      </c>
      <c r="D19" s="26" t="s">
        <v>56</v>
      </c>
      <c r="E19" s="26" t="s">
        <v>49</v>
      </c>
      <c r="F19" s="27">
        <v>5</v>
      </c>
      <c r="G19" s="27">
        <v>2</v>
      </c>
      <c r="H19" s="27">
        <v>1</v>
      </c>
      <c r="I19" s="27" t="s">
        <v>48</v>
      </c>
      <c r="J19" s="27">
        <v>2</v>
      </c>
      <c r="K19" s="27">
        <v>2</v>
      </c>
      <c r="L19" s="27">
        <v>1</v>
      </c>
      <c r="M19" s="27">
        <v>4</v>
      </c>
      <c r="N19" s="27">
        <v>4</v>
      </c>
      <c r="O19" s="27" t="s">
        <v>48</v>
      </c>
      <c r="P19" s="27">
        <v>0</v>
      </c>
      <c r="Q19" s="27">
        <v>9</v>
      </c>
      <c r="R19" s="27" t="s">
        <v>48</v>
      </c>
      <c r="S19" s="26">
        <v>30</v>
      </c>
      <c r="T19" s="26">
        <v>40</v>
      </c>
    </row>
    <row r="20" spans="1:20">
      <c r="A20" s="27">
        <v>19</v>
      </c>
      <c r="B20" s="27">
        <v>2010992321</v>
      </c>
      <c r="C20" s="27" t="s">
        <v>74</v>
      </c>
      <c r="D20" s="26" t="s">
        <v>56</v>
      </c>
      <c r="E20" s="26" t="s">
        <v>49</v>
      </c>
      <c r="F20" s="27">
        <v>4</v>
      </c>
      <c r="G20" s="27">
        <v>2</v>
      </c>
      <c r="H20" s="27">
        <v>2</v>
      </c>
      <c r="I20" s="27">
        <v>2</v>
      </c>
      <c r="J20" s="27">
        <v>2</v>
      </c>
      <c r="K20" s="27">
        <v>2</v>
      </c>
      <c r="L20" s="27" t="s">
        <v>48</v>
      </c>
      <c r="M20" s="27">
        <v>5</v>
      </c>
      <c r="N20" s="27">
        <v>4</v>
      </c>
      <c r="O20" s="27" t="s">
        <v>48</v>
      </c>
      <c r="P20" s="27">
        <v>4</v>
      </c>
      <c r="Q20" s="27" t="s">
        <v>48</v>
      </c>
      <c r="R20" s="27">
        <v>4</v>
      </c>
      <c r="S20" s="26">
        <v>31</v>
      </c>
      <c r="T20" s="26">
        <v>40</v>
      </c>
    </row>
    <row r="21" spans="1:20">
      <c r="A21" s="27">
        <v>20</v>
      </c>
      <c r="B21" s="27">
        <v>2010992324</v>
      </c>
      <c r="C21" s="27" t="s">
        <v>75</v>
      </c>
      <c r="D21" s="26" t="s">
        <v>56</v>
      </c>
      <c r="E21" s="26" t="s">
        <v>49</v>
      </c>
      <c r="F21" s="27">
        <v>5</v>
      </c>
      <c r="G21" s="27">
        <v>2</v>
      </c>
      <c r="H21" s="27">
        <v>2</v>
      </c>
      <c r="I21" s="27">
        <v>2</v>
      </c>
      <c r="J21" s="27">
        <v>2</v>
      </c>
      <c r="K21" s="27" t="s">
        <v>48</v>
      </c>
      <c r="L21" s="27">
        <v>2</v>
      </c>
      <c r="M21" s="27">
        <v>5</v>
      </c>
      <c r="N21" s="27">
        <v>5</v>
      </c>
      <c r="O21" s="27" t="s">
        <v>48</v>
      </c>
      <c r="P21" s="27">
        <v>5</v>
      </c>
      <c r="Q21" s="27" t="s">
        <v>48</v>
      </c>
      <c r="R21" s="27">
        <v>8</v>
      </c>
      <c r="S21" s="26">
        <v>38</v>
      </c>
      <c r="T21" s="26">
        <v>40</v>
      </c>
    </row>
    <row r="22" spans="1:20">
      <c r="A22" s="27">
        <v>21</v>
      </c>
      <c r="B22" s="27">
        <v>2010992325</v>
      </c>
      <c r="C22" s="27" t="s">
        <v>76</v>
      </c>
      <c r="D22" s="26" t="s">
        <v>56</v>
      </c>
      <c r="E22" s="26" t="s">
        <v>49</v>
      </c>
      <c r="F22" s="27">
        <v>1</v>
      </c>
      <c r="G22" s="27" t="s">
        <v>48</v>
      </c>
      <c r="H22" s="27">
        <v>1</v>
      </c>
      <c r="I22" s="27">
        <v>2</v>
      </c>
      <c r="J22" s="27">
        <v>1</v>
      </c>
      <c r="K22" s="27">
        <v>1</v>
      </c>
      <c r="L22" s="27">
        <v>1</v>
      </c>
      <c r="M22" s="27">
        <v>4</v>
      </c>
      <c r="N22" s="27" t="s">
        <v>48</v>
      </c>
      <c r="O22" s="27">
        <v>1</v>
      </c>
      <c r="P22" s="27">
        <v>5</v>
      </c>
      <c r="Q22" s="27" t="s">
        <v>48</v>
      </c>
      <c r="R22" s="27">
        <v>5</v>
      </c>
      <c r="S22" s="26">
        <v>22</v>
      </c>
      <c r="T22" s="26">
        <v>40</v>
      </c>
    </row>
    <row r="23" spans="1:20">
      <c r="A23" s="27">
        <v>22</v>
      </c>
      <c r="B23" s="27">
        <v>2010992326</v>
      </c>
      <c r="C23" s="27" t="s">
        <v>77</v>
      </c>
      <c r="D23" s="26" t="s">
        <v>56</v>
      </c>
      <c r="E23" s="26" t="s">
        <v>49</v>
      </c>
      <c r="F23" s="27">
        <v>5</v>
      </c>
      <c r="G23" s="27">
        <v>2</v>
      </c>
      <c r="H23" s="27">
        <v>2</v>
      </c>
      <c r="I23" s="27">
        <v>1</v>
      </c>
      <c r="J23" s="27">
        <v>2</v>
      </c>
      <c r="K23" s="27" t="s">
        <v>48</v>
      </c>
      <c r="L23" s="27">
        <v>2</v>
      </c>
      <c r="M23" s="27">
        <v>2</v>
      </c>
      <c r="N23" s="27">
        <v>5</v>
      </c>
      <c r="O23" s="27" t="s">
        <v>48</v>
      </c>
      <c r="P23" s="27">
        <v>5</v>
      </c>
      <c r="Q23" s="27">
        <v>4</v>
      </c>
      <c r="R23" s="27" t="s">
        <v>48</v>
      </c>
      <c r="S23" s="26">
        <v>30</v>
      </c>
      <c r="T23" s="26">
        <v>40</v>
      </c>
    </row>
    <row r="24" spans="1:20">
      <c r="A24" s="27">
        <v>23</v>
      </c>
      <c r="B24" s="27">
        <v>2010992327</v>
      </c>
      <c r="C24" s="27" t="s">
        <v>78</v>
      </c>
      <c r="D24" s="26" t="s">
        <v>56</v>
      </c>
      <c r="E24" s="26" t="s">
        <v>49</v>
      </c>
      <c r="F24" s="27">
        <v>2</v>
      </c>
      <c r="G24" s="27">
        <v>1</v>
      </c>
      <c r="H24" s="27">
        <v>2</v>
      </c>
      <c r="I24" s="27" t="s">
        <v>48</v>
      </c>
      <c r="J24" s="27">
        <v>0</v>
      </c>
      <c r="K24" s="27">
        <v>0</v>
      </c>
      <c r="L24" s="27">
        <v>0</v>
      </c>
      <c r="M24" s="27">
        <v>4</v>
      </c>
      <c r="N24" s="27">
        <v>3</v>
      </c>
      <c r="O24" s="27" t="s">
        <v>48</v>
      </c>
      <c r="P24" s="27">
        <v>5</v>
      </c>
      <c r="Q24" s="27" t="s">
        <v>48</v>
      </c>
      <c r="R24" s="27">
        <v>9</v>
      </c>
      <c r="S24" s="26">
        <v>26</v>
      </c>
      <c r="T24" s="26">
        <v>40</v>
      </c>
    </row>
    <row r="25" spans="1:20">
      <c r="A25" s="27">
        <v>24</v>
      </c>
      <c r="B25" s="27">
        <v>2010992328</v>
      </c>
      <c r="C25" s="27" t="s">
        <v>79</v>
      </c>
      <c r="D25" s="26" t="s">
        <v>56</v>
      </c>
      <c r="E25" s="26" t="s">
        <v>49</v>
      </c>
      <c r="F25" s="27">
        <v>4</v>
      </c>
      <c r="G25" s="27">
        <v>2</v>
      </c>
      <c r="H25" s="27">
        <v>1</v>
      </c>
      <c r="I25" s="27" t="s">
        <v>48</v>
      </c>
      <c r="J25" s="27">
        <v>2</v>
      </c>
      <c r="K25" s="27">
        <v>2</v>
      </c>
      <c r="L25" s="27">
        <v>2</v>
      </c>
      <c r="M25" s="27" t="s">
        <v>48</v>
      </c>
      <c r="N25" s="27">
        <v>3</v>
      </c>
      <c r="O25" s="27">
        <v>4</v>
      </c>
      <c r="P25" s="27">
        <v>3</v>
      </c>
      <c r="Q25" s="27">
        <v>8</v>
      </c>
      <c r="R25" s="27" t="s">
        <v>48</v>
      </c>
      <c r="S25" s="26">
        <v>31</v>
      </c>
      <c r="T25" s="26">
        <v>40</v>
      </c>
    </row>
    <row r="26" spans="1:20">
      <c r="A26" s="27">
        <v>25</v>
      </c>
      <c r="B26" s="27">
        <v>2010992329</v>
      </c>
      <c r="C26" s="27" t="s">
        <v>80</v>
      </c>
      <c r="D26" s="26" t="s">
        <v>56</v>
      </c>
      <c r="E26" s="26" t="s">
        <v>49</v>
      </c>
      <c r="F26" s="27">
        <v>5</v>
      </c>
      <c r="G26" s="27">
        <v>2</v>
      </c>
      <c r="H26" s="27">
        <v>2</v>
      </c>
      <c r="I26" s="27">
        <v>2</v>
      </c>
      <c r="J26" s="27">
        <v>2</v>
      </c>
      <c r="K26" s="27" t="s">
        <v>48</v>
      </c>
      <c r="L26" s="27">
        <v>2</v>
      </c>
      <c r="M26" s="27">
        <v>5</v>
      </c>
      <c r="N26" s="27">
        <v>5</v>
      </c>
      <c r="O26" s="27" t="s">
        <v>48</v>
      </c>
      <c r="P26" s="27">
        <v>3</v>
      </c>
      <c r="Q26" s="27" t="s">
        <v>48</v>
      </c>
      <c r="R26" s="27">
        <v>6</v>
      </c>
      <c r="S26" s="26">
        <v>34</v>
      </c>
      <c r="T26" s="26">
        <v>40</v>
      </c>
    </row>
    <row r="27" spans="1:20">
      <c r="A27" s="27">
        <v>26</v>
      </c>
      <c r="B27" s="27">
        <v>2010992331</v>
      </c>
      <c r="C27" s="27" t="s">
        <v>81</v>
      </c>
      <c r="D27" s="26" t="s">
        <v>56</v>
      </c>
      <c r="E27" s="26" t="s">
        <v>49</v>
      </c>
      <c r="F27" s="27">
        <v>4</v>
      </c>
      <c r="G27" s="27">
        <v>2</v>
      </c>
      <c r="H27" s="27">
        <v>1</v>
      </c>
      <c r="I27" s="27">
        <v>1</v>
      </c>
      <c r="J27" s="27" t="s">
        <v>48</v>
      </c>
      <c r="K27" s="27">
        <v>2</v>
      </c>
      <c r="L27" s="27">
        <v>2</v>
      </c>
      <c r="M27" s="27">
        <v>5</v>
      </c>
      <c r="N27" s="27">
        <v>1</v>
      </c>
      <c r="O27" s="27" t="s">
        <v>48</v>
      </c>
      <c r="P27" s="27">
        <v>3</v>
      </c>
      <c r="Q27" s="27">
        <v>10</v>
      </c>
      <c r="R27" s="27" t="s">
        <v>48</v>
      </c>
      <c r="S27" s="26">
        <v>31</v>
      </c>
      <c r="T27" s="26">
        <v>40</v>
      </c>
    </row>
    <row r="28" spans="1:20">
      <c r="A28" s="27">
        <v>27</v>
      </c>
      <c r="B28" s="27">
        <v>2010992332</v>
      </c>
      <c r="C28" s="27" t="s">
        <v>82</v>
      </c>
      <c r="D28" s="26" t="s">
        <v>56</v>
      </c>
      <c r="E28" s="26" t="s">
        <v>49</v>
      </c>
      <c r="F28" s="27">
        <v>5</v>
      </c>
      <c r="G28" s="27">
        <v>1</v>
      </c>
      <c r="H28" s="27">
        <v>2</v>
      </c>
      <c r="I28" s="27">
        <v>1</v>
      </c>
      <c r="J28" s="27">
        <v>0</v>
      </c>
      <c r="K28" s="27" t="s">
        <v>48</v>
      </c>
      <c r="L28" s="27">
        <v>0</v>
      </c>
      <c r="M28" s="27">
        <v>2</v>
      </c>
      <c r="N28" s="27">
        <v>5</v>
      </c>
      <c r="O28" s="27" t="s">
        <v>48</v>
      </c>
      <c r="P28" s="27">
        <v>1</v>
      </c>
      <c r="Q28" s="27">
        <v>1</v>
      </c>
      <c r="R28" s="27" t="s">
        <v>48</v>
      </c>
      <c r="S28" s="26">
        <v>18</v>
      </c>
      <c r="T28" s="26">
        <v>40</v>
      </c>
    </row>
    <row r="29" spans="1:20">
      <c r="A29" s="27">
        <v>28</v>
      </c>
      <c r="B29" s="27">
        <v>2010992333</v>
      </c>
      <c r="C29" s="27" t="s">
        <v>83</v>
      </c>
      <c r="D29" s="26" t="s">
        <v>56</v>
      </c>
      <c r="E29" s="26" t="s">
        <v>49</v>
      </c>
      <c r="F29" s="27">
        <v>4</v>
      </c>
      <c r="G29" s="27">
        <v>2</v>
      </c>
      <c r="H29" s="27">
        <v>2</v>
      </c>
      <c r="I29" s="27">
        <v>2</v>
      </c>
      <c r="J29" s="27" t="s">
        <v>48</v>
      </c>
      <c r="K29" s="27">
        <v>2</v>
      </c>
      <c r="L29" s="27">
        <v>2</v>
      </c>
      <c r="M29" s="27" t="s">
        <v>48</v>
      </c>
      <c r="N29" s="27">
        <v>5</v>
      </c>
      <c r="O29" s="27">
        <v>5</v>
      </c>
      <c r="P29" s="27">
        <v>5</v>
      </c>
      <c r="Q29" s="27" t="s">
        <v>48</v>
      </c>
      <c r="R29" s="27">
        <v>4</v>
      </c>
      <c r="S29" s="26">
        <v>33</v>
      </c>
      <c r="T29" s="26">
        <v>40</v>
      </c>
    </row>
    <row r="30" spans="1:20">
      <c r="A30" s="27">
        <v>29</v>
      </c>
      <c r="B30" s="27">
        <v>2010992334</v>
      </c>
      <c r="C30" s="27" t="s">
        <v>84</v>
      </c>
      <c r="D30" s="26" t="s">
        <v>56</v>
      </c>
      <c r="E30" s="26" t="s">
        <v>49</v>
      </c>
      <c r="F30" s="27">
        <v>5</v>
      </c>
      <c r="G30" s="27">
        <v>2</v>
      </c>
      <c r="H30" s="27" t="s">
        <v>48</v>
      </c>
      <c r="I30" s="27">
        <v>2</v>
      </c>
      <c r="J30" s="27">
        <v>2</v>
      </c>
      <c r="K30" s="27">
        <v>2</v>
      </c>
      <c r="L30" s="27">
        <v>2</v>
      </c>
      <c r="M30" s="27" t="s">
        <v>48</v>
      </c>
      <c r="N30" s="27">
        <v>5</v>
      </c>
      <c r="O30" s="27">
        <v>5</v>
      </c>
      <c r="P30" s="27">
        <v>1</v>
      </c>
      <c r="Q30" s="27" t="s">
        <v>48</v>
      </c>
      <c r="R30" s="27">
        <v>1</v>
      </c>
      <c r="S30" s="26">
        <v>27</v>
      </c>
      <c r="T30" s="26">
        <v>40</v>
      </c>
    </row>
    <row r="31" spans="1:20">
      <c r="A31" s="27">
        <v>30</v>
      </c>
      <c r="B31" s="27">
        <v>2010992335</v>
      </c>
      <c r="C31" s="27" t="s">
        <v>85</v>
      </c>
      <c r="D31" s="26" t="s">
        <v>56</v>
      </c>
      <c r="E31" s="26" t="s">
        <v>49</v>
      </c>
      <c r="F31" s="27">
        <v>5</v>
      </c>
      <c r="G31" s="27">
        <v>2</v>
      </c>
      <c r="H31" s="27">
        <v>2</v>
      </c>
      <c r="I31" s="27" t="s">
        <v>48</v>
      </c>
      <c r="J31" s="27">
        <v>2</v>
      </c>
      <c r="K31" s="27">
        <v>2</v>
      </c>
      <c r="L31" s="27">
        <v>2</v>
      </c>
      <c r="M31" s="27" t="s">
        <v>48</v>
      </c>
      <c r="N31" s="27">
        <v>2</v>
      </c>
      <c r="O31" s="27">
        <v>5</v>
      </c>
      <c r="P31" s="27">
        <v>5</v>
      </c>
      <c r="Q31" s="27">
        <v>6</v>
      </c>
      <c r="R31" s="27" t="s">
        <v>48</v>
      </c>
      <c r="S31" s="26">
        <v>33</v>
      </c>
      <c r="T31" s="26">
        <v>40</v>
      </c>
    </row>
    <row r="32" spans="1:20">
      <c r="A32" s="27">
        <v>31</v>
      </c>
      <c r="B32" s="27">
        <v>2010992336</v>
      </c>
      <c r="C32" s="27" t="s">
        <v>86</v>
      </c>
      <c r="D32" s="26" t="s">
        <v>56</v>
      </c>
      <c r="E32" s="26" t="s">
        <v>49</v>
      </c>
      <c r="F32" s="27">
        <v>3</v>
      </c>
      <c r="G32" s="27">
        <v>2</v>
      </c>
      <c r="H32" s="27">
        <v>2</v>
      </c>
      <c r="I32" s="27">
        <v>2</v>
      </c>
      <c r="J32" s="27">
        <v>2</v>
      </c>
      <c r="K32" s="27" t="s">
        <v>48</v>
      </c>
      <c r="L32" s="27">
        <v>2</v>
      </c>
      <c r="M32" s="27">
        <v>5</v>
      </c>
      <c r="N32" s="27" t="s">
        <v>48</v>
      </c>
      <c r="O32" s="27">
        <v>5</v>
      </c>
      <c r="P32" s="27">
        <v>3</v>
      </c>
      <c r="Q32" s="27">
        <v>3</v>
      </c>
      <c r="R32" s="27" t="s">
        <v>48</v>
      </c>
      <c r="S32" s="26">
        <v>29</v>
      </c>
      <c r="T32" s="26">
        <v>40</v>
      </c>
    </row>
    <row r="33" spans="1:20">
      <c r="A33" s="27">
        <v>32</v>
      </c>
      <c r="B33" s="27">
        <v>2010992337</v>
      </c>
      <c r="C33" s="27" t="s">
        <v>87</v>
      </c>
      <c r="D33" s="26" t="s">
        <v>56</v>
      </c>
      <c r="E33" s="26" t="s">
        <v>49</v>
      </c>
      <c r="F33" s="27">
        <v>5</v>
      </c>
      <c r="G33" s="27">
        <v>2</v>
      </c>
      <c r="H33" s="27">
        <v>2</v>
      </c>
      <c r="I33" s="27">
        <v>2</v>
      </c>
      <c r="J33" s="27" t="s">
        <v>48</v>
      </c>
      <c r="K33" s="27">
        <v>2</v>
      </c>
      <c r="L33" s="27">
        <v>2</v>
      </c>
      <c r="M33" s="27">
        <v>5</v>
      </c>
      <c r="N33" s="27">
        <v>3</v>
      </c>
      <c r="O33" s="27" t="s">
        <v>48</v>
      </c>
      <c r="P33" s="27">
        <v>3</v>
      </c>
      <c r="Q33" s="27" t="s">
        <v>48</v>
      </c>
      <c r="R33" s="27">
        <v>10</v>
      </c>
      <c r="S33" s="26">
        <v>36</v>
      </c>
      <c r="T33" s="26">
        <v>40</v>
      </c>
    </row>
    <row r="34" spans="1:20">
      <c r="A34" s="27">
        <v>33</v>
      </c>
      <c r="B34" s="27">
        <v>2010992338</v>
      </c>
      <c r="C34" s="27" t="s">
        <v>88</v>
      </c>
      <c r="D34" s="26" t="s">
        <v>56</v>
      </c>
      <c r="E34" s="26" t="s">
        <v>49</v>
      </c>
      <c r="F34" s="27">
        <v>3</v>
      </c>
      <c r="G34" s="27">
        <v>2</v>
      </c>
      <c r="H34" s="27">
        <v>2</v>
      </c>
      <c r="I34" s="27">
        <v>2</v>
      </c>
      <c r="J34" s="27" t="s">
        <v>48</v>
      </c>
      <c r="K34" s="27">
        <v>2</v>
      </c>
      <c r="L34" s="27">
        <v>2</v>
      </c>
      <c r="M34" s="27">
        <v>4</v>
      </c>
      <c r="N34" s="27">
        <v>5</v>
      </c>
      <c r="O34" s="27">
        <v>1</v>
      </c>
      <c r="P34" s="27" t="s">
        <v>48</v>
      </c>
      <c r="Q34" s="27">
        <v>5</v>
      </c>
      <c r="R34" s="27" t="s">
        <v>48</v>
      </c>
      <c r="S34" s="26">
        <v>28</v>
      </c>
      <c r="T34" s="26">
        <v>40</v>
      </c>
    </row>
    <row r="35" spans="1:20">
      <c r="A35" s="27">
        <v>34</v>
      </c>
      <c r="B35" s="27">
        <v>2010992341</v>
      </c>
      <c r="C35" s="27" t="s">
        <v>89</v>
      </c>
      <c r="D35" s="26" t="s">
        <v>56</v>
      </c>
      <c r="E35" s="26" t="s">
        <v>49</v>
      </c>
      <c r="F35" s="27">
        <v>5</v>
      </c>
      <c r="G35" s="27">
        <v>2</v>
      </c>
      <c r="H35" s="27" t="s">
        <v>48</v>
      </c>
      <c r="I35" s="27">
        <v>2</v>
      </c>
      <c r="J35" s="27">
        <v>2</v>
      </c>
      <c r="K35" s="27">
        <v>2</v>
      </c>
      <c r="L35" s="27">
        <v>2</v>
      </c>
      <c r="M35" s="27" t="s">
        <v>48</v>
      </c>
      <c r="N35" s="27">
        <v>4</v>
      </c>
      <c r="O35" s="27">
        <v>5</v>
      </c>
      <c r="P35" s="27">
        <v>3</v>
      </c>
      <c r="Q35" s="27">
        <v>3</v>
      </c>
      <c r="R35" s="27" t="s">
        <v>48</v>
      </c>
      <c r="S35" s="26">
        <v>30</v>
      </c>
      <c r="T35" s="26">
        <v>40</v>
      </c>
    </row>
    <row r="36" spans="1:20">
      <c r="A36" s="27">
        <v>35</v>
      </c>
      <c r="B36" s="27">
        <v>2010992342</v>
      </c>
      <c r="C36" s="27" t="s">
        <v>90</v>
      </c>
      <c r="D36" s="26" t="s">
        <v>56</v>
      </c>
      <c r="E36" s="26" t="s">
        <v>49</v>
      </c>
      <c r="F36" s="27">
        <v>5</v>
      </c>
      <c r="G36" s="27">
        <v>2</v>
      </c>
      <c r="H36" s="27">
        <v>2</v>
      </c>
      <c r="I36" s="27" t="s">
        <v>48</v>
      </c>
      <c r="J36" s="27">
        <v>2</v>
      </c>
      <c r="K36" s="27">
        <v>2</v>
      </c>
      <c r="L36" s="27">
        <v>2</v>
      </c>
      <c r="M36" s="27" t="s">
        <v>48</v>
      </c>
      <c r="N36" s="27">
        <v>5</v>
      </c>
      <c r="O36" s="27">
        <v>2</v>
      </c>
      <c r="P36" s="27">
        <v>5</v>
      </c>
      <c r="Q36" s="27" t="s">
        <v>48</v>
      </c>
      <c r="R36" s="27">
        <v>7</v>
      </c>
      <c r="S36" s="26">
        <v>34</v>
      </c>
      <c r="T36" s="26">
        <v>40</v>
      </c>
    </row>
    <row r="37" spans="1:20">
      <c r="A37" s="27">
        <v>36</v>
      </c>
      <c r="B37" s="27">
        <v>2055991123</v>
      </c>
      <c r="C37" s="27" t="s">
        <v>91</v>
      </c>
      <c r="D37" s="26" t="s">
        <v>56</v>
      </c>
      <c r="E37" s="26" t="s">
        <v>49</v>
      </c>
      <c r="F37" s="27">
        <v>5</v>
      </c>
      <c r="G37" s="27" t="s">
        <v>48</v>
      </c>
      <c r="H37" s="27">
        <v>2</v>
      </c>
      <c r="I37" s="27">
        <v>2</v>
      </c>
      <c r="J37" s="27">
        <v>2</v>
      </c>
      <c r="K37" s="27">
        <v>2</v>
      </c>
      <c r="L37" s="27">
        <v>2</v>
      </c>
      <c r="M37" s="27">
        <v>5</v>
      </c>
      <c r="N37" s="27">
        <v>1</v>
      </c>
      <c r="O37" s="27" t="s">
        <v>48</v>
      </c>
      <c r="P37" s="27">
        <v>5</v>
      </c>
      <c r="Q37" s="27" t="s">
        <v>48</v>
      </c>
      <c r="R37" s="27">
        <v>7</v>
      </c>
      <c r="S37" s="26">
        <v>33</v>
      </c>
      <c r="T37" s="26">
        <v>40</v>
      </c>
    </row>
    <row r="38" spans="1:20">
      <c r="A38" s="27">
        <v>37</v>
      </c>
      <c r="B38" s="27">
        <v>2055991126</v>
      </c>
      <c r="C38" s="27" t="s">
        <v>92</v>
      </c>
      <c r="D38" s="26" t="s">
        <v>56</v>
      </c>
      <c r="E38" s="26" t="s">
        <v>49</v>
      </c>
      <c r="F38" s="27">
        <v>5</v>
      </c>
      <c r="G38" s="27">
        <v>2</v>
      </c>
      <c r="H38" s="27">
        <v>1</v>
      </c>
      <c r="I38" s="27">
        <v>2</v>
      </c>
      <c r="J38" s="27">
        <v>2</v>
      </c>
      <c r="K38" s="27" t="s">
        <v>48</v>
      </c>
      <c r="L38" s="27">
        <v>2</v>
      </c>
      <c r="M38" s="27">
        <v>1</v>
      </c>
      <c r="N38" s="27">
        <v>5</v>
      </c>
      <c r="O38" s="27" t="s">
        <v>48</v>
      </c>
      <c r="P38" s="27">
        <v>1</v>
      </c>
      <c r="Q38" s="27">
        <v>9</v>
      </c>
      <c r="R38" s="27" t="s">
        <v>48</v>
      </c>
      <c r="S38" s="26">
        <v>30</v>
      </c>
      <c r="T38" s="26">
        <v>40</v>
      </c>
    </row>
    <row r="39" spans="1:20">
      <c r="A39" s="27">
        <v>38</v>
      </c>
      <c r="B39" s="27">
        <v>2055991600</v>
      </c>
      <c r="C39" s="27" t="s">
        <v>93</v>
      </c>
      <c r="D39" s="26" t="s">
        <v>56</v>
      </c>
      <c r="E39" s="26" t="s">
        <v>49</v>
      </c>
      <c r="F39" s="27">
        <v>5</v>
      </c>
      <c r="G39" s="27">
        <v>1</v>
      </c>
      <c r="H39" s="27">
        <v>2</v>
      </c>
      <c r="I39" s="27" t="s">
        <v>48</v>
      </c>
      <c r="J39" s="27">
        <v>2</v>
      </c>
      <c r="K39" s="27">
        <v>2</v>
      </c>
      <c r="L39" s="27">
        <v>2</v>
      </c>
      <c r="M39" s="27">
        <v>1</v>
      </c>
      <c r="N39" s="27" t="s">
        <v>48</v>
      </c>
      <c r="O39" s="27">
        <v>4</v>
      </c>
      <c r="P39" s="27">
        <v>2</v>
      </c>
      <c r="Q39" s="27" t="s">
        <v>48</v>
      </c>
      <c r="R39" s="27">
        <v>10</v>
      </c>
      <c r="S39" s="26">
        <v>31</v>
      </c>
      <c r="T39" s="26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82C3D-4AA7-41B8-8580-53CA06A81345}">
  <dimension ref="A1:H24"/>
  <sheetViews>
    <sheetView workbookViewId="0">
      <selection activeCell="C22" sqref="C22"/>
    </sheetView>
  </sheetViews>
  <sheetFormatPr defaultRowHeight="15"/>
  <sheetData>
    <row r="1" spans="1:8">
      <c r="A1" s="11" t="s">
        <v>8</v>
      </c>
      <c r="B1" s="11" t="s">
        <v>9</v>
      </c>
      <c r="C1" s="11" t="s">
        <v>10</v>
      </c>
      <c r="D1" s="11" t="s">
        <v>11</v>
      </c>
      <c r="E1" s="11" t="s">
        <v>12</v>
      </c>
      <c r="F1" s="11" t="s">
        <v>13</v>
      </c>
      <c r="G1" s="11" t="s">
        <v>14</v>
      </c>
      <c r="H1" s="11" t="s">
        <v>15</v>
      </c>
    </row>
    <row r="2" spans="1:8">
      <c r="A2" s="11" t="s">
        <v>16</v>
      </c>
      <c r="B2" s="15">
        <v>0</v>
      </c>
      <c r="C2" s="11" t="b">
        <v>0</v>
      </c>
      <c r="D2" s="11" t="b">
        <v>0</v>
      </c>
      <c r="E2" s="11" t="b">
        <v>0</v>
      </c>
      <c r="F2" s="13" t="b">
        <v>0</v>
      </c>
      <c r="G2" s="13" t="b">
        <v>0</v>
      </c>
      <c r="H2" s="13" t="b">
        <v>0</v>
      </c>
    </row>
    <row r="3" spans="1:8">
      <c r="A3" s="11" t="s">
        <v>17</v>
      </c>
      <c r="B3" s="15">
        <v>0</v>
      </c>
      <c r="C3" s="11" t="b">
        <v>0</v>
      </c>
      <c r="D3" s="11" t="b">
        <v>0</v>
      </c>
      <c r="E3" s="11" t="b">
        <v>0</v>
      </c>
      <c r="F3" s="13" t="b">
        <v>0</v>
      </c>
      <c r="G3" s="13" t="b">
        <v>0</v>
      </c>
      <c r="H3" s="13" t="b">
        <v>0</v>
      </c>
    </row>
    <row r="4" spans="1:8">
      <c r="A4" s="11" t="s">
        <v>18</v>
      </c>
      <c r="B4" s="15">
        <v>0</v>
      </c>
      <c r="C4" s="11" t="b">
        <v>0</v>
      </c>
      <c r="D4" s="11" t="b">
        <v>0</v>
      </c>
      <c r="E4" s="11" t="b">
        <v>0</v>
      </c>
      <c r="F4" s="13" t="b">
        <v>0</v>
      </c>
      <c r="G4" s="13" t="b">
        <v>0</v>
      </c>
      <c r="H4" s="13" t="b">
        <v>0</v>
      </c>
    </row>
    <row r="5" spans="1:8">
      <c r="A5" s="11" t="s">
        <v>19</v>
      </c>
      <c r="B5" s="15">
        <v>0</v>
      </c>
      <c r="C5" s="11" t="b">
        <v>0</v>
      </c>
      <c r="D5" s="11" t="b">
        <v>0</v>
      </c>
      <c r="E5" s="11" t="b">
        <v>0</v>
      </c>
      <c r="F5" s="13" t="b">
        <v>0</v>
      </c>
      <c r="G5" s="13" t="b">
        <v>0</v>
      </c>
      <c r="H5" s="13" t="b">
        <v>0</v>
      </c>
    </row>
    <row r="6" spans="1:8">
      <c r="A6" s="11" t="s">
        <v>20</v>
      </c>
      <c r="B6" s="15">
        <v>0</v>
      </c>
      <c r="C6" s="11" t="b">
        <v>0</v>
      </c>
      <c r="D6" s="11" t="b">
        <v>0</v>
      </c>
      <c r="E6" s="11" t="b">
        <v>0</v>
      </c>
      <c r="F6" s="13" t="b">
        <v>0</v>
      </c>
      <c r="G6" s="13" t="b">
        <v>0</v>
      </c>
      <c r="H6" s="13" t="b">
        <v>0</v>
      </c>
    </row>
    <row r="7" spans="1:8">
      <c r="A7" s="11" t="s">
        <v>21</v>
      </c>
      <c r="B7" s="15">
        <v>0</v>
      </c>
      <c r="C7" s="11" t="b">
        <v>0</v>
      </c>
      <c r="D7" s="11" t="b">
        <v>0</v>
      </c>
      <c r="E7" s="11" t="b">
        <v>0</v>
      </c>
      <c r="F7" s="13" t="b">
        <v>0</v>
      </c>
      <c r="G7" s="13" t="b">
        <v>0</v>
      </c>
      <c r="H7" s="13" t="b">
        <v>0</v>
      </c>
    </row>
    <row r="8" spans="1:8">
      <c r="A8" s="11" t="s">
        <v>22</v>
      </c>
      <c r="B8" s="15">
        <v>0</v>
      </c>
      <c r="C8" s="11" t="b">
        <v>0</v>
      </c>
      <c r="D8" s="11" t="b">
        <v>0</v>
      </c>
      <c r="E8" s="11" t="b">
        <v>0</v>
      </c>
      <c r="F8" s="13" t="b">
        <v>0</v>
      </c>
      <c r="G8" s="13" t="b">
        <v>0</v>
      </c>
      <c r="H8" s="13" t="b">
        <v>0</v>
      </c>
    </row>
    <row r="9" spans="1:8">
      <c r="A9" s="11" t="s">
        <v>23</v>
      </c>
      <c r="B9" s="15">
        <v>0</v>
      </c>
      <c r="C9" s="11" t="b">
        <v>0</v>
      </c>
      <c r="D9" s="11" t="b">
        <v>0</v>
      </c>
      <c r="E9" s="11" t="b">
        <v>0</v>
      </c>
      <c r="F9" s="13" t="b">
        <v>0</v>
      </c>
      <c r="G9" s="13" t="b">
        <v>0</v>
      </c>
      <c r="H9" s="13" t="b">
        <v>0</v>
      </c>
    </row>
    <row r="10" spans="1:8">
      <c r="A10" s="11" t="s">
        <v>24</v>
      </c>
      <c r="B10" s="15">
        <v>0</v>
      </c>
      <c r="C10" s="11" t="b">
        <v>0</v>
      </c>
      <c r="D10" s="11" t="b">
        <v>0</v>
      </c>
      <c r="E10" s="11" t="b">
        <v>0</v>
      </c>
      <c r="F10" s="13" t="b">
        <v>0</v>
      </c>
      <c r="G10" s="13" t="b">
        <v>0</v>
      </c>
      <c r="H10" s="13" t="b">
        <v>0</v>
      </c>
    </row>
    <row r="11" spans="1:8">
      <c r="A11" s="11" t="s">
        <v>25</v>
      </c>
      <c r="B11" s="15">
        <v>0</v>
      </c>
      <c r="C11" s="11" t="b">
        <v>0</v>
      </c>
      <c r="D11" s="11" t="b">
        <v>0</v>
      </c>
      <c r="E11" s="11" t="b">
        <v>0</v>
      </c>
      <c r="F11" s="13" t="b">
        <v>0</v>
      </c>
      <c r="G11" s="13" t="b">
        <v>0</v>
      </c>
      <c r="H11" s="13" t="b">
        <v>0</v>
      </c>
    </row>
    <row r="12" spans="1:8">
      <c r="A12" s="11" t="s">
        <v>26</v>
      </c>
      <c r="B12" s="15">
        <v>0</v>
      </c>
      <c r="C12" s="11" t="b">
        <v>0</v>
      </c>
      <c r="D12" s="11" t="b">
        <v>0</v>
      </c>
      <c r="E12" s="11" t="b">
        <v>0</v>
      </c>
      <c r="F12" s="13" t="b">
        <v>0</v>
      </c>
      <c r="G12" s="13" t="b">
        <v>0</v>
      </c>
      <c r="H12" s="13" t="b">
        <v>0</v>
      </c>
    </row>
    <row r="13" spans="1:8">
      <c r="A13" s="11" t="s">
        <v>27</v>
      </c>
      <c r="B13" s="15">
        <v>0</v>
      </c>
      <c r="C13" s="11" t="b">
        <v>0</v>
      </c>
      <c r="D13" s="11" t="b">
        <v>0</v>
      </c>
      <c r="E13" s="11" t="b">
        <v>0</v>
      </c>
      <c r="F13" s="13" t="b">
        <v>0</v>
      </c>
      <c r="G13" s="13" t="b">
        <v>0</v>
      </c>
      <c r="H13" s="13" t="b">
        <v>0</v>
      </c>
    </row>
    <row r="14" spans="1:8">
      <c r="A14" s="11" t="s">
        <v>28</v>
      </c>
      <c r="B14" s="15">
        <v>0</v>
      </c>
      <c r="C14" s="11" t="b">
        <v>0</v>
      </c>
      <c r="D14" s="11" t="b">
        <v>0</v>
      </c>
      <c r="E14" s="11" t="b">
        <v>0</v>
      </c>
      <c r="F14" s="13" t="b">
        <v>0</v>
      </c>
      <c r="G14" s="13" t="b">
        <v>0</v>
      </c>
      <c r="H14" s="13" t="b">
        <v>0</v>
      </c>
    </row>
    <row r="15" spans="1:8">
      <c r="A15" s="11" t="s">
        <v>29</v>
      </c>
      <c r="B15" s="15">
        <v>0</v>
      </c>
      <c r="C15" s="11" t="b">
        <v>0</v>
      </c>
      <c r="D15" s="11" t="b">
        <v>0</v>
      </c>
      <c r="E15" s="11" t="b">
        <v>0</v>
      </c>
      <c r="F15" s="13" t="b">
        <v>0</v>
      </c>
      <c r="G15" s="13" t="b">
        <v>0</v>
      </c>
      <c r="H15" s="13" t="b">
        <v>0</v>
      </c>
    </row>
    <row r="16" spans="1:8">
      <c r="A16" s="11" t="s">
        <v>30</v>
      </c>
      <c r="B16" s="15">
        <v>0</v>
      </c>
      <c r="C16" s="11" t="b">
        <v>0</v>
      </c>
      <c r="D16" s="11" t="b">
        <v>0</v>
      </c>
      <c r="E16" s="11" t="b">
        <v>0</v>
      </c>
      <c r="F16" s="13" t="b">
        <v>0</v>
      </c>
      <c r="G16" s="13" t="b">
        <v>0</v>
      </c>
      <c r="H16" s="13" t="b">
        <v>0</v>
      </c>
    </row>
    <row r="17" spans="1:8">
      <c r="A17" s="11" t="s">
        <v>31</v>
      </c>
      <c r="B17" s="15">
        <v>0</v>
      </c>
      <c r="C17" s="11" t="b">
        <v>0</v>
      </c>
      <c r="D17" s="11" t="b">
        <v>0</v>
      </c>
      <c r="E17" s="11" t="b">
        <v>0</v>
      </c>
      <c r="F17" s="13" t="b">
        <v>0</v>
      </c>
      <c r="G17" s="13" t="b">
        <v>0</v>
      </c>
      <c r="H17" s="13" t="b">
        <v>0</v>
      </c>
    </row>
    <row r="18" spans="1:8">
      <c r="A18" s="11" t="s">
        <v>32</v>
      </c>
      <c r="B18" s="15">
        <v>0</v>
      </c>
      <c r="C18" s="11" t="b">
        <v>0</v>
      </c>
      <c r="D18" s="11" t="b">
        <v>0</v>
      </c>
      <c r="E18" s="11" t="b">
        <v>0</v>
      </c>
      <c r="F18" s="13" t="b">
        <v>0</v>
      </c>
      <c r="G18" s="13" t="b">
        <v>0</v>
      </c>
      <c r="H18" s="13" t="b">
        <v>0</v>
      </c>
    </row>
    <row r="19" spans="1:8">
      <c r="A19" s="11" t="s">
        <v>33</v>
      </c>
      <c r="B19" s="15">
        <v>0</v>
      </c>
      <c r="C19" s="11" t="b">
        <v>0</v>
      </c>
      <c r="D19" s="11" t="b">
        <v>0</v>
      </c>
      <c r="E19" s="11" t="b">
        <v>0</v>
      </c>
      <c r="F19" s="13" t="b">
        <v>0</v>
      </c>
      <c r="G19" s="13" t="b">
        <v>0</v>
      </c>
      <c r="H19" s="13" t="b">
        <v>0</v>
      </c>
    </row>
    <row r="20" spans="1:8">
      <c r="A20" s="11" t="s">
        <v>34</v>
      </c>
      <c r="B20" s="12">
        <v>0</v>
      </c>
      <c r="C20" s="11" t="b">
        <v>0</v>
      </c>
      <c r="D20" s="11" t="b">
        <v>0</v>
      </c>
      <c r="E20" s="11" t="b">
        <v>0</v>
      </c>
      <c r="F20" s="13" t="b">
        <v>0</v>
      </c>
      <c r="G20" s="13" t="b">
        <v>0</v>
      </c>
      <c r="H20" s="13" t="b">
        <v>0</v>
      </c>
    </row>
    <row r="21" spans="1:8">
      <c r="A21" s="11" t="s">
        <v>35</v>
      </c>
      <c r="B21" s="12">
        <v>0</v>
      </c>
      <c r="C21" s="11" t="b">
        <v>0</v>
      </c>
      <c r="D21" s="11" t="b">
        <v>0</v>
      </c>
      <c r="E21" s="11" t="b">
        <v>0</v>
      </c>
      <c r="F21" s="13" t="b">
        <v>0</v>
      </c>
      <c r="G21" s="13" t="b">
        <v>0</v>
      </c>
      <c r="H21" s="13" t="b">
        <v>0</v>
      </c>
    </row>
    <row r="22" spans="1:8">
      <c r="A22" s="11" t="s">
        <v>36</v>
      </c>
      <c r="B22" s="12">
        <v>10</v>
      </c>
      <c r="C22" s="11" t="b">
        <v>0</v>
      </c>
      <c r="D22" s="11" t="b">
        <v>0</v>
      </c>
      <c r="E22" s="11" t="b">
        <v>0</v>
      </c>
      <c r="F22" s="13" t="b">
        <v>0</v>
      </c>
      <c r="G22" s="13" t="b">
        <v>0</v>
      </c>
      <c r="H22" s="13" t="b">
        <v>0</v>
      </c>
    </row>
    <row r="23" spans="1:8">
      <c r="A23" s="11" t="s">
        <v>37</v>
      </c>
      <c r="B23" s="12">
        <v>0</v>
      </c>
      <c r="C23" s="11" t="b">
        <v>0</v>
      </c>
      <c r="D23" s="11" t="b">
        <v>0</v>
      </c>
      <c r="E23" s="11" t="b">
        <v>0</v>
      </c>
      <c r="F23" s="13" t="b">
        <v>0</v>
      </c>
      <c r="G23" s="13" t="b">
        <v>0</v>
      </c>
      <c r="H23" s="13" t="b">
        <v>0</v>
      </c>
    </row>
    <row r="24" spans="1:8">
      <c r="A24" s="11" t="s">
        <v>38</v>
      </c>
      <c r="B24" s="12">
        <v>0</v>
      </c>
      <c r="C24" s="11" t="b">
        <v>0</v>
      </c>
      <c r="D24" s="11" t="b">
        <v>0</v>
      </c>
      <c r="E24" s="11" t="b">
        <v>0</v>
      </c>
      <c r="F24" s="13" t="b">
        <v>0</v>
      </c>
      <c r="G24" s="13" t="b">
        <v>0</v>
      </c>
      <c r="H24" s="13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9217C-4FCB-4CF5-B660-9DA2437CA0F5}">
  <dimension ref="A1:AD4"/>
  <sheetViews>
    <sheetView workbookViewId="0">
      <selection activeCell="B2" sqref="B2"/>
    </sheetView>
  </sheetViews>
  <sheetFormatPr defaultRowHeight="15"/>
  <cols>
    <col min="1" max="1" width="5.5703125" bestFit="1" customWidth="1"/>
    <col min="2" max="2" width="23.28515625" bestFit="1" customWidth="1"/>
    <col min="3" max="3" width="27.140625" bestFit="1" customWidth="1"/>
    <col min="4" max="4" width="12" bestFit="1" customWidth="1"/>
    <col min="5" max="5" width="22.28515625" bestFit="1" customWidth="1"/>
    <col min="6" max="7" width="3.140625" bestFit="1" customWidth="1"/>
    <col min="8" max="8" width="3" bestFit="1" customWidth="1"/>
    <col min="9" max="9" width="3.140625" bestFit="1" customWidth="1"/>
    <col min="10" max="10" width="3" bestFit="1" customWidth="1"/>
    <col min="11" max="18" width="3.42578125" bestFit="1" customWidth="1"/>
    <col min="19" max="25" width="4.42578125" bestFit="1" customWidth="1"/>
    <col min="26" max="26" width="11.28515625" bestFit="1" customWidth="1"/>
    <col min="27" max="28" width="4.140625" bestFit="1" customWidth="1"/>
    <col min="29" max="29" width="11.28515625" bestFit="1" customWidth="1"/>
    <col min="30" max="30" width="10.5703125" bestFit="1" customWidth="1"/>
  </cols>
  <sheetData>
    <row r="1" spans="1:30">
      <c r="A1" s="11" t="s">
        <v>39</v>
      </c>
      <c r="B1" s="11" t="s">
        <v>40</v>
      </c>
      <c r="C1" s="11" t="s">
        <v>41</v>
      </c>
      <c r="D1" s="11" t="s">
        <v>42</v>
      </c>
      <c r="E1" s="11" t="s">
        <v>43</v>
      </c>
      <c r="F1" s="11" t="s">
        <v>16</v>
      </c>
      <c r="G1" s="11" t="s">
        <v>17</v>
      </c>
      <c r="H1" s="11" t="s">
        <v>18</v>
      </c>
      <c r="I1" s="11" t="s">
        <v>19</v>
      </c>
      <c r="J1" s="11" t="s">
        <v>20</v>
      </c>
      <c r="K1" s="11" t="s">
        <v>21</v>
      </c>
      <c r="L1" s="11" t="s">
        <v>22</v>
      </c>
      <c r="M1" s="11" t="s">
        <v>23</v>
      </c>
      <c r="N1" s="11" t="s">
        <v>24</v>
      </c>
      <c r="O1" s="11" t="s">
        <v>25</v>
      </c>
      <c r="P1" s="11" t="s">
        <v>26</v>
      </c>
      <c r="Q1" s="11" t="s">
        <v>27</v>
      </c>
      <c r="R1" s="11" t="s">
        <v>28</v>
      </c>
      <c r="S1" s="11" t="s">
        <v>29</v>
      </c>
      <c r="T1" s="11" t="s">
        <v>30</v>
      </c>
      <c r="U1" s="11" t="s">
        <v>31</v>
      </c>
      <c r="V1" s="11" t="s">
        <v>32</v>
      </c>
      <c r="W1" s="11" t="s">
        <v>33</v>
      </c>
      <c r="X1" s="11" t="s">
        <v>34</v>
      </c>
      <c r="Y1" s="11" t="s">
        <v>35</v>
      </c>
      <c r="Z1" s="11" t="s">
        <v>36</v>
      </c>
      <c r="AA1" s="11" t="s">
        <v>37</v>
      </c>
      <c r="AB1" s="11" t="s">
        <v>38</v>
      </c>
      <c r="AC1" s="11" t="s">
        <v>44</v>
      </c>
      <c r="AD1" s="11" t="s">
        <v>45</v>
      </c>
    </row>
    <row r="2" spans="1:30">
      <c r="A2" s="14">
        <v>1</v>
      </c>
      <c r="B2" s="27">
        <v>2010992313</v>
      </c>
      <c r="C2" s="27" t="s">
        <v>67</v>
      </c>
      <c r="D2" s="14" t="s">
        <v>46</v>
      </c>
      <c r="E2" s="14" t="s">
        <v>50</v>
      </c>
      <c r="F2" s="14" t="s">
        <v>48</v>
      </c>
      <c r="G2" s="14" t="s">
        <v>48</v>
      </c>
      <c r="H2" s="14" t="s">
        <v>48</v>
      </c>
      <c r="I2" s="14" t="s">
        <v>48</v>
      </c>
      <c r="J2" s="14" t="s">
        <v>48</v>
      </c>
      <c r="K2" s="14" t="s">
        <v>48</v>
      </c>
      <c r="L2" s="14" t="s">
        <v>48</v>
      </c>
      <c r="M2" s="14" t="s">
        <v>48</v>
      </c>
      <c r="N2" s="14" t="s">
        <v>48</v>
      </c>
      <c r="O2" s="14" t="s">
        <v>48</v>
      </c>
      <c r="P2" s="14" t="s">
        <v>48</v>
      </c>
      <c r="Q2" s="14" t="s">
        <v>48</v>
      </c>
      <c r="R2" s="14" t="s">
        <v>48</v>
      </c>
      <c r="S2" s="14" t="s">
        <v>48</v>
      </c>
      <c r="T2" s="14" t="s">
        <v>48</v>
      </c>
      <c r="U2" s="14" t="s">
        <v>48</v>
      </c>
      <c r="V2" s="14" t="s">
        <v>48</v>
      </c>
      <c r="W2" s="14" t="s">
        <v>48</v>
      </c>
      <c r="X2" s="14" t="s">
        <v>48</v>
      </c>
      <c r="Y2" s="14" t="s">
        <v>48</v>
      </c>
      <c r="Z2" s="14">
        <v>6</v>
      </c>
      <c r="AA2" s="14" t="s">
        <v>48</v>
      </c>
      <c r="AB2" s="14" t="s">
        <v>48</v>
      </c>
      <c r="AC2" s="14">
        <f t="shared" ref="AC2:AC4" si="0">SUM(F2:Z2)</f>
        <v>6</v>
      </c>
      <c r="AD2" s="14">
        <v>50</v>
      </c>
    </row>
    <row r="3" spans="1:30">
      <c r="A3" s="14">
        <v>2</v>
      </c>
      <c r="B3" s="27">
        <v>2010992314</v>
      </c>
      <c r="C3" s="27" t="s">
        <v>68</v>
      </c>
      <c r="D3" s="14" t="s">
        <v>46</v>
      </c>
      <c r="E3" s="14" t="s">
        <v>50</v>
      </c>
      <c r="F3" s="14" t="s">
        <v>48</v>
      </c>
      <c r="G3" s="14" t="s">
        <v>48</v>
      </c>
      <c r="H3" s="14" t="s">
        <v>48</v>
      </c>
      <c r="I3" s="14" t="s">
        <v>48</v>
      </c>
      <c r="J3" s="14" t="s">
        <v>48</v>
      </c>
      <c r="K3" s="14" t="s">
        <v>48</v>
      </c>
      <c r="L3" s="14" t="s">
        <v>48</v>
      </c>
      <c r="M3" s="14" t="s">
        <v>48</v>
      </c>
      <c r="N3" s="14" t="s">
        <v>48</v>
      </c>
      <c r="O3" s="14" t="s">
        <v>48</v>
      </c>
      <c r="P3" s="14" t="s">
        <v>48</v>
      </c>
      <c r="Q3" s="14" t="s">
        <v>48</v>
      </c>
      <c r="R3" s="14" t="s">
        <v>48</v>
      </c>
      <c r="S3" s="14" t="s">
        <v>48</v>
      </c>
      <c r="T3" s="14" t="s">
        <v>48</v>
      </c>
      <c r="U3" s="14" t="s">
        <v>48</v>
      </c>
      <c r="V3" s="14" t="s">
        <v>48</v>
      </c>
      <c r="W3" s="14" t="s">
        <v>48</v>
      </c>
      <c r="X3" s="14" t="s">
        <v>48</v>
      </c>
      <c r="Y3" s="14" t="s">
        <v>48</v>
      </c>
      <c r="Z3" s="14">
        <v>10</v>
      </c>
      <c r="AA3" s="14" t="s">
        <v>48</v>
      </c>
      <c r="AB3" s="14" t="s">
        <v>48</v>
      </c>
      <c r="AC3" s="14">
        <f t="shared" si="0"/>
        <v>10</v>
      </c>
      <c r="AD3" s="14">
        <v>50</v>
      </c>
    </row>
    <row r="4" spans="1:30">
      <c r="A4" s="14">
        <v>3</v>
      </c>
      <c r="B4" s="27">
        <v>2010992315</v>
      </c>
      <c r="C4" s="27" t="s">
        <v>69</v>
      </c>
      <c r="D4" s="14" t="s">
        <v>46</v>
      </c>
      <c r="E4" s="14" t="s">
        <v>50</v>
      </c>
      <c r="F4" s="14" t="s">
        <v>48</v>
      </c>
      <c r="G4" s="14" t="s">
        <v>48</v>
      </c>
      <c r="H4" s="14" t="s">
        <v>48</v>
      </c>
      <c r="I4" s="14" t="s">
        <v>48</v>
      </c>
      <c r="J4" s="14" t="s">
        <v>48</v>
      </c>
      <c r="K4" s="14" t="s">
        <v>48</v>
      </c>
      <c r="L4" s="14" t="s">
        <v>48</v>
      </c>
      <c r="M4" s="14" t="s">
        <v>48</v>
      </c>
      <c r="N4" s="14" t="s">
        <v>48</v>
      </c>
      <c r="O4" s="14" t="s">
        <v>48</v>
      </c>
      <c r="P4" s="14" t="s">
        <v>48</v>
      </c>
      <c r="Q4" s="14" t="s">
        <v>48</v>
      </c>
      <c r="R4" s="14" t="s">
        <v>48</v>
      </c>
      <c r="S4" s="14" t="s">
        <v>48</v>
      </c>
      <c r="T4" s="14" t="s">
        <v>48</v>
      </c>
      <c r="U4" s="14" t="s">
        <v>48</v>
      </c>
      <c r="V4" s="14" t="s">
        <v>48</v>
      </c>
      <c r="W4" s="14" t="s">
        <v>48</v>
      </c>
      <c r="X4" s="14" t="s">
        <v>48</v>
      </c>
      <c r="Y4" s="14" t="s">
        <v>48</v>
      </c>
      <c r="Z4" s="14" t="s">
        <v>48</v>
      </c>
      <c r="AA4" s="14" t="s">
        <v>48</v>
      </c>
      <c r="AB4" s="14" t="s">
        <v>48</v>
      </c>
      <c r="AC4" s="14">
        <f t="shared" si="0"/>
        <v>0</v>
      </c>
      <c r="AD4" s="14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FDAE8-2B48-4368-88DF-3D4CC7A6F547}">
  <dimension ref="A1:H21"/>
  <sheetViews>
    <sheetView tabSelected="1" workbookViewId="0">
      <selection activeCell="G2" sqref="G2"/>
    </sheetView>
  </sheetViews>
  <sheetFormatPr defaultRowHeight="15"/>
  <sheetData>
    <row r="1" spans="1:8" ht="15.75" thickBot="1">
      <c r="A1" s="11" t="s">
        <v>8</v>
      </c>
      <c r="B1" s="11" t="s">
        <v>9</v>
      </c>
      <c r="C1" s="11" t="s">
        <v>10</v>
      </c>
      <c r="D1" s="11" t="s">
        <v>11</v>
      </c>
      <c r="E1" s="11" t="s">
        <v>12</v>
      </c>
      <c r="F1" s="11" t="s">
        <v>13</v>
      </c>
      <c r="G1" s="11" t="s">
        <v>14</v>
      </c>
      <c r="H1" s="11" t="s">
        <v>15</v>
      </c>
    </row>
    <row r="2" spans="1:8" ht="15.75" thickBot="1">
      <c r="A2" s="16" t="s">
        <v>16</v>
      </c>
      <c r="B2" s="17">
        <v>1</v>
      </c>
      <c r="C2" s="18" t="b">
        <v>1</v>
      </c>
      <c r="D2" s="18" t="b">
        <v>1</v>
      </c>
      <c r="E2" s="18" t="b">
        <v>0</v>
      </c>
      <c r="F2" s="18" t="b">
        <v>0</v>
      </c>
      <c r="G2" s="18" t="b">
        <v>0</v>
      </c>
      <c r="H2" s="18" t="b">
        <v>0</v>
      </c>
    </row>
    <row r="3" spans="1:8" ht="15.75" thickBot="1">
      <c r="A3" s="19" t="s">
        <v>17</v>
      </c>
      <c r="B3" s="20">
        <v>1</v>
      </c>
      <c r="C3" s="18" t="b">
        <v>1</v>
      </c>
      <c r="D3" s="18" t="b">
        <v>1</v>
      </c>
      <c r="E3" s="18" t="b">
        <v>0</v>
      </c>
      <c r="F3" s="21" t="b">
        <v>0</v>
      </c>
      <c r="G3" s="21" t="b">
        <v>0</v>
      </c>
      <c r="H3" s="21" t="b">
        <v>0</v>
      </c>
    </row>
    <row r="4" spans="1:8" ht="15.75" thickBot="1">
      <c r="A4" s="19" t="s">
        <v>18</v>
      </c>
      <c r="B4" s="20">
        <v>1</v>
      </c>
      <c r="C4" s="18" t="b">
        <v>1</v>
      </c>
      <c r="D4" s="18" t="b">
        <v>1</v>
      </c>
      <c r="E4" s="18" t="b">
        <v>0</v>
      </c>
      <c r="F4" s="21" t="b">
        <v>0</v>
      </c>
      <c r="G4" s="21" t="b">
        <v>0</v>
      </c>
      <c r="H4" s="21" t="b">
        <v>0</v>
      </c>
    </row>
    <row r="5" spans="1:8" ht="15.75" thickBot="1">
      <c r="A5" s="19" t="s">
        <v>19</v>
      </c>
      <c r="B5" s="20">
        <v>1</v>
      </c>
      <c r="C5" s="18" t="b">
        <v>1</v>
      </c>
      <c r="D5" s="18" t="b">
        <v>1</v>
      </c>
      <c r="E5" s="18" t="b">
        <v>0</v>
      </c>
      <c r="F5" s="21" t="b">
        <v>0</v>
      </c>
      <c r="G5" s="21" t="b">
        <v>0</v>
      </c>
      <c r="H5" s="21" t="b">
        <v>0</v>
      </c>
    </row>
    <row r="6" spans="1:8" ht="15.75" thickBot="1">
      <c r="A6" s="19" t="s">
        <v>20</v>
      </c>
      <c r="B6" s="20">
        <v>1</v>
      </c>
      <c r="C6" s="18" t="b">
        <v>1</v>
      </c>
      <c r="D6" s="18" t="b">
        <v>1</v>
      </c>
      <c r="E6" s="18" t="b">
        <v>0</v>
      </c>
      <c r="F6" s="21" t="b">
        <v>0</v>
      </c>
      <c r="G6" s="21" t="b">
        <v>0</v>
      </c>
      <c r="H6" s="21" t="b">
        <v>0</v>
      </c>
    </row>
    <row r="7" spans="1:8" ht="15.75" thickBot="1">
      <c r="A7" s="19" t="s">
        <v>21</v>
      </c>
      <c r="B7" s="20">
        <v>2</v>
      </c>
      <c r="C7" s="21" t="b">
        <v>1</v>
      </c>
      <c r="D7" s="21" t="b">
        <v>0</v>
      </c>
      <c r="E7" s="21" t="b">
        <v>0</v>
      </c>
      <c r="F7" s="21" t="b">
        <v>0</v>
      </c>
      <c r="G7" s="21" t="b">
        <v>0</v>
      </c>
      <c r="H7" s="21" t="b">
        <v>0</v>
      </c>
    </row>
    <row r="8" spans="1:8" ht="15.75" thickBot="1">
      <c r="A8" s="19" t="s">
        <v>22</v>
      </c>
      <c r="B8" s="20">
        <v>2</v>
      </c>
      <c r="C8" s="21" t="b">
        <v>0</v>
      </c>
      <c r="D8" s="21" t="b">
        <v>0</v>
      </c>
      <c r="E8" s="21" t="b">
        <v>1</v>
      </c>
      <c r="F8" s="21" t="b">
        <v>0</v>
      </c>
      <c r="G8" s="21" t="b">
        <v>0</v>
      </c>
      <c r="H8" s="21" t="b">
        <v>0</v>
      </c>
    </row>
    <row r="9" spans="1:8" ht="15.75" thickBot="1">
      <c r="A9" s="19" t="s">
        <v>23</v>
      </c>
      <c r="B9" s="20">
        <v>2</v>
      </c>
      <c r="C9" s="21" t="b">
        <v>1</v>
      </c>
      <c r="D9" s="21" t="b">
        <v>0</v>
      </c>
      <c r="E9" s="21" t="b">
        <v>0</v>
      </c>
      <c r="F9" s="21" t="b">
        <v>0</v>
      </c>
      <c r="G9" s="21" t="b">
        <v>0</v>
      </c>
      <c r="H9" s="21" t="b">
        <v>0</v>
      </c>
    </row>
    <row r="10" spans="1:8" ht="15.75" thickBot="1">
      <c r="A10" s="19" t="s">
        <v>24</v>
      </c>
      <c r="B10" s="20">
        <v>2</v>
      </c>
      <c r="C10" s="21" t="b">
        <v>0</v>
      </c>
      <c r="D10" s="21" t="b">
        <v>1</v>
      </c>
      <c r="E10" s="21" t="b">
        <v>0</v>
      </c>
      <c r="F10" s="21" t="b">
        <v>0</v>
      </c>
      <c r="G10" s="21" t="b">
        <v>0</v>
      </c>
      <c r="H10" s="21" t="b">
        <v>0</v>
      </c>
    </row>
    <row r="11" spans="1:8" ht="15.75" thickBot="1">
      <c r="A11" s="19" t="s">
        <v>25</v>
      </c>
      <c r="B11" s="20">
        <v>2</v>
      </c>
      <c r="C11" s="21" t="b">
        <v>1</v>
      </c>
      <c r="D11" s="21" t="b">
        <v>0</v>
      </c>
      <c r="E11" s="21" t="b">
        <v>0</v>
      </c>
      <c r="F11" s="21" t="b">
        <v>0</v>
      </c>
      <c r="G11" s="21" t="b">
        <v>0</v>
      </c>
      <c r="H11" s="21" t="b">
        <v>0</v>
      </c>
    </row>
    <row r="12" spans="1:8" ht="15.75" thickBot="1">
      <c r="A12" s="19" t="s">
        <v>26</v>
      </c>
      <c r="B12" s="20">
        <v>2</v>
      </c>
      <c r="C12" s="21" t="b">
        <v>0</v>
      </c>
      <c r="D12" s="21" t="b">
        <v>1</v>
      </c>
      <c r="E12" s="21" t="b">
        <v>0</v>
      </c>
      <c r="F12" s="21" t="b">
        <v>0</v>
      </c>
      <c r="G12" s="21" t="b">
        <v>0</v>
      </c>
      <c r="H12" s="21" t="b">
        <v>0</v>
      </c>
    </row>
    <row r="13" spans="1:8" ht="15.75" thickBot="1">
      <c r="A13" s="19" t="s">
        <v>27</v>
      </c>
      <c r="B13" s="20">
        <v>5</v>
      </c>
      <c r="C13" s="21" t="b">
        <v>1</v>
      </c>
      <c r="D13" s="21" t="b">
        <v>0</v>
      </c>
      <c r="E13" s="21" t="b">
        <v>0</v>
      </c>
      <c r="F13" s="21" t="b">
        <v>0</v>
      </c>
      <c r="G13" s="21" t="b">
        <v>0</v>
      </c>
      <c r="H13" s="21" t="b">
        <v>0</v>
      </c>
    </row>
    <row r="14" spans="1:8" ht="15.75" thickBot="1">
      <c r="A14" s="19" t="s">
        <v>28</v>
      </c>
      <c r="B14" s="20">
        <v>5</v>
      </c>
      <c r="C14" s="21" t="b">
        <v>0</v>
      </c>
      <c r="D14" s="21" t="b">
        <v>1</v>
      </c>
      <c r="E14" s="21" t="b">
        <v>0</v>
      </c>
      <c r="F14" s="21" t="b">
        <v>0</v>
      </c>
      <c r="G14" s="21" t="b">
        <v>0</v>
      </c>
      <c r="H14" s="21" t="b">
        <v>0</v>
      </c>
    </row>
    <row r="15" spans="1:8" ht="15.75" thickBot="1">
      <c r="A15" s="19" t="s">
        <v>29</v>
      </c>
      <c r="B15" s="20">
        <v>5</v>
      </c>
      <c r="C15" s="21" t="b">
        <v>0</v>
      </c>
      <c r="D15" s="21" t="b">
        <v>1</v>
      </c>
      <c r="E15" s="21" t="b">
        <v>0</v>
      </c>
      <c r="F15" s="21" t="b">
        <v>0</v>
      </c>
      <c r="G15" s="21" t="b">
        <v>0</v>
      </c>
      <c r="H15" s="21" t="b">
        <v>0</v>
      </c>
    </row>
    <row r="16" spans="1:8" ht="15.75" thickBot="1">
      <c r="A16" s="19" t="s">
        <v>30</v>
      </c>
      <c r="B16" s="20">
        <v>5</v>
      </c>
      <c r="C16" s="21" t="b">
        <v>0</v>
      </c>
      <c r="D16" s="21" t="b">
        <v>0</v>
      </c>
      <c r="E16" s="21" t="b">
        <v>1</v>
      </c>
      <c r="F16" s="21" t="b">
        <v>0</v>
      </c>
      <c r="G16" s="21" t="b">
        <v>0</v>
      </c>
      <c r="H16" s="21" t="b">
        <v>0</v>
      </c>
    </row>
    <row r="17" spans="1:8" ht="15.75" thickBot="1">
      <c r="A17" s="19" t="s">
        <v>31</v>
      </c>
      <c r="B17" s="20">
        <v>5</v>
      </c>
      <c r="C17" s="21" t="b">
        <v>1</v>
      </c>
      <c r="D17" s="21" t="b">
        <v>0</v>
      </c>
      <c r="E17" s="21" t="b">
        <v>0</v>
      </c>
      <c r="F17" s="21" t="b">
        <v>0</v>
      </c>
      <c r="G17" s="21" t="b">
        <v>0</v>
      </c>
      <c r="H17" s="21" t="b">
        <v>0</v>
      </c>
    </row>
    <row r="18" spans="1:8" ht="15.75" thickBot="1">
      <c r="A18" s="19" t="s">
        <v>32</v>
      </c>
      <c r="B18" s="20">
        <v>5</v>
      </c>
      <c r="C18" s="21" t="b">
        <v>0</v>
      </c>
      <c r="D18" s="21" t="b">
        <v>0</v>
      </c>
      <c r="E18" s="21" t="b">
        <v>1</v>
      </c>
      <c r="F18" s="21" t="b">
        <v>0</v>
      </c>
      <c r="G18" s="21" t="b">
        <v>0</v>
      </c>
      <c r="H18" s="21" t="b">
        <v>0</v>
      </c>
    </row>
    <row r="19" spans="1:8" ht="15.75" thickBot="1">
      <c r="A19" s="19" t="s">
        <v>33</v>
      </c>
      <c r="B19" s="20">
        <v>10</v>
      </c>
      <c r="C19" s="21" t="b">
        <v>0</v>
      </c>
      <c r="D19" s="21" t="b">
        <v>0</v>
      </c>
      <c r="E19" s="21" t="b">
        <v>1</v>
      </c>
      <c r="F19" s="21" t="b">
        <v>0</v>
      </c>
      <c r="G19" s="21" t="b">
        <v>0</v>
      </c>
      <c r="H19" s="21" t="b">
        <v>0</v>
      </c>
    </row>
    <row r="20" spans="1:8" ht="15.75" thickBot="1">
      <c r="A20" s="19" t="s">
        <v>34</v>
      </c>
      <c r="B20" s="20">
        <v>10</v>
      </c>
      <c r="C20" s="21" t="b">
        <v>0</v>
      </c>
      <c r="D20" s="21" t="b">
        <v>1</v>
      </c>
      <c r="E20" s="21" t="b">
        <v>0</v>
      </c>
      <c r="F20" s="21" t="b">
        <v>0</v>
      </c>
      <c r="G20" s="21" t="b">
        <v>0</v>
      </c>
      <c r="H20" s="21" t="b">
        <v>0</v>
      </c>
    </row>
    <row r="21" spans="1:8" ht="15.75" thickBot="1">
      <c r="A21" s="19" t="s">
        <v>35</v>
      </c>
      <c r="B21" s="20">
        <v>10</v>
      </c>
      <c r="C21" s="21" t="b">
        <v>0</v>
      </c>
      <c r="D21" s="21" t="b">
        <v>1</v>
      </c>
      <c r="E21" s="21" t="b">
        <v>0</v>
      </c>
      <c r="F21" s="21" t="b">
        <v>0</v>
      </c>
      <c r="G21" s="21" t="b">
        <v>0</v>
      </c>
      <c r="H21" s="21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9745E-24E1-4C1F-9228-B7001F86A048}">
  <dimension ref="A1:W39"/>
  <sheetViews>
    <sheetView topLeftCell="C4" workbookViewId="0">
      <selection activeCell="M45" sqref="M45"/>
    </sheetView>
  </sheetViews>
  <sheetFormatPr defaultRowHeight="15"/>
  <cols>
    <col min="1" max="1" width="5.5703125" bestFit="1" customWidth="1"/>
    <col min="2" max="2" width="23.28515625" bestFit="1" customWidth="1"/>
    <col min="3" max="3" width="27.140625" bestFit="1" customWidth="1"/>
    <col min="4" max="4" width="22.28515625" bestFit="1" customWidth="1"/>
    <col min="5" max="10" width="3.42578125" bestFit="1" customWidth="1"/>
    <col min="11" max="17" width="4.42578125" bestFit="1" customWidth="1"/>
    <col min="18" max="18" width="11.28515625" bestFit="1" customWidth="1"/>
    <col min="19" max="20" width="4.140625" bestFit="1" customWidth="1"/>
    <col min="21" max="21" width="11.28515625" bestFit="1" customWidth="1"/>
    <col min="22" max="22" width="10.5703125" bestFit="1" customWidth="1"/>
  </cols>
  <sheetData>
    <row r="1" spans="1:23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tr" cm="1">
        <f t="array" ref="F1:U1">TRANSPOSE('[1]ETE Question Map'!A2:A17)</f>
        <v>Q1</v>
      </c>
      <c r="G1" t="str">
        <v>Q2</v>
      </c>
      <c r="H1" t="str">
        <v>Q3</v>
      </c>
      <c r="I1" t="str">
        <v>Q4</v>
      </c>
      <c r="J1" t="str">
        <v>Q5</v>
      </c>
      <c r="K1" t="str">
        <v>Q6</v>
      </c>
      <c r="L1" t="str">
        <v>Q7</v>
      </c>
      <c r="M1" t="str">
        <v>Q8</v>
      </c>
      <c r="N1" t="str">
        <v>Q9</v>
      </c>
      <c r="O1" t="str">
        <v>Q10</v>
      </c>
      <c r="P1" t="str">
        <v>Q11</v>
      </c>
      <c r="Q1" t="str">
        <v>Q12</v>
      </c>
      <c r="R1" t="str">
        <v>Q13</v>
      </c>
      <c r="S1" t="str">
        <v>Q14</v>
      </c>
      <c r="T1" t="str">
        <v>Q15</v>
      </c>
      <c r="U1" t="str">
        <v>Q16</v>
      </c>
      <c r="V1" t="s">
        <v>100</v>
      </c>
      <c r="W1" t="s">
        <v>54</v>
      </c>
    </row>
    <row r="2" spans="1:23">
      <c r="A2" s="27">
        <v>1</v>
      </c>
      <c r="B2" s="27">
        <v>2010990024</v>
      </c>
      <c r="C2" s="27" t="s">
        <v>55</v>
      </c>
      <c r="D2" s="26" t="s">
        <v>56</v>
      </c>
      <c r="E2" s="26" t="s">
        <v>51</v>
      </c>
      <c r="F2" s="27">
        <v>3</v>
      </c>
      <c r="G2" s="27">
        <v>2</v>
      </c>
      <c r="H2" s="27">
        <v>2</v>
      </c>
      <c r="I2" s="27">
        <v>2</v>
      </c>
      <c r="J2" s="27">
        <v>1</v>
      </c>
      <c r="K2" s="27">
        <v>0</v>
      </c>
      <c r="L2" s="27" t="s">
        <v>48</v>
      </c>
      <c r="M2" s="27">
        <v>0</v>
      </c>
      <c r="N2" s="27" t="s">
        <v>48</v>
      </c>
      <c r="O2" s="27">
        <v>1</v>
      </c>
      <c r="P2" s="27">
        <v>0</v>
      </c>
      <c r="Q2" s="27">
        <v>4</v>
      </c>
      <c r="R2" s="27">
        <v>1</v>
      </c>
      <c r="S2" s="27">
        <v>6</v>
      </c>
      <c r="T2" s="27" t="s">
        <v>48</v>
      </c>
      <c r="U2" s="27">
        <v>10</v>
      </c>
      <c r="V2" cm="1">
        <f t="array" ref="V2:V39">_xlfn.BYROW(F2:INDEX(U:U, COUNTA(B:B)), _xlfn.LAMBDA(_xlpm.row, SUM(_xlpm.row)))</f>
        <v>32</v>
      </c>
      <c r="W2">
        <v>60</v>
      </c>
    </row>
    <row r="3" spans="1:23">
      <c r="A3" s="27">
        <v>2</v>
      </c>
      <c r="B3" s="27">
        <v>2010992301</v>
      </c>
      <c r="C3" s="27" t="s">
        <v>57</v>
      </c>
      <c r="D3" s="26" t="s">
        <v>56</v>
      </c>
      <c r="E3" s="26" t="s">
        <v>51</v>
      </c>
      <c r="F3" s="27">
        <v>1</v>
      </c>
      <c r="G3" s="27">
        <v>2</v>
      </c>
      <c r="H3" s="27">
        <v>1</v>
      </c>
      <c r="I3" s="27" t="s">
        <v>48</v>
      </c>
      <c r="J3" s="27">
        <v>2</v>
      </c>
      <c r="K3" s="27">
        <v>0</v>
      </c>
      <c r="L3" s="27">
        <v>1</v>
      </c>
      <c r="M3" s="27">
        <v>3</v>
      </c>
      <c r="N3" s="27" t="s">
        <v>48</v>
      </c>
      <c r="O3" s="27">
        <v>5</v>
      </c>
      <c r="P3" s="27">
        <v>4</v>
      </c>
      <c r="Q3" s="27">
        <v>1</v>
      </c>
      <c r="R3" s="27">
        <v>5</v>
      </c>
      <c r="S3" s="27">
        <v>5</v>
      </c>
      <c r="T3" s="27" t="s">
        <v>48</v>
      </c>
      <c r="U3" s="27">
        <v>9</v>
      </c>
      <c r="V3">
        <v>39</v>
      </c>
      <c r="W3">
        <v>60</v>
      </c>
    </row>
    <row r="4" spans="1:23">
      <c r="A4" s="27">
        <v>3</v>
      </c>
      <c r="B4" s="27">
        <v>2010992302</v>
      </c>
      <c r="C4" s="27" t="s">
        <v>58</v>
      </c>
      <c r="D4" s="26" t="s">
        <v>56</v>
      </c>
      <c r="E4" s="26" t="s">
        <v>51</v>
      </c>
      <c r="F4" s="27">
        <v>5</v>
      </c>
      <c r="G4" s="27">
        <v>2</v>
      </c>
      <c r="H4" s="27" t="s">
        <v>48</v>
      </c>
      <c r="I4" s="27">
        <v>1</v>
      </c>
      <c r="J4" s="27">
        <v>2</v>
      </c>
      <c r="K4" s="27">
        <v>1</v>
      </c>
      <c r="L4" s="27">
        <v>2</v>
      </c>
      <c r="M4" s="27">
        <v>5</v>
      </c>
      <c r="N4" s="27">
        <v>3</v>
      </c>
      <c r="O4" s="27">
        <v>5</v>
      </c>
      <c r="P4" s="27">
        <v>3</v>
      </c>
      <c r="Q4" s="27">
        <v>5</v>
      </c>
      <c r="R4" s="27" t="s">
        <v>48</v>
      </c>
      <c r="S4" s="27">
        <v>8</v>
      </c>
      <c r="T4" s="27">
        <v>6</v>
      </c>
      <c r="U4" s="27" t="s">
        <v>48</v>
      </c>
      <c r="V4">
        <v>48</v>
      </c>
      <c r="W4">
        <v>60</v>
      </c>
    </row>
    <row r="5" spans="1:23">
      <c r="A5" s="27">
        <v>4</v>
      </c>
      <c r="B5" s="27">
        <v>2010992303</v>
      </c>
      <c r="C5" s="27" t="s">
        <v>59</v>
      </c>
      <c r="D5" s="26" t="s">
        <v>56</v>
      </c>
      <c r="E5" s="26" t="s">
        <v>51</v>
      </c>
      <c r="F5" s="27">
        <v>5</v>
      </c>
      <c r="G5" s="27">
        <v>2</v>
      </c>
      <c r="H5" s="27">
        <v>2</v>
      </c>
      <c r="I5" s="27">
        <v>2</v>
      </c>
      <c r="J5" s="27">
        <v>2</v>
      </c>
      <c r="K5" s="27">
        <v>2</v>
      </c>
      <c r="L5" s="27" t="s">
        <v>48</v>
      </c>
      <c r="M5" s="27" t="s">
        <v>48</v>
      </c>
      <c r="N5" s="27">
        <v>5</v>
      </c>
      <c r="O5" s="27">
        <v>5</v>
      </c>
      <c r="P5" s="27">
        <v>5</v>
      </c>
      <c r="Q5" s="27">
        <v>5</v>
      </c>
      <c r="R5" s="27">
        <v>5</v>
      </c>
      <c r="S5" s="27">
        <v>10</v>
      </c>
      <c r="T5" s="27" t="s">
        <v>48</v>
      </c>
      <c r="U5" s="27">
        <v>6</v>
      </c>
      <c r="V5">
        <v>56</v>
      </c>
      <c r="W5">
        <v>60</v>
      </c>
    </row>
    <row r="6" spans="1:23">
      <c r="A6" s="27">
        <v>5</v>
      </c>
      <c r="B6" s="27">
        <v>2010992304</v>
      </c>
      <c r="C6" s="27" t="s">
        <v>60</v>
      </c>
      <c r="D6" s="26" t="s">
        <v>56</v>
      </c>
      <c r="E6" s="26" t="s">
        <v>51</v>
      </c>
      <c r="F6" s="27">
        <v>3</v>
      </c>
      <c r="G6" s="27">
        <v>2</v>
      </c>
      <c r="H6" s="27">
        <v>2</v>
      </c>
      <c r="I6" s="27">
        <v>2</v>
      </c>
      <c r="J6" s="27">
        <v>2</v>
      </c>
      <c r="K6" s="27">
        <v>2</v>
      </c>
      <c r="L6" s="27" t="s">
        <v>48</v>
      </c>
      <c r="M6" s="27">
        <v>5</v>
      </c>
      <c r="N6" s="27">
        <v>3</v>
      </c>
      <c r="O6" s="27">
        <v>5</v>
      </c>
      <c r="P6" s="27">
        <v>5</v>
      </c>
      <c r="Q6" s="27" t="s">
        <v>48</v>
      </c>
      <c r="R6" s="27">
        <v>2</v>
      </c>
      <c r="S6" s="27" t="s">
        <v>48</v>
      </c>
      <c r="T6" s="27">
        <v>10</v>
      </c>
      <c r="U6" s="27">
        <v>9</v>
      </c>
      <c r="V6">
        <v>52</v>
      </c>
      <c r="W6">
        <v>60</v>
      </c>
    </row>
    <row r="7" spans="1:23">
      <c r="A7" s="27">
        <v>6</v>
      </c>
      <c r="B7" s="27">
        <v>2010992305</v>
      </c>
      <c r="C7" s="27" t="s">
        <v>61</v>
      </c>
      <c r="D7" s="26" t="s">
        <v>56</v>
      </c>
      <c r="E7" s="26" t="s">
        <v>51</v>
      </c>
      <c r="F7" s="27">
        <v>4</v>
      </c>
      <c r="G7" s="27">
        <v>2</v>
      </c>
      <c r="H7" s="27" t="s">
        <v>48</v>
      </c>
      <c r="I7" s="27">
        <v>2</v>
      </c>
      <c r="J7" s="27">
        <v>2</v>
      </c>
      <c r="K7" s="27">
        <v>2</v>
      </c>
      <c r="L7" s="27">
        <v>2</v>
      </c>
      <c r="M7" s="27">
        <v>5</v>
      </c>
      <c r="N7" s="27">
        <v>5</v>
      </c>
      <c r="O7" s="27">
        <v>5</v>
      </c>
      <c r="P7" s="27">
        <v>5</v>
      </c>
      <c r="Q7" s="27">
        <v>5</v>
      </c>
      <c r="R7" s="27" t="s">
        <v>48</v>
      </c>
      <c r="S7" s="27" t="s">
        <v>48</v>
      </c>
      <c r="T7" s="27">
        <v>9</v>
      </c>
      <c r="U7" s="27">
        <v>6</v>
      </c>
      <c r="V7">
        <v>54</v>
      </c>
      <c r="W7">
        <v>60</v>
      </c>
    </row>
    <row r="8" spans="1:23">
      <c r="A8" s="27">
        <v>7</v>
      </c>
      <c r="B8" s="27">
        <v>2010992306</v>
      </c>
      <c r="C8" s="27" t="s">
        <v>62</v>
      </c>
      <c r="D8" s="26" t="s">
        <v>56</v>
      </c>
      <c r="E8" s="26" t="s">
        <v>51</v>
      </c>
      <c r="F8" s="27">
        <v>5</v>
      </c>
      <c r="G8" s="27">
        <v>2</v>
      </c>
      <c r="H8" s="27" t="s">
        <v>48</v>
      </c>
      <c r="I8" s="27">
        <v>2</v>
      </c>
      <c r="J8" s="27">
        <v>2</v>
      </c>
      <c r="K8" s="27">
        <v>2</v>
      </c>
      <c r="L8" s="27">
        <v>2</v>
      </c>
      <c r="M8" s="27">
        <v>5</v>
      </c>
      <c r="N8" s="27">
        <v>5</v>
      </c>
      <c r="O8" s="27" t="s">
        <v>48</v>
      </c>
      <c r="P8" s="27">
        <v>4</v>
      </c>
      <c r="Q8" s="27">
        <v>3</v>
      </c>
      <c r="R8" s="27">
        <v>5</v>
      </c>
      <c r="S8" s="27" t="s">
        <v>48</v>
      </c>
      <c r="T8" s="27">
        <v>10</v>
      </c>
      <c r="U8" s="27">
        <v>10</v>
      </c>
      <c r="V8">
        <v>57</v>
      </c>
      <c r="W8">
        <v>60</v>
      </c>
    </row>
    <row r="9" spans="1:23">
      <c r="A9" s="27">
        <v>8</v>
      </c>
      <c r="B9" s="27">
        <v>2010992308</v>
      </c>
      <c r="C9" s="27" t="s">
        <v>63</v>
      </c>
      <c r="D9" s="26" t="s">
        <v>56</v>
      </c>
      <c r="E9" s="26" t="s">
        <v>51</v>
      </c>
      <c r="F9" s="27">
        <v>5</v>
      </c>
      <c r="G9" s="27">
        <v>2</v>
      </c>
      <c r="H9" s="27">
        <v>2</v>
      </c>
      <c r="I9" s="27" t="s">
        <v>48</v>
      </c>
      <c r="J9" s="27">
        <v>2</v>
      </c>
      <c r="K9" s="27">
        <v>2</v>
      </c>
      <c r="L9" s="27">
        <v>2</v>
      </c>
      <c r="M9" s="27">
        <v>2</v>
      </c>
      <c r="N9" s="27" t="s">
        <v>48</v>
      </c>
      <c r="O9" s="27">
        <v>5</v>
      </c>
      <c r="P9" s="27">
        <v>3</v>
      </c>
      <c r="Q9" s="27">
        <v>5</v>
      </c>
      <c r="R9" s="27">
        <v>1</v>
      </c>
      <c r="S9" s="27">
        <v>8</v>
      </c>
      <c r="T9" s="27">
        <v>10</v>
      </c>
      <c r="U9" s="27" t="s">
        <v>48</v>
      </c>
      <c r="V9">
        <v>49</v>
      </c>
      <c r="W9">
        <v>60</v>
      </c>
    </row>
    <row r="10" spans="1:23">
      <c r="A10" s="27">
        <v>9</v>
      </c>
      <c r="B10" s="27">
        <v>2010992310</v>
      </c>
      <c r="C10" s="27" t="s">
        <v>64</v>
      </c>
      <c r="D10" s="26" t="s">
        <v>56</v>
      </c>
      <c r="E10" s="26" t="s">
        <v>51</v>
      </c>
      <c r="F10" s="27">
        <v>5</v>
      </c>
      <c r="G10" s="27" t="s">
        <v>48</v>
      </c>
      <c r="H10" s="27">
        <v>2</v>
      </c>
      <c r="I10" s="27">
        <v>2</v>
      </c>
      <c r="J10" s="27">
        <v>2</v>
      </c>
      <c r="K10" s="27">
        <v>2</v>
      </c>
      <c r="L10" s="27">
        <v>1</v>
      </c>
      <c r="M10" s="27">
        <v>5</v>
      </c>
      <c r="N10" s="27">
        <v>1</v>
      </c>
      <c r="O10" s="27">
        <v>5</v>
      </c>
      <c r="P10" s="27">
        <v>5</v>
      </c>
      <c r="Q10" s="27">
        <v>2</v>
      </c>
      <c r="R10" s="27" t="s">
        <v>48</v>
      </c>
      <c r="S10" s="27" t="s">
        <v>48</v>
      </c>
      <c r="T10" s="27">
        <v>9</v>
      </c>
      <c r="U10" s="27">
        <v>10</v>
      </c>
      <c r="V10">
        <v>51</v>
      </c>
      <c r="W10">
        <v>60</v>
      </c>
    </row>
    <row r="11" spans="1:23">
      <c r="A11" s="27">
        <v>10</v>
      </c>
      <c r="B11" s="27">
        <v>2010992311</v>
      </c>
      <c r="C11" s="27" t="s">
        <v>65</v>
      </c>
      <c r="D11" s="26" t="s">
        <v>56</v>
      </c>
      <c r="E11" s="26" t="s">
        <v>51</v>
      </c>
      <c r="F11" s="27">
        <v>3</v>
      </c>
      <c r="G11" s="27">
        <v>2</v>
      </c>
      <c r="H11" s="27">
        <v>2</v>
      </c>
      <c r="I11" s="27" t="s">
        <v>48</v>
      </c>
      <c r="J11" s="27">
        <v>2</v>
      </c>
      <c r="K11" s="27">
        <v>2</v>
      </c>
      <c r="L11" s="27">
        <v>2</v>
      </c>
      <c r="M11" s="27">
        <v>5</v>
      </c>
      <c r="N11" s="27">
        <v>5</v>
      </c>
      <c r="O11" s="27" t="s">
        <v>48</v>
      </c>
      <c r="P11" s="27">
        <v>5</v>
      </c>
      <c r="Q11" s="27">
        <v>2</v>
      </c>
      <c r="R11" s="27">
        <v>5</v>
      </c>
      <c r="S11" s="27">
        <v>10</v>
      </c>
      <c r="T11" s="27" t="s">
        <v>48</v>
      </c>
      <c r="U11" s="27">
        <v>10</v>
      </c>
      <c r="V11">
        <v>55</v>
      </c>
      <c r="W11">
        <v>60</v>
      </c>
    </row>
    <row r="12" spans="1:23">
      <c r="A12" s="27">
        <v>11</v>
      </c>
      <c r="B12" s="27">
        <v>2010992312</v>
      </c>
      <c r="C12" s="27" t="s">
        <v>66</v>
      </c>
      <c r="D12" s="26" t="s">
        <v>56</v>
      </c>
      <c r="E12" s="26" t="s">
        <v>51</v>
      </c>
      <c r="F12" s="27">
        <v>5</v>
      </c>
      <c r="G12" s="27">
        <v>2</v>
      </c>
      <c r="H12" s="27">
        <v>2</v>
      </c>
      <c r="I12" s="27">
        <v>2</v>
      </c>
      <c r="J12" s="27">
        <v>2</v>
      </c>
      <c r="K12" s="27" t="s">
        <v>48</v>
      </c>
      <c r="L12" s="27">
        <v>2</v>
      </c>
      <c r="M12" s="27">
        <v>5</v>
      </c>
      <c r="N12" s="27">
        <v>4</v>
      </c>
      <c r="O12" s="27">
        <v>5</v>
      </c>
      <c r="P12" s="27">
        <v>3</v>
      </c>
      <c r="Q12" s="27" t="s">
        <v>48</v>
      </c>
      <c r="R12" s="27">
        <v>5</v>
      </c>
      <c r="S12" s="27">
        <v>10</v>
      </c>
      <c r="T12" s="27" t="s">
        <v>48</v>
      </c>
      <c r="U12" s="27">
        <v>10</v>
      </c>
      <c r="V12">
        <v>57</v>
      </c>
      <c r="W12">
        <v>60</v>
      </c>
    </row>
    <row r="13" spans="1:23">
      <c r="A13" s="27">
        <v>12</v>
      </c>
      <c r="B13" s="27">
        <v>2010992313</v>
      </c>
      <c r="C13" s="27" t="s">
        <v>67</v>
      </c>
      <c r="D13" s="26" t="s">
        <v>56</v>
      </c>
      <c r="E13" s="26" t="s">
        <v>51</v>
      </c>
      <c r="F13" s="27">
        <v>3</v>
      </c>
      <c r="G13" s="27">
        <v>2</v>
      </c>
      <c r="H13" s="27">
        <v>2</v>
      </c>
      <c r="I13" s="27" t="s">
        <v>48</v>
      </c>
      <c r="J13" s="27">
        <v>2</v>
      </c>
      <c r="K13" s="27">
        <v>2</v>
      </c>
      <c r="L13" s="27">
        <v>2</v>
      </c>
      <c r="M13" s="27" t="s">
        <v>48</v>
      </c>
      <c r="N13" s="27">
        <v>5</v>
      </c>
      <c r="O13" s="27">
        <v>5</v>
      </c>
      <c r="P13" s="27">
        <v>2</v>
      </c>
      <c r="Q13" s="27">
        <v>5</v>
      </c>
      <c r="R13" s="27">
        <v>3</v>
      </c>
      <c r="S13" s="27">
        <v>10</v>
      </c>
      <c r="T13" s="27" t="s">
        <v>48</v>
      </c>
      <c r="U13" s="27">
        <v>10</v>
      </c>
      <c r="V13">
        <v>53</v>
      </c>
      <c r="W13">
        <v>60</v>
      </c>
    </row>
    <row r="14" spans="1:23">
      <c r="A14" s="27">
        <v>13</v>
      </c>
      <c r="B14" s="27">
        <v>2010992314</v>
      </c>
      <c r="C14" s="27" t="s">
        <v>68</v>
      </c>
      <c r="D14" s="26" t="s">
        <v>56</v>
      </c>
      <c r="E14" s="26" t="s">
        <v>51</v>
      </c>
      <c r="F14" s="27">
        <v>5</v>
      </c>
      <c r="G14" s="27">
        <v>2</v>
      </c>
      <c r="H14" s="27">
        <v>2</v>
      </c>
      <c r="I14" s="27">
        <v>2</v>
      </c>
      <c r="J14" s="27">
        <v>2</v>
      </c>
      <c r="K14" s="27">
        <v>2</v>
      </c>
      <c r="L14" s="27" t="s">
        <v>48</v>
      </c>
      <c r="M14" s="27" t="s">
        <v>48</v>
      </c>
      <c r="N14" s="27">
        <v>5</v>
      </c>
      <c r="O14" s="27">
        <v>5</v>
      </c>
      <c r="P14" s="27">
        <v>5</v>
      </c>
      <c r="Q14" s="27">
        <v>5</v>
      </c>
      <c r="R14" s="27">
        <v>4</v>
      </c>
      <c r="S14" s="27">
        <v>10</v>
      </c>
      <c r="T14" s="27">
        <v>8</v>
      </c>
      <c r="U14" s="27" t="s">
        <v>48</v>
      </c>
      <c r="V14">
        <v>57</v>
      </c>
      <c r="W14">
        <v>60</v>
      </c>
    </row>
    <row r="15" spans="1:23">
      <c r="A15" s="27">
        <v>14</v>
      </c>
      <c r="B15" s="27">
        <v>2010992315</v>
      </c>
      <c r="C15" s="27" t="s">
        <v>69</v>
      </c>
      <c r="D15" s="26" t="s">
        <v>56</v>
      </c>
      <c r="E15" s="26" t="s">
        <v>51</v>
      </c>
      <c r="F15" s="27">
        <v>2</v>
      </c>
      <c r="G15" s="27">
        <v>2</v>
      </c>
      <c r="H15" s="27">
        <v>2</v>
      </c>
      <c r="I15" s="27">
        <v>2</v>
      </c>
      <c r="J15" s="27">
        <v>2</v>
      </c>
      <c r="K15" s="27" t="s">
        <v>48</v>
      </c>
      <c r="L15" s="27">
        <v>2</v>
      </c>
      <c r="M15" s="27" t="s">
        <v>48</v>
      </c>
      <c r="N15" s="27">
        <v>5</v>
      </c>
      <c r="O15" s="27">
        <v>5</v>
      </c>
      <c r="P15" s="27">
        <v>2</v>
      </c>
      <c r="Q15" s="27">
        <v>1</v>
      </c>
      <c r="R15" s="27">
        <v>5</v>
      </c>
      <c r="S15" s="27">
        <v>7</v>
      </c>
      <c r="T15" s="27" t="s">
        <v>48</v>
      </c>
      <c r="U15" s="27">
        <v>10</v>
      </c>
      <c r="V15">
        <v>47</v>
      </c>
      <c r="W15">
        <v>60</v>
      </c>
    </row>
    <row r="16" spans="1:23">
      <c r="A16" s="27">
        <v>15</v>
      </c>
      <c r="B16" s="27">
        <v>2010992316</v>
      </c>
      <c r="C16" s="27" t="s">
        <v>70</v>
      </c>
      <c r="D16" s="26" t="s">
        <v>56</v>
      </c>
      <c r="E16" s="26" t="s">
        <v>51</v>
      </c>
      <c r="F16" s="27">
        <v>5</v>
      </c>
      <c r="G16" s="27" t="s">
        <v>48</v>
      </c>
      <c r="H16" s="27">
        <v>2</v>
      </c>
      <c r="I16" s="27">
        <v>2</v>
      </c>
      <c r="J16" s="27">
        <v>2</v>
      </c>
      <c r="K16" s="27">
        <v>2</v>
      </c>
      <c r="L16" s="27">
        <v>2</v>
      </c>
      <c r="M16" s="27" t="s">
        <v>48</v>
      </c>
      <c r="N16" s="27">
        <v>5</v>
      </c>
      <c r="O16" s="27">
        <v>5</v>
      </c>
      <c r="P16" s="27">
        <v>5</v>
      </c>
      <c r="Q16" s="27">
        <v>3</v>
      </c>
      <c r="R16" s="27">
        <v>5</v>
      </c>
      <c r="S16" s="27">
        <v>10</v>
      </c>
      <c r="T16" s="27" t="s">
        <v>48</v>
      </c>
      <c r="U16" s="27">
        <v>10</v>
      </c>
      <c r="V16">
        <v>58</v>
      </c>
      <c r="W16">
        <v>60</v>
      </c>
    </row>
    <row r="17" spans="1:23">
      <c r="A17" s="27">
        <v>16</v>
      </c>
      <c r="B17" s="27">
        <v>2010992317</v>
      </c>
      <c r="C17" s="27" t="s">
        <v>71</v>
      </c>
      <c r="D17" s="26" t="s">
        <v>56</v>
      </c>
      <c r="E17" s="26" t="s">
        <v>51</v>
      </c>
      <c r="F17" s="27">
        <v>1</v>
      </c>
      <c r="G17" s="27">
        <v>2</v>
      </c>
      <c r="H17" s="27">
        <v>2</v>
      </c>
      <c r="I17" s="27" t="s">
        <v>48</v>
      </c>
      <c r="J17" s="27">
        <v>2</v>
      </c>
      <c r="K17" s="27">
        <v>2</v>
      </c>
      <c r="L17" s="27">
        <v>2</v>
      </c>
      <c r="M17" s="27">
        <v>3</v>
      </c>
      <c r="N17" s="27">
        <v>5</v>
      </c>
      <c r="O17" s="27">
        <v>4</v>
      </c>
      <c r="P17" s="27" t="s">
        <v>48</v>
      </c>
      <c r="Q17" s="27">
        <v>5</v>
      </c>
      <c r="R17" s="27">
        <v>4</v>
      </c>
      <c r="S17" s="27" t="s">
        <v>48</v>
      </c>
      <c r="T17" s="27">
        <v>6</v>
      </c>
      <c r="U17" s="27">
        <v>7</v>
      </c>
      <c r="V17">
        <v>45</v>
      </c>
      <c r="W17">
        <v>60</v>
      </c>
    </row>
    <row r="18" spans="1:23">
      <c r="A18" s="27">
        <v>17</v>
      </c>
      <c r="B18" s="27">
        <v>2010992318</v>
      </c>
      <c r="C18" s="27" t="s">
        <v>72</v>
      </c>
      <c r="D18" s="26" t="s">
        <v>56</v>
      </c>
      <c r="E18" s="26" t="s">
        <v>51</v>
      </c>
      <c r="F18" s="27">
        <v>5</v>
      </c>
      <c r="G18" s="27">
        <v>2</v>
      </c>
      <c r="H18" s="27">
        <v>2</v>
      </c>
      <c r="I18" s="27">
        <v>2</v>
      </c>
      <c r="J18" s="27" t="s">
        <v>48</v>
      </c>
      <c r="K18" s="27">
        <v>2</v>
      </c>
      <c r="L18" s="27">
        <v>2</v>
      </c>
      <c r="M18" s="27">
        <v>2</v>
      </c>
      <c r="N18" s="27">
        <v>3</v>
      </c>
      <c r="O18" s="27" t="s">
        <v>48</v>
      </c>
      <c r="P18" s="27">
        <v>5</v>
      </c>
      <c r="Q18" s="27">
        <v>5</v>
      </c>
      <c r="R18" s="27">
        <v>3</v>
      </c>
      <c r="S18" s="27">
        <v>10</v>
      </c>
      <c r="T18" s="27">
        <v>7</v>
      </c>
      <c r="U18" s="27" t="s">
        <v>48</v>
      </c>
      <c r="V18">
        <v>50</v>
      </c>
      <c r="W18">
        <v>60</v>
      </c>
    </row>
    <row r="19" spans="1:23">
      <c r="A19" s="27">
        <v>18</v>
      </c>
      <c r="B19" s="27">
        <v>2010992320</v>
      </c>
      <c r="C19" s="27" t="s">
        <v>73</v>
      </c>
      <c r="D19" s="26" t="s">
        <v>56</v>
      </c>
      <c r="E19" s="26" t="s">
        <v>51</v>
      </c>
      <c r="F19" s="27">
        <v>2</v>
      </c>
      <c r="G19" s="27">
        <v>2</v>
      </c>
      <c r="H19" s="27">
        <v>2</v>
      </c>
      <c r="I19" s="27">
        <v>2</v>
      </c>
      <c r="J19" s="27" t="s">
        <v>48</v>
      </c>
      <c r="K19" s="27">
        <v>2</v>
      </c>
      <c r="L19" s="27">
        <v>2</v>
      </c>
      <c r="M19" s="27">
        <v>5</v>
      </c>
      <c r="N19" s="27">
        <v>5</v>
      </c>
      <c r="O19" s="27">
        <v>5</v>
      </c>
      <c r="P19" s="27">
        <v>5</v>
      </c>
      <c r="Q19" s="27" t="s">
        <v>48</v>
      </c>
      <c r="R19" s="27">
        <v>5</v>
      </c>
      <c r="S19" s="27">
        <v>7</v>
      </c>
      <c r="T19" s="27">
        <v>4</v>
      </c>
      <c r="U19" s="27" t="s">
        <v>48</v>
      </c>
      <c r="V19">
        <v>48</v>
      </c>
      <c r="W19">
        <v>60</v>
      </c>
    </row>
    <row r="20" spans="1:23">
      <c r="A20" s="27">
        <v>19</v>
      </c>
      <c r="B20" s="27">
        <v>2010992321</v>
      </c>
      <c r="C20" s="27" t="s">
        <v>74</v>
      </c>
      <c r="D20" s="26" t="s">
        <v>56</v>
      </c>
      <c r="E20" s="26" t="s">
        <v>51</v>
      </c>
      <c r="F20" s="27">
        <v>5</v>
      </c>
      <c r="G20" s="27">
        <v>2</v>
      </c>
      <c r="H20" s="27">
        <v>2</v>
      </c>
      <c r="I20" s="27">
        <v>2</v>
      </c>
      <c r="J20" s="27">
        <v>2</v>
      </c>
      <c r="K20" s="27">
        <v>2</v>
      </c>
      <c r="L20" s="27" t="s">
        <v>48</v>
      </c>
      <c r="M20" s="27">
        <v>5</v>
      </c>
      <c r="N20" s="27">
        <v>4</v>
      </c>
      <c r="O20" s="27">
        <v>5</v>
      </c>
      <c r="P20" s="27" t="s">
        <v>48</v>
      </c>
      <c r="Q20" s="27">
        <v>5</v>
      </c>
      <c r="R20" s="27">
        <v>4</v>
      </c>
      <c r="S20" s="27">
        <v>3</v>
      </c>
      <c r="T20" s="27">
        <v>10</v>
      </c>
      <c r="U20" s="27" t="s">
        <v>48</v>
      </c>
      <c r="V20">
        <v>51</v>
      </c>
      <c r="W20">
        <v>60</v>
      </c>
    </row>
    <row r="21" spans="1:23">
      <c r="A21" s="27">
        <v>20</v>
      </c>
      <c r="B21" s="27">
        <v>2010992324</v>
      </c>
      <c r="C21" s="27" t="s">
        <v>75</v>
      </c>
      <c r="D21" s="26" t="s">
        <v>56</v>
      </c>
      <c r="E21" s="26" t="s">
        <v>51</v>
      </c>
      <c r="F21" s="27">
        <v>5</v>
      </c>
      <c r="G21" s="27" t="s">
        <v>48</v>
      </c>
      <c r="H21" s="27">
        <v>2</v>
      </c>
      <c r="I21" s="27">
        <v>2</v>
      </c>
      <c r="J21" s="27">
        <v>2</v>
      </c>
      <c r="K21" s="27">
        <v>2</v>
      </c>
      <c r="L21" s="27">
        <v>2</v>
      </c>
      <c r="M21" s="27">
        <v>5</v>
      </c>
      <c r="N21" s="27">
        <v>4</v>
      </c>
      <c r="O21" s="27">
        <v>5</v>
      </c>
      <c r="P21" s="27">
        <v>5</v>
      </c>
      <c r="Q21" s="27">
        <v>5</v>
      </c>
      <c r="R21" s="27" t="s">
        <v>48</v>
      </c>
      <c r="S21" s="27">
        <v>4</v>
      </c>
      <c r="T21" s="27">
        <v>10</v>
      </c>
      <c r="U21" s="27" t="s">
        <v>48</v>
      </c>
      <c r="V21">
        <v>53</v>
      </c>
      <c r="W21">
        <v>60</v>
      </c>
    </row>
    <row r="22" spans="1:23">
      <c r="A22" s="27">
        <v>21</v>
      </c>
      <c r="B22" s="27">
        <v>2010992325</v>
      </c>
      <c r="C22" s="27" t="s">
        <v>76</v>
      </c>
      <c r="D22" s="26" t="s">
        <v>56</v>
      </c>
      <c r="E22" s="26" t="s">
        <v>51</v>
      </c>
      <c r="F22" s="27">
        <v>5</v>
      </c>
      <c r="G22" s="27">
        <v>2</v>
      </c>
      <c r="H22" s="27">
        <v>2</v>
      </c>
      <c r="I22" s="27">
        <v>2</v>
      </c>
      <c r="J22" s="27">
        <v>1</v>
      </c>
      <c r="K22" s="27" t="s">
        <v>48</v>
      </c>
      <c r="L22" s="27">
        <v>2</v>
      </c>
      <c r="M22" s="27" t="s">
        <v>48</v>
      </c>
      <c r="N22" s="27">
        <v>1</v>
      </c>
      <c r="O22" s="27">
        <v>3</v>
      </c>
      <c r="P22" s="27">
        <v>2</v>
      </c>
      <c r="Q22" s="27">
        <v>5</v>
      </c>
      <c r="R22" s="27">
        <v>1</v>
      </c>
      <c r="S22" s="27" t="s">
        <v>48</v>
      </c>
      <c r="T22" s="27">
        <v>9</v>
      </c>
      <c r="U22" s="27">
        <v>10</v>
      </c>
      <c r="V22">
        <v>45</v>
      </c>
      <c r="W22">
        <v>60</v>
      </c>
    </row>
    <row r="23" spans="1:23">
      <c r="A23" s="27">
        <v>22</v>
      </c>
      <c r="B23" s="27">
        <v>2010992326</v>
      </c>
      <c r="C23" s="27" t="s">
        <v>77</v>
      </c>
      <c r="D23" s="26" t="s">
        <v>56</v>
      </c>
      <c r="E23" s="26" t="s">
        <v>51</v>
      </c>
      <c r="F23" s="27">
        <v>5</v>
      </c>
      <c r="G23" s="27">
        <v>2</v>
      </c>
      <c r="H23" s="27" t="s">
        <v>48</v>
      </c>
      <c r="I23" s="27">
        <v>2</v>
      </c>
      <c r="J23" s="27">
        <v>2</v>
      </c>
      <c r="K23" s="27">
        <v>2</v>
      </c>
      <c r="L23" s="27">
        <v>2</v>
      </c>
      <c r="M23" s="27" t="s">
        <v>48</v>
      </c>
      <c r="N23" s="27">
        <v>5</v>
      </c>
      <c r="O23" s="27">
        <v>5</v>
      </c>
      <c r="P23" s="27">
        <v>5</v>
      </c>
      <c r="Q23" s="27">
        <v>5</v>
      </c>
      <c r="R23" s="27">
        <v>5</v>
      </c>
      <c r="S23" s="27">
        <v>5</v>
      </c>
      <c r="T23" s="27">
        <v>10</v>
      </c>
      <c r="U23" s="27" t="s">
        <v>48</v>
      </c>
      <c r="V23">
        <v>55</v>
      </c>
      <c r="W23">
        <v>60</v>
      </c>
    </row>
    <row r="24" spans="1:23">
      <c r="A24" s="27">
        <v>23</v>
      </c>
      <c r="B24" s="27">
        <v>2010992327</v>
      </c>
      <c r="C24" s="27" t="s">
        <v>78</v>
      </c>
      <c r="D24" s="26" t="s">
        <v>56</v>
      </c>
      <c r="E24" s="26" t="s">
        <v>51</v>
      </c>
      <c r="F24" s="27">
        <v>5</v>
      </c>
      <c r="G24" s="27">
        <v>2</v>
      </c>
      <c r="H24" s="27" t="s">
        <v>48</v>
      </c>
      <c r="I24" s="27">
        <v>2</v>
      </c>
      <c r="J24" s="27">
        <v>2</v>
      </c>
      <c r="K24" s="27">
        <v>2</v>
      </c>
      <c r="L24" s="27">
        <v>2</v>
      </c>
      <c r="M24" s="27">
        <v>3</v>
      </c>
      <c r="N24" s="27">
        <v>5</v>
      </c>
      <c r="O24" s="27" t="s">
        <v>48</v>
      </c>
      <c r="P24" s="27">
        <v>5</v>
      </c>
      <c r="Q24" s="27">
        <v>2</v>
      </c>
      <c r="R24" s="27">
        <v>3</v>
      </c>
      <c r="S24" s="27" t="s">
        <v>48</v>
      </c>
      <c r="T24" s="27">
        <v>7</v>
      </c>
      <c r="U24" s="27">
        <v>4</v>
      </c>
      <c r="V24">
        <v>44</v>
      </c>
      <c r="W24">
        <v>60</v>
      </c>
    </row>
    <row r="25" spans="1:23">
      <c r="A25" s="27">
        <v>24</v>
      </c>
      <c r="B25" s="27">
        <v>2010992328</v>
      </c>
      <c r="C25" s="27" t="s">
        <v>79</v>
      </c>
      <c r="D25" s="26" t="s">
        <v>56</v>
      </c>
      <c r="E25" s="26" t="s">
        <v>51</v>
      </c>
      <c r="F25" s="27">
        <v>0</v>
      </c>
      <c r="G25" s="27">
        <v>0</v>
      </c>
      <c r="H25" s="27">
        <v>0</v>
      </c>
      <c r="I25" s="27">
        <v>0</v>
      </c>
      <c r="J25" s="27" t="s">
        <v>48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 t="s">
        <v>48</v>
      </c>
      <c r="R25" s="27">
        <v>0</v>
      </c>
      <c r="S25" s="27" t="s">
        <v>48</v>
      </c>
      <c r="T25" s="27">
        <v>0</v>
      </c>
      <c r="U25" s="27">
        <v>0</v>
      </c>
      <c r="V25">
        <v>0</v>
      </c>
      <c r="W25">
        <v>60</v>
      </c>
    </row>
    <row r="26" spans="1:23">
      <c r="A26" s="27">
        <v>25</v>
      </c>
      <c r="B26" s="27">
        <v>2010992329</v>
      </c>
      <c r="C26" s="27" t="s">
        <v>80</v>
      </c>
      <c r="D26" s="26" t="s">
        <v>56</v>
      </c>
      <c r="E26" s="26" t="s">
        <v>51</v>
      </c>
      <c r="F26" s="27">
        <v>5</v>
      </c>
      <c r="G26" s="27">
        <v>2</v>
      </c>
      <c r="H26" s="27">
        <v>2</v>
      </c>
      <c r="I26" s="27" t="s">
        <v>48</v>
      </c>
      <c r="J26" s="27">
        <v>2</v>
      </c>
      <c r="K26" s="27">
        <v>2</v>
      </c>
      <c r="L26" s="27">
        <v>2</v>
      </c>
      <c r="M26" s="27">
        <v>5</v>
      </c>
      <c r="N26" s="27">
        <v>5</v>
      </c>
      <c r="O26" s="27">
        <v>5</v>
      </c>
      <c r="P26" s="27" t="s">
        <v>48</v>
      </c>
      <c r="Q26" s="27">
        <v>5</v>
      </c>
      <c r="R26" s="27">
        <v>5</v>
      </c>
      <c r="S26" s="27">
        <v>6</v>
      </c>
      <c r="T26" s="27">
        <v>10</v>
      </c>
      <c r="U26" s="27" t="s">
        <v>48</v>
      </c>
      <c r="V26">
        <v>56</v>
      </c>
      <c r="W26">
        <v>60</v>
      </c>
    </row>
    <row r="27" spans="1:23">
      <c r="A27" s="27">
        <v>26</v>
      </c>
      <c r="B27" s="27">
        <v>2010992331</v>
      </c>
      <c r="C27" s="27" t="s">
        <v>81</v>
      </c>
      <c r="D27" s="26" t="s">
        <v>56</v>
      </c>
      <c r="E27" s="26" t="s">
        <v>51</v>
      </c>
      <c r="F27" s="27">
        <v>5</v>
      </c>
      <c r="G27" s="27" t="s">
        <v>48</v>
      </c>
      <c r="H27" s="27">
        <v>2</v>
      </c>
      <c r="I27" s="27">
        <v>2</v>
      </c>
      <c r="J27" s="27">
        <v>2</v>
      </c>
      <c r="K27" s="27">
        <v>2</v>
      </c>
      <c r="L27" s="27">
        <v>2</v>
      </c>
      <c r="M27" s="27" t="s">
        <v>48</v>
      </c>
      <c r="N27" s="27">
        <v>5</v>
      </c>
      <c r="O27" s="27">
        <v>4</v>
      </c>
      <c r="P27" s="27">
        <v>5</v>
      </c>
      <c r="Q27" s="27">
        <v>5</v>
      </c>
      <c r="R27" s="27">
        <v>5</v>
      </c>
      <c r="S27" s="27">
        <v>10</v>
      </c>
      <c r="T27" s="27" t="s">
        <v>48</v>
      </c>
      <c r="U27" s="27">
        <v>4</v>
      </c>
      <c r="V27">
        <v>53</v>
      </c>
      <c r="W27">
        <v>60</v>
      </c>
    </row>
    <row r="28" spans="1:23">
      <c r="A28" s="27">
        <v>27</v>
      </c>
      <c r="B28" s="27">
        <v>2010992332</v>
      </c>
      <c r="C28" s="27" t="s">
        <v>82</v>
      </c>
      <c r="D28" s="26" t="s">
        <v>56</v>
      </c>
      <c r="E28" s="26" t="s">
        <v>51</v>
      </c>
      <c r="F28" s="27">
        <v>4</v>
      </c>
      <c r="G28" s="27">
        <v>2</v>
      </c>
      <c r="H28" s="27">
        <v>2</v>
      </c>
      <c r="I28" s="27">
        <v>2</v>
      </c>
      <c r="J28" s="27" t="s">
        <v>48</v>
      </c>
      <c r="K28" s="27">
        <v>2</v>
      </c>
      <c r="L28" s="27">
        <v>2</v>
      </c>
      <c r="M28" s="27">
        <v>5</v>
      </c>
      <c r="N28" s="27">
        <v>5</v>
      </c>
      <c r="O28" s="27">
        <v>5</v>
      </c>
      <c r="P28" s="27" t="s">
        <v>48</v>
      </c>
      <c r="Q28" s="27">
        <v>2</v>
      </c>
      <c r="R28" s="27">
        <v>4</v>
      </c>
      <c r="S28" s="27">
        <v>10</v>
      </c>
      <c r="T28" s="27">
        <v>10</v>
      </c>
      <c r="U28" s="27" t="s">
        <v>48</v>
      </c>
      <c r="V28">
        <v>55</v>
      </c>
      <c r="W28">
        <v>60</v>
      </c>
    </row>
    <row r="29" spans="1:23">
      <c r="A29" s="27">
        <v>28</v>
      </c>
      <c r="B29" s="27">
        <v>2010992333</v>
      </c>
      <c r="C29" s="27" t="s">
        <v>83</v>
      </c>
      <c r="D29" s="26" t="s">
        <v>56</v>
      </c>
      <c r="E29" s="26" t="s">
        <v>51</v>
      </c>
      <c r="F29" s="27">
        <v>5</v>
      </c>
      <c r="G29" s="27" t="s">
        <v>48</v>
      </c>
      <c r="H29" s="27">
        <v>2</v>
      </c>
      <c r="I29" s="27">
        <v>2</v>
      </c>
      <c r="J29" s="27">
        <v>2</v>
      </c>
      <c r="K29" s="27">
        <v>2</v>
      </c>
      <c r="L29" s="27">
        <v>2</v>
      </c>
      <c r="M29" s="27">
        <v>5</v>
      </c>
      <c r="N29" s="27">
        <v>5</v>
      </c>
      <c r="O29" s="27">
        <v>5</v>
      </c>
      <c r="P29" s="27">
        <v>2</v>
      </c>
      <c r="Q29" s="27" t="s">
        <v>48</v>
      </c>
      <c r="R29" s="27">
        <v>3</v>
      </c>
      <c r="S29" s="27">
        <v>8</v>
      </c>
      <c r="T29" s="27">
        <v>5</v>
      </c>
      <c r="U29" s="27" t="s">
        <v>48</v>
      </c>
      <c r="V29">
        <v>48</v>
      </c>
      <c r="W29">
        <v>60</v>
      </c>
    </row>
    <row r="30" spans="1:23">
      <c r="A30" s="27">
        <v>29</v>
      </c>
      <c r="B30" s="27">
        <v>2010992334</v>
      </c>
      <c r="C30" s="27" t="s">
        <v>84</v>
      </c>
      <c r="D30" s="26" t="s">
        <v>56</v>
      </c>
      <c r="E30" s="26" t="s">
        <v>51</v>
      </c>
      <c r="F30" s="27">
        <v>5</v>
      </c>
      <c r="G30" s="27">
        <v>2</v>
      </c>
      <c r="H30" s="27">
        <v>2</v>
      </c>
      <c r="I30" s="27">
        <v>2</v>
      </c>
      <c r="J30" s="27" t="s">
        <v>48</v>
      </c>
      <c r="K30" s="27">
        <v>2</v>
      </c>
      <c r="L30" s="27">
        <v>2</v>
      </c>
      <c r="M30" s="27">
        <v>2</v>
      </c>
      <c r="N30" s="27">
        <v>4</v>
      </c>
      <c r="O30" s="27">
        <v>5</v>
      </c>
      <c r="P30" s="27" t="s">
        <v>48</v>
      </c>
      <c r="Q30" s="27">
        <v>1</v>
      </c>
      <c r="R30" s="27">
        <v>4</v>
      </c>
      <c r="S30" s="27">
        <v>2</v>
      </c>
      <c r="T30" s="27" t="s">
        <v>48</v>
      </c>
      <c r="U30" s="27">
        <v>7</v>
      </c>
      <c r="V30">
        <v>40</v>
      </c>
      <c r="W30">
        <v>60</v>
      </c>
    </row>
    <row r="31" spans="1:23">
      <c r="A31" s="27">
        <v>30</v>
      </c>
      <c r="B31" s="27">
        <v>2010992335</v>
      </c>
      <c r="C31" s="27" t="s">
        <v>85</v>
      </c>
      <c r="D31" s="26" t="s">
        <v>56</v>
      </c>
      <c r="E31" s="26" t="s">
        <v>51</v>
      </c>
      <c r="F31" s="27">
        <v>5</v>
      </c>
      <c r="G31" s="27">
        <v>2</v>
      </c>
      <c r="H31" s="27">
        <v>2</v>
      </c>
      <c r="I31" s="27" t="s">
        <v>48</v>
      </c>
      <c r="J31" s="27">
        <v>2</v>
      </c>
      <c r="K31" s="27">
        <v>2</v>
      </c>
      <c r="L31" s="27">
        <v>2</v>
      </c>
      <c r="M31" s="27">
        <v>5</v>
      </c>
      <c r="N31" s="27">
        <v>5</v>
      </c>
      <c r="O31" s="27" t="s">
        <v>48</v>
      </c>
      <c r="P31" s="27">
        <v>4</v>
      </c>
      <c r="Q31" s="27">
        <v>5</v>
      </c>
      <c r="R31" s="27">
        <v>5</v>
      </c>
      <c r="S31" s="27" t="s">
        <v>48</v>
      </c>
      <c r="T31" s="27">
        <v>10</v>
      </c>
      <c r="U31" s="27">
        <v>10</v>
      </c>
      <c r="V31">
        <v>59</v>
      </c>
      <c r="W31">
        <v>60</v>
      </c>
    </row>
    <row r="32" spans="1:23">
      <c r="A32" s="27">
        <v>31</v>
      </c>
      <c r="B32" s="27">
        <v>2010992336</v>
      </c>
      <c r="C32" s="27" t="s">
        <v>86</v>
      </c>
      <c r="D32" s="26" t="s">
        <v>56</v>
      </c>
      <c r="E32" s="26" t="s">
        <v>51</v>
      </c>
      <c r="F32" s="27">
        <v>5</v>
      </c>
      <c r="G32" s="27">
        <v>2</v>
      </c>
      <c r="H32" s="27">
        <v>2</v>
      </c>
      <c r="I32" s="27">
        <v>2</v>
      </c>
      <c r="J32" s="27">
        <v>2</v>
      </c>
      <c r="K32" s="27">
        <v>2</v>
      </c>
      <c r="L32" s="27" t="s">
        <v>48</v>
      </c>
      <c r="M32" s="27">
        <v>3</v>
      </c>
      <c r="N32" s="27">
        <v>5</v>
      </c>
      <c r="O32" s="27">
        <v>2</v>
      </c>
      <c r="P32" s="27">
        <v>5</v>
      </c>
      <c r="Q32" s="27">
        <v>5</v>
      </c>
      <c r="R32" s="27" t="s">
        <v>48</v>
      </c>
      <c r="S32" s="27">
        <v>3</v>
      </c>
      <c r="T32" s="27" t="s">
        <v>48</v>
      </c>
      <c r="U32" s="27">
        <v>10</v>
      </c>
      <c r="V32">
        <v>48</v>
      </c>
      <c r="W32">
        <v>60</v>
      </c>
    </row>
    <row r="33" spans="1:23">
      <c r="A33" s="27">
        <v>32</v>
      </c>
      <c r="B33" s="27">
        <v>2010992337</v>
      </c>
      <c r="C33" s="27" t="s">
        <v>87</v>
      </c>
      <c r="D33" s="26" t="s">
        <v>56</v>
      </c>
      <c r="E33" s="26" t="s">
        <v>51</v>
      </c>
      <c r="F33" s="27">
        <v>5</v>
      </c>
      <c r="G33" s="27">
        <v>2</v>
      </c>
      <c r="H33" s="27">
        <v>2</v>
      </c>
      <c r="I33" s="27">
        <v>2</v>
      </c>
      <c r="J33" s="27">
        <v>2</v>
      </c>
      <c r="K33" s="27">
        <v>2</v>
      </c>
      <c r="L33" s="27" t="s">
        <v>48</v>
      </c>
      <c r="M33" s="27">
        <v>4</v>
      </c>
      <c r="N33" s="27">
        <v>4</v>
      </c>
      <c r="O33" s="27">
        <v>5</v>
      </c>
      <c r="P33" s="27">
        <v>5</v>
      </c>
      <c r="Q33" s="27">
        <v>4</v>
      </c>
      <c r="R33" s="27" t="s">
        <v>48</v>
      </c>
      <c r="S33" s="27" t="s">
        <v>48</v>
      </c>
      <c r="T33" s="27">
        <v>10</v>
      </c>
      <c r="U33" s="27">
        <v>10</v>
      </c>
      <c r="V33">
        <v>57</v>
      </c>
      <c r="W33">
        <v>60</v>
      </c>
    </row>
    <row r="34" spans="1:23">
      <c r="A34" s="27">
        <v>33</v>
      </c>
      <c r="B34" s="27">
        <v>2010992338</v>
      </c>
      <c r="C34" s="27" t="s">
        <v>88</v>
      </c>
      <c r="D34" s="26" t="s">
        <v>56</v>
      </c>
      <c r="E34" s="26" t="s">
        <v>51</v>
      </c>
      <c r="F34" s="27">
        <v>5</v>
      </c>
      <c r="G34" s="27">
        <v>2</v>
      </c>
      <c r="H34" s="27" t="s">
        <v>48</v>
      </c>
      <c r="I34" s="27">
        <v>2</v>
      </c>
      <c r="J34" s="27">
        <v>2</v>
      </c>
      <c r="K34" s="27">
        <v>2</v>
      </c>
      <c r="L34" s="27">
        <v>2</v>
      </c>
      <c r="M34" s="27">
        <v>5</v>
      </c>
      <c r="N34" s="27" t="s">
        <v>48</v>
      </c>
      <c r="O34" s="27">
        <v>2</v>
      </c>
      <c r="P34" s="27">
        <v>4</v>
      </c>
      <c r="Q34" s="27">
        <v>5</v>
      </c>
      <c r="R34" s="27">
        <v>5</v>
      </c>
      <c r="S34" s="27" t="s">
        <v>48</v>
      </c>
      <c r="T34" s="27">
        <v>10</v>
      </c>
      <c r="U34" s="27">
        <v>7</v>
      </c>
      <c r="V34">
        <v>53</v>
      </c>
      <c r="W34">
        <v>60</v>
      </c>
    </row>
    <row r="35" spans="1:23">
      <c r="A35" s="27">
        <v>34</v>
      </c>
      <c r="B35" s="27">
        <v>2010992341</v>
      </c>
      <c r="C35" s="27" t="s">
        <v>89</v>
      </c>
      <c r="D35" s="26" t="s">
        <v>56</v>
      </c>
      <c r="E35" s="26" t="s">
        <v>51</v>
      </c>
      <c r="F35" s="27">
        <v>5</v>
      </c>
      <c r="G35" s="27">
        <v>2</v>
      </c>
      <c r="H35" s="27" t="s">
        <v>48</v>
      </c>
      <c r="I35" s="27">
        <v>2</v>
      </c>
      <c r="J35" s="27">
        <v>2</v>
      </c>
      <c r="K35" s="27">
        <v>2</v>
      </c>
      <c r="L35" s="27">
        <v>2</v>
      </c>
      <c r="M35" s="27">
        <v>5</v>
      </c>
      <c r="N35" s="27">
        <v>5</v>
      </c>
      <c r="O35" s="27">
        <v>4</v>
      </c>
      <c r="P35" s="27" t="s">
        <v>48</v>
      </c>
      <c r="Q35" s="27">
        <v>5</v>
      </c>
      <c r="R35" s="27">
        <v>5</v>
      </c>
      <c r="S35" s="27" t="s">
        <v>48</v>
      </c>
      <c r="T35" s="27">
        <v>10</v>
      </c>
      <c r="U35" s="27">
        <v>3</v>
      </c>
      <c r="V35">
        <v>52</v>
      </c>
      <c r="W35">
        <v>60</v>
      </c>
    </row>
    <row r="36" spans="1:23">
      <c r="A36" s="27">
        <v>35</v>
      </c>
      <c r="B36" s="27">
        <v>2010992342</v>
      </c>
      <c r="C36" s="27" t="s">
        <v>90</v>
      </c>
      <c r="D36" s="26" t="s">
        <v>56</v>
      </c>
      <c r="E36" s="26" t="s">
        <v>51</v>
      </c>
      <c r="F36" s="27">
        <v>4</v>
      </c>
      <c r="G36" s="27" t="s">
        <v>48</v>
      </c>
      <c r="H36" s="27">
        <v>2</v>
      </c>
      <c r="I36" s="27">
        <v>2</v>
      </c>
      <c r="J36" s="27">
        <v>2</v>
      </c>
      <c r="K36" s="27">
        <v>2</v>
      </c>
      <c r="L36" s="27">
        <v>2</v>
      </c>
      <c r="M36" s="27">
        <v>5</v>
      </c>
      <c r="N36" s="27">
        <v>5</v>
      </c>
      <c r="O36" s="27">
        <v>5</v>
      </c>
      <c r="P36" s="27">
        <v>3</v>
      </c>
      <c r="Q36" s="27">
        <v>5</v>
      </c>
      <c r="R36" s="27" t="s">
        <v>48</v>
      </c>
      <c r="S36" s="27" t="s">
        <v>48</v>
      </c>
      <c r="T36" s="27">
        <v>10</v>
      </c>
      <c r="U36" s="27">
        <v>10</v>
      </c>
      <c r="V36">
        <v>57</v>
      </c>
      <c r="W36">
        <v>60</v>
      </c>
    </row>
    <row r="37" spans="1:23">
      <c r="A37" s="27">
        <v>36</v>
      </c>
      <c r="B37" s="27">
        <v>2055991123</v>
      </c>
      <c r="C37" s="27" t="s">
        <v>91</v>
      </c>
      <c r="D37" s="26" t="s">
        <v>56</v>
      </c>
      <c r="E37" s="26" t="s">
        <v>51</v>
      </c>
      <c r="F37" s="27">
        <v>5</v>
      </c>
      <c r="G37" s="27" t="s">
        <v>48</v>
      </c>
      <c r="H37" s="27">
        <v>2</v>
      </c>
      <c r="I37" s="27">
        <v>2</v>
      </c>
      <c r="J37" s="27">
        <v>1</v>
      </c>
      <c r="K37" s="27">
        <v>1</v>
      </c>
      <c r="L37" s="27">
        <v>1</v>
      </c>
      <c r="M37" s="27" t="s">
        <v>48</v>
      </c>
      <c r="N37" s="27">
        <v>2</v>
      </c>
      <c r="O37" s="27">
        <v>4</v>
      </c>
      <c r="P37" s="27">
        <v>4</v>
      </c>
      <c r="Q37" s="27">
        <v>5</v>
      </c>
      <c r="R37" s="27">
        <v>1</v>
      </c>
      <c r="S37" s="27" t="s">
        <v>48</v>
      </c>
      <c r="T37" s="27">
        <v>8</v>
      </c>
      <c r="U37" s="27">
        <v>10</v>
      </c>
      <c r="V37">
        <v>46</v>
      </c>
      <c r="W37">
        <v>60</v>
      </c>
    </row>
    <row r="38" spans="1:23">
      <c r="A38" s="27">
        <v>37</v>
      </c>
      <c r="B38" s="27">
        <v>2055991126</v>
      </c>
      <c r="C38" s="27" t="s">
        <v>92</v>
      </c>
      <c r="D38" s="26" t="s">
        <v>56</v>
      </c>
      <c r="E38" s="26" t="s">
        <v>51</v>
      </c>
      <c r="F38" s="27">
        <v>1</v>
      </c>
      <c r="G38" s="27" t="s">
        <v>48</v>
      </c>
      <c r="H38" s="27">
        <v>2</v>
      </c>
      <c r="I38" s="27">
        <v>2</v>
      </c>
      <c r="J38" s="27">
        <v>2</v>
      </c>
      <c r="K38" s="27">
        <v>2</v>
      </c>
      <c r="L38" s="27">
        <v>2</v>
      </c>
      <c r="M38" s="27">
        <v>5</v>
      </c>
      <c r="N38" s="27">
        <v>5</v>
      </c>
      <c r="O38" s="27">
        <v>5</v>
      </c>
      <c r="P38" s="27" t="s">
        <v>48</v>
      </c>
      <c r="Q38" s="27">
        <v>2</v>
      </c>
      <c r="R38" s="27">
        <v>5</v>
      </c>
      <c r="S38" s="27" t="s">
        <v>48</v>
      </c>
      <c r="T38" s="27">
        <v>2</v>
      </c>
      <c r="U38" s="27">
        <v>9</v>
      </c>
      <c r="V38">
        <v>44</v>
      </c>
      <c r="W38">
        <v>60</v>
      </c>
    </row>
    <row r="39" spans="1:23">
      <c r="A39" s="27">
        <v>38</v>
      </c>
      <c r="B39" s="27">
        <v>2055991600</v>
      </c>
      <c r="C39" s="27" t="s">
        <v>93</v>
      </c>
      <c r="D39" s="26" t="s">
        <v>56</v>
      </c>
      <c r="E39" s="26" t="s">
        <v>51</v>
      </c>
      <c r="F39" s="27">
        <v>5</v>
      </c>
      <c r="G39" s="27">
        <v>2</v>
      </c>
      <c r="H39" s="27" t="s">
        <v>48</v>
      </c>
      <c r="I39" s="27">
        <v>2</v>
      </c>
      <c r="J39" s="27">
        <v>2</v>
      </c>
      <c r="K39" s="27">
        <v>2</v>
      </c>
      <c r="L39" s="27">
        <v>2</v>
      </c>
      <c r="M39" s="27">
        <v>3</v>
      </c>
      <c r="N39" s="27">
        <v>3</v>
      </c>
      <c r="O39" s="27">
        <v>5</v>
      </c>
      <c r="P39" s="27">
        <v>3</v>
      </c>
      <c r="Q39" s="27">
        <v>5</v>
      </c>
      <c r="R39" s="27" t="s">
        <v>48</v>
      </c>
      <c r="S39" s="27">
        <v>6</v>
      </c>
      <c r="T39" s="27">
        <v>9</v>
      </c>
      <c r="U39" s="27" t="s">
        <v>48</v>
      </c>
      <c r="V39">
        <v>49</v>
      </c>
      <c r="W39">
        <v>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29202-FDC6-4E88-BA2C-736E648BAFAA}">
  <dimension ref="A1:H17"/>
  <sheetViews>
    <sheetView workbookViewId="0">
      <selection activeCell="H4" sqref="H4"/>
    </sheetView>
  </sheetViews>
  <sheetFormatPr defaultRowHeight="15"/>
  <sheetData>
    <row r="1" spans="1:8">
      <c r="A1" s="30" t="s">
        <v>95</v>
      </c>
      <c r="B1" s="30" t="s">
        <v>9</v>
      </c>
      <c r="C1" s="30" t="s">
        <v>10</v>
      </c>
      <c r="D1" s="30" t="s">
        <v>11</v>
      </c>
      <c r="E1" s="30" t="s">
        <v>12</v>
      </c>
      <c r="F1" s="30" t="s">
        <v>13</v>
      </c>
      <c r="G1" s="30" t="s">
        <v>14</v>
      </c>
      <c r="H1" s="30" t="s">
        <v>15</v>
      </c>
    </row>
    <row r="2" spans="1:8">
      <c r="A2" s="30" t="s">
        <v>96</v>
      </c>
      <c r="B2" s="32">
        <v>10</v>
      </c>
      <c r="C2" s="24" t="b">
        <v>1</v>
      </c>
      <c r="D2" s="24" t="b">
        <v>1</v>
      </c>
      <c r="E2" s="24" t="b">
        <v>0</v>
      </c>
      <c r="F2" s="24" t="b">
        <v>0</v>
      </c>
      <c r="G2" s="24" t="b">
        <v>0</v>
      </c>
      <c r="H2" s="24" t="b">
        <v>0</v>
      </c>
    </row>
    <row r="3" spans="1:8">
      <c r="A3" s="30" t="s">
        <v>97</v>
      </c>
      <c r="B3" s="32">
        <v>10</v>
      </c>
      <c r="C3" s="24" t="b">
        <v>1</v>
      </c>
      <c r="D3" s="24" t="b">
        <v>1</v>
      </c>
      <c r="E3" s="24" t="b">
        <v>0</v>
      </c>
      <c r="F3" s="24" t="b">
        <v>0</v>
      </c>
      <c r="G3" s="24" t="b">
        <v>0</v>
      </c>
      <c r="H3" s="24" t="b">
        <v>0</v>
      </c>
    </row>
    <row r="4" spans="1:8">
      <c r="A4" s="30" t="s">
        <v>98</v>
      </c>
      <c r="B4" s="32">
        <v>10</v>
      </c>
      <c r="C4" s="24" t="b">
        <v>0</v>
      </c>
      <c r="D4" s="24" t="b">
        <v>0</v>
      </c>
      <c r="E4" s="24" t="b">
        <v>1</v>
      </c>
      <c r="F4" s="24" t="b">
        <v>1</v>
      </c>
      <c r="G4" s="24" t="b">
        <v>1</v>
      </c>
      <c r="H4" s="24" t="b">
        <v>1</v>
      </c>
    </row>
    <row r="5" spans="1:8">
      <c r="A5" s="30" t="s">
        <v>99</v>
      </c>
      <c r="B5" s="32">
        <v>10</v>
      </c>
      <c r="C5" s="24" t="b">
        <v>0</v>
      </c>
      <c r="D5" s="24" t="b">
        <v>0</v>
      </c>
      <c r="E5" s="24" t="b">
        <v>1</v>
      </c>
      <c r="F5" s="24" t="b">
        <v>1</v>
      </c>
      <c r="G5" s="24" t="b">
        <v>0</v>
      </c>
      <c r="H5" s="24" t="b">
        <v>0</v>
      </c>
    </row>
    <row r="6" spans="1:8">
      <c r="A6" s="26"/>
      <c r="B6" s="33"/>
      <c r="C6" s="26"/>
      <c r="D6" s="26"/>
      <c r="E6" s="26"/>
      <c r="F6" s="26"/>
      <c r="G6" s="26"/>
      <c r="H6" s="26"/>
    </row>
    <row r="7" spans="1:8">
      <c r="A7" s="26"/>
      <c r="B7" s="33"/>
      <c r="C7" s="26"/>
      <c r="D7" s="26"/>
      <c r="E7" s="26"/>
      <c r="F7" s="26"/>
      <c r="G7" s="26"/>
      <c r="H7" s="26"/>
    </row>
    <row r="8" spans="1:8">
      <c r="A8" s="26"/>
      <c r="B8" s="33"/>
      <c r="C8" s="26"/>
      <c r="D8" s="26"/>
      <c r="E8" s="26"/>
      <c r="F8" s="26"/>
      <c r="G8" s="26"/>
      <c r="H8" s="26"/>
    </row>
    <row r="9" spans="1:8">
      <c r="A9" s="26"/>
      <c r="B9" s="33"/>
      <c r="C9" s="26"/>
      <c r="D9" s="26"/>
      <c r="E9" s="26"/>
      <c r="F9" s="26"/>
      <c r="G9" s="26"/>
      <c r="H9" s="26"/>
    </row>
    <row r="10" spans="1:8">
      <c r="A10" s="26"/>
      <c r="B10" s="33"/>
      <c r="C10" s="26"/>
      <c r="D10" s="26"/>
      <c r="E10" s="26"/>
      <c r="F10" s="26"/>
      <c r="G10" s="26"/>
      <c r="H10" s="26"/>
    </row>
    <row r="11" spans="1:8">
      <c r="A11" s="26"/>
      <c r="B11" s="33"/>
      <c r="C11" s="26"/>
      <c r="D11" s="26"/>
      <c r="E11" s="26"/>
      <c r="F11" s="26"/>
      <c r="G11" s="26"/>
      <c r="H11" s="26"/>
    </row>
    <row r="12" spans="1:8">
      <c r="A12" s="26"/>
      <c r="B12" s="33"/>
      <c r="C12" s="26"/>
      <c r="D12" s="26"/>
      <c r="E12" s="26"/>
      <c r="F12" s="26"/>
      <c r="G12" s="26"/>
      <c r="H12" s="26"/>
    </row>
    <row r="13" spans="1:8">
      <c r="A13" s="26"/>
      <c r="B13" s="33"/>
      <c r="C13" s="26"/>
      <c r="D13" s="26"/>
      <c r="E13" s="26"/>
      <c r="F13" s="26"/>
      <c r="G13" s="26"/>
      <c r="H13" s="26"/>
    </row>
    <row r="14" spans="1:8">
      <c r="A14" s="26"/>
      <c r="B14" s="33"/>
      <c r="C14" s="26"/>
      <c r="D14" s="26"/>
      <c r="E14" s="26"/>
      <c r="F14" s="26"/>
      <c r="G14" s="26"/>
      <c r="H14" s="26"/>
    </row>
    <row r="15" spans="1:8">
      <c r="A15" s="26"/>
      <c r="B15" s="34"/>
      <c r="C15" s="26"/>
      <c r="D15" s="26"/>
      <c r="E15" s="26"/>
      <c r="F15" s="26"/>
      <c r="G15" s="26"/>
      <c r="H15" s="26"/>
    </row>
    <row r="16" spans="1:8">
      <c r="A16" s="26"/>
      <c r="B16" s="34"/>
      <c r="C16" s="26"/>
      <c r="D16" s="26"/>
      <c r="E16" s="26"/>
      <c r="F16" s="26"/>
      <c r="G16" s="26"/>
      <c r="H16" s="26"/>
    </row>
    <row r="17" spans="1:8">
      <c r="A17" s="26"/>
      <c r="B17" s="34"/>
      <c r="C17" s="26"/>
      <c r="D17" s="26"/>
      <c r="E17" s="26"/>
      <c r="F17" s="26"/>
      <c r="G17" s="26"/>
      <c r="H17" s="2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8F061-5607-4344-8556-E9BDC14CBD04}">
  <dimension ref="A1:K39"/>
  <sheetViews>
    <sheetView workbookViewId="0">
      <selection activeCell="L25" sqref="L25"/>
    </sheetView>
  </sheetViews>
  <sheetFormatPr defaultRowHeight="15"/>
  <cols>
    <col min="2" max="2" width="23.28515625" bestFit="1" customWidth="1"/>
  </cols>
  <sheetData>
    <row r="1" spans="1:11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tr" cm="1">
        <f t="array" ref="F1:I1">TRANSPOSE('[1]ASN Question Map'!A2:A5)</f>
        <v>Asignment 1</v>
      </c>
      <c r="G1" t="str">
        <v>Asignment 2</v>
      </c>
      <c r="H1" t="str">
        <v>Asignment 3</v>
      </c>
      <c r="I1" t="str">
        <v>Asignment 4</v>
      </c>
      <c r="J1" t="s">
        <v>100</v>
      </c>
      <c r="K1" t="s">
        <v>54</v>
      </c>
    </row>
    <row r="2" spans="1:11">
      <c r="A2">
        <v>1</v>
      </c>
      <c r="B2" s="27">
        <v>2010990024</v>
      </c>
      <c r="C2" s="27" t="s">
        <v>55</v>
      </c>
      <c r="D2" s="26" t="s">
        <v>56</v>
      </c>
      <c r="E2" t="s">
        <v>101</v>
      </c>
      <c r="F2" s="35">
        <v>8</v>
      </c>
      <c r="G2" s="35">
        <v>9</v>
      </c>
      <c r="H2" s="35">
        <v>8</v>
      </c>
      <c r="I2" s="35">
        <v>9</v>
      </c>
      <c r="J2" cm="1">
        <f t="array" ref="J2:J39">_xlfn.BYROW(F2:INDEX(I:I, COUNTA(B:B)), _xlfn.LAMBDA(_xlpm.row, SUM(_xlpm.row)))</f>
        <v>34</v>
      </c>
      <c r="K2">
        <v>40</v>
      </c>
    </row>
    <row r="3" spans="1:11">
      <c r="A3">
        <v>2</v>
      </c>
      <c r="B3" s="27">
        <v>2010992301</v>
      </c>
      <c r="C3" s="27" t="s">
        <v>57</v>
      </c>
      <c r="D3" s="26" t="s">
        <v>56</v>
      </c>
      <c r="E3" t="s">
        <v>101</v>
      </c>
      <c r="F3" s="36">
        <v>9</v>
      </c>
      <c r="G3" s="36">
        <v>9</v>
      </c>
      <c r="H3" s="36">
        <v>9</v>
      </c>
      <c r="I3" s="36">
        <v>9</v>
      </c>
      <c r="J3">
        <v>36</v>
      </c>
      <c r="K3">
        <v>40</v>
      </c>
    </row>
    <row r="4" spans="1:11">
      <c r="A4">
        <v>3</v>
      </c>
      <c r="B4" s="27">
        <v>2010992302</v>
      </c>
      <c r="C4" s="27" t="s">
        <v>58</v>
      </c>
      <c r="D4" s="26" t="s">
        <v>56</v>
      </c>
      <c r="E4" t="s">
        <v>101</v>
      </c>
      <c r="F4" s="35">
        <v>4</v>
      </c>
      <c r="G4" s="35">
        <v>4</v>
      </c>
      <c r="H4" s="35">
        <v>4</v>
      </c>
      <c r="I4" s="35">
        <v>4</v>
      </c>
      <c r="J4">
        <v>16</v>
      </c>
      <c r="K4">
        <v>40</v>
      </c>
    </row>
    <row r="5" spans="1:11">
      <c r="A5">
        <v>4</v>
      </c>
      <c r="B5" s="27">
        <v>2010992303</v>
      </c>
      <c r="C5" s="27" t="s">
        <v>59</v>
      </c>
      <c r="D5" s="26" t="s">
        <v>56</v>
      </c>
      <c r="E5" t="s">
        <v>101</v>
      </c>
      <c r="F5" s="36">
        <v>9</v>
      </c>
      <c r="G5" s="36">
        <v>9</v>
      </c>
      <c r="H5" s="36">
        <v>9</v>
      </c>
      <c r="I5" s="36">
        <v>9</v>
      </c>
      <c r="J5">
        <v>36</v>
      </c>
      <c r="K5">
        <v>40</v>
      </c>
    </row>
    <row r="6" spans="1:11">
      <c r="A6">
        <v>5</v>
      </c>
      <c r="B6" s="27">
        <v>2010992304</v>
      </c>
      <c r="C6" s="27" t="s">
        <v>60</v>
      </c>
      <c r="D6" s="26" t="s">
        <v>56</v>
      </c>
      <c r="E6" t="s">
        <v>101</v>
      </c>
      <c r="F6" s="35">
        <v>7</v>
      </c>
      <c r="G6" s="35">
        <v>7</v>
      </c>
      <c r="H6" s="35">
        <v>7</v>
      </c>
      <c r="I6" s="35">
        <v>7</v>
      </c>
      <c r="J6">
        <v>28</v>
      </c>
      <c r="K6">
        <v>40</v>
      </c>
    </row>
    <row r="7" spans="1:11">
      <c r="A7">
        <v>6</v>
      </c>
      <c r="B7" s="27">
        <v>2010992305</v>
      </c>
      <c r="C7" s="27" t="s">
        <v>61</v>
      </c>
      <c r="D7" s="26" t="s">
        <v>56</v>
      </c>
      <c r="E7" t="s">
        <v>101</v>
      </c>
      <c r="F7" s="36">
        <v>8</v>
      </c>
      <c r="G7" s="36">
        <v>9</v>
      </c>
      <c r="H7" s="36">
        <v>8</v>
      </c>
      <c r="I7" s="36">
        <v>9</v>
      </c>
      <c r="J7">
        <v>34</v>
      </c>
      <c r="K7">
        <v>40</v>
      </c>
    </row>
    <row r="8" spans="1:11">
      <c r="A8">
        <v>7</v>
      </c>
      <c r="B8" s="27">
        <v>2010992306</v>
      </c>
      <c r="C8" s="27" t="s">
        <v>62</v>
      </c>
      <c r="D8" s="26" t="s">
        <v>56</v>
      </c>
      <c r="E8" t="s">
        <v>101</v>
      </c>
      <c r="F8" s="35">
        <v>8</v>
      </c>
      <c r="G8" s="35">
        <v>9</v>
      </c>
      <c r="H8" s="35">
        <v>8</v>
      </c>
      <c r="I8" s="35">
        <v>9</v>
      </c>
      <c r="J8">
        <v>34</v>
      </c>
      <c r="K8">
        <v>40</v>
      </c>
    </row>
    <row r="9" spans="1:11">
      <c r="A9">
        <v>8</v>
      </c>
      <c r="B9" s="27">
        <v>2010992308</v>
      </c>
      <c r="C9" s="27" t="s">
        <v>63</v>
      </c>
      <c r="D9" s="26" t="s">
        <v>56</v>
      </c>
      <c r="E9" t="s">
        <v>101</v>
      </c>
      <c r="F9" s="36">
        <v>8</v>
      </c>
      <c r="G9" s="36">
        <v>9</v>
      </c>
      <c r="H9" s="36">
        <v>8</v>
      </c>
      <c r="I9" s="36">
        <v>9</v>
      </c>
      <c r="J9">
        <v>34</v>
      </c>
      <c r="K9">
        <v>40</v>
      </c>
    </row>
    <row r="10" spans="1:11">
      <c r="A10">
        <v>9</v>
      </c>
      <c r="B10" s="27">
        <v>2010992310</v>
      </c>
      <c r="C10" s="27" t="s">
        <v>64</v>
      </c>
      <c r="D10" s="26" t="s">
        <v>56</v>
      </c>
      <c r="E10" t="s">
        <v>101</v>
      </c>
      <c r="F10" s="35">
        <v>9</v>
      </c>
      <c r="G10" s="35">
        <v>8</v>
      </c>
      <c r="H10" s="35">
        <v>8</v>
      </c>
      <c r="I10" s="35">
        <v>9</v>
      </c>
      <c r="J10">
        <v>34</v>
      </c>
      <c r="K10">
        <v>40</v>
      </c>
    </row>
    <row r="11" spans="1:11">
      <c r="A11">
        <v>10</v>
      </c>
      <c r="B11" s="27">
        <v>2010992311</v>
      </c>
      <c r="C11" s="27" t="s">
        <v>65</v>
      </c>
      <c r="D11" s="26" t="s">
        <v>56</v>
      </c>
      <c r="E11" t="s">
        <v>101</v>
      </c>
      <c r="F11" s="36">
        <v>9</v>
      </c>
      <c r="G11" s="36">
        <v>8</v>
      </c>
      <c r="H11" s="36">
        <v>8</v>
      </c>
      <c r="I11" s="36">
        <v>9</v>
      </c>
      <c r="J11">
        <v>34</v>
      </c>
      <c r="K11">
        <v>40</v>
      </c>
    </row>
    <row r="12" spans="1:11">
      <c r="A12">
        <v>11</v>
      </c>
      <c r="B12" s="27">
        <v>2010992312</v>
      </c>
      <c r="C12" s="27" t="s">
        <v>66</v>
      </c>
      <c r="D12" s="26" t="s">
        <v>56</v>
      </c>
      <c r="E12" t="s">
        <v>101</v>
      </c>
      <c r="F12" s="35">
        <v>9</v>
      </c>
      <c r="G12" s="35">
        <v>8</v>
      </c>
      <c r="H12" s="35">
        <v>8</v>
      </c>
      <c r="I12" s="35">
        <v>9</v>
      </c>
      <c r="J12">
        <v>34</v>
      </c>
      <c r="K12">
        <v>40</v>
      </c>
    </row>
    <row r="13" spans="1:11">
      <c r="A13">
        <v>12</v>
      </c>
      <c r="B13" s="27">
        <v>2010992313</v>
      </c>
      <c r="C13" s="27" t="s">
        <v>67</v>
      </c>
      <c r="D13" s="26" t="s">
        <v>56</v>
      </c>
      <c r="E13" t="s">
        <v>101</v>
      </c>
      <c r="F13" s="36">
        <v>9</v>
      </c>
      <c r="G13" s="36">
        <v>8</v>
      </c>
      <c r="H13" s="36">
        <v>8</v>
      </c>
      <c r="I13" s="36">
        <v>9</v>
      </c>
      <c r="J13">
        <v>34</v>
      </c>
      <c r="K13">
        <v>40</v>
      </c>
    </row>
    <row r="14" spans="1:11">
      <c r="A14">
        <v>13</v>
      </c>
      <c r="B14" s="27">
        <v>2010992314</v>
      </c>
      <c r="C14" s="27" t="s">
        <v>68</v>
      </c>
      <c r="D14" s="26" t="s">
        <v>56</v>
      </c>
      <c r="E14" t="s">
        <v>101</v>
      </c>
      <c r="F14" s="35">
        <v>9</v>
      </c>
      <c r="G14" s="35">
        <v>8</v>
      </c>
      <c r="H14" s="35">
        <v>8</v>
      </c>
      <c r="I14" s="35">
        <v>9</v>
      </c>
      <c r="J14">
        <v>34</v>
      </c>
      <c r="K14">
        <v>40</v>
      </c>
    </row>
    <row r="15" spans="1:11">
      <c r="A15">
        <v>14</v>
      </c>
      <c r="B15" s="27">
        <v>2010992315</v>
      </c>
      <c r="C15" s="27" t="s">
        <v>69</v>
      </c>
      <c r="D15" s="26" t="s">
        <v>56</v>
      </c>
      <c r="E15" t="s">
        <v>101</v>
      </c>
      <c r="F15" s="36">
        <v>9</v>
      </c>
      <c r="G15" s="36">
        <v>8</v>
      </c>
      <c r="H15" s="36">
        <v>8</v>
      </c>
      <c r="I15" s="36">
        <v>9</v>
      </c>
      <c r="J15">
        <v>34</v>
      </c>
      <c r="K15">
        <v>40</v>
      </c>
    </row>
    <row r="16" spans="1:11">
      <c r="A16">
        <v>15</v>
      </c>
      <c r="B16" s="27">
        <v>2010992316</v>
      </c>
      <c r="C16" s="27" t="s">
        <v>70</v>
      </c>
      <c r="D16" s="26" t="s">
        <v>56</v>
      </c>
      <c r="E16" t="s">
        <v>101</v>
      </c>
      <c r="F16" s="35">
        <v>9</v>
      </c>
      <c r="G16" s="35">
        <v>8</v>
      </c>
      <c r="H16" s="35">
        <v>8</v>
      </c>
      <c r="I16" s="35">
        <v>9</v>
      </c>
      <c r="J16">
        <v>34</v>
      </c>
      <c r="K16">
        <v>40</v>
      </c>
    </row>
    <row r="17" spans="1:11">
      <c r="A17">
        <v>16</v>
      </c>
      <c r="B17" s="27">
        <v>2010992317</v>
      </c>
      <c r="C17" s="27" t="s">
        <v>71</v>
      </c>
      <c r="D17" s="26" t="s">
        <v>56</v>
      </c>
      <c r="E17" t="s">
        <v>101</v>
      </c>
      <c r="F17" s="36">
        <v>7</v>
      </c>
      <c r="G17" s="36">
        <v>7</v>
      </c>
      <c r="H17" s="36">
        <v>7</v>
      </c>
      <c r="I17" s="36">
        <v>7</v>
      </c>
      <c r="J17">
        <v>28</v>
      </c>
      <c r="K17">
        <v>40</v>
      </c>
    </row>
    <row r="18" spans="1:11">
      <c r="A18">
        <v>17</v>
      </c>
      <c r="B18" s="27">
        <v>2010992318</v>
      </c>
      <c r="C18" s="27" t="s">
        <v>72</v>
      </c>
      <c r="D18" s="26" t="s">
        <v>56</v>
      </c>
      <c r="E18" t="s">
        <v>101</v>
      </c>
      <c r="F18" s="35">
        <v>8</v>
      </c>
      <c r="G18" s="35">
        <v>9</v>
      </c>
      <c r="H18" s="35">
        <v>8</v>
      </c>
      <c r="I18" s="35">
        <v>9</v>
      </c>
      <c r="J18">
        <v>34</v>
      </c>
      <c r="K18">
        <v>40</v>
      </c>
    </row>
    <row r="19" spans="1:11">
      <c r="A19">
        <v>18</v>
      </c>
      <c r="B19" s="27">
        <v>2010992320</v>
      </c>
      <c r="C19" s="27" t="s">
        <v>73</v>
      </c>
      <c r="D19" s="26" t="s">
        <v>56</v>
      </c>
      <c r="E19" t="s">
        <v>101</v>
      </c>
      <c r="F19" s="36">
        <v>9</v>
      </c>
      <c r="G19" s="36">
        <v>8</v>
      </c>
      <c r="H19" s="36">
        <v>9</v>
      </c>
      <c r="I19" s="36">
        <v>8</v>
      </c>
      <c r="J19">
        <v>34</v>
      </c>
      <c r="K19">
        <v>40</v>
      </c>
    </row>
    <row r="20" spans="1:11">
      <c r="A20">
        <v>19</v>
      </c>
      <c r="B20" s="27">
        <v>2010992321</v>
      </c>
      <c r="C20" s="27" t="s">
        <v>74</v>
      </c>
      <c r="D20" s="26" t="s">
        <v>56</v>
      </c>
      <c r="E20" t="s">
        <v>101</v>
      </c>
      <c r="F20" s="35">
        <v>0</v>
      </c>
      <c r="G20" s="35">
        <v>0</v>
      </c>
      <c r="H20" s="35">
        <v>0</v>
      </c>
      <c r="I20" s="35">
        <v>0</v>
      </c>
      <c r="J20">
        <v>0</v>
      </c>
      <c r="K20">
        <v>40</v>
      </c>
    </row>
    <row r="21" spans="1:11">
      <c r="A21">
        <v>20</v>
      </c>
      <c r="B21" s="27">
        <v>2010992324</v>
      </c>
      <c r="C21" s="27" t="s">
        <v>75</v>
      </c>
      <c r="D21" s="26" t="s">
        <v>56</v>
      </c>
      <c r="E21" t="s">
        <v>101</v>
      </c>
      <c r="F21" s="36">
        <v>8</v>
      </c>
      <c r="G21" s="36">
        <v>9</v>
      </c>
      <c r="H21" s="36">
        <v>8</v>
      </c>
      <c r="I21" s="36">
        <v>9</v>
      </c>
      <c r="J21">
        <v>34</v>
      </c>
      <c r="K21">
        <v>40</v>
      </c>
    </row>
    <row r="22" spans="1:11">
      <c r="A22">
        <v>21</v>
      </c>
      <c r="B22" s="27">
        <v>2010992325</v>
      </c>
      <c r="C22" s="27" t="s">
        <v>76</v>
      </c>
      <c r="D22" s="26" t="s">
        <v>56</v>
      </c>
      <c r="E22" t="s">
        <v>101</v>
      </c>
      <c r="F22" s="35">
        <v>9</v>
      </c>
      <c r="G22" s="35">
        <v>8</v>
      </c>
      <c r="H22" s="35">
        <v>9</v>
      </c>
      <c r="I22" s="35">
        <v>8</v>
      </c>
      <c r="J22">
        <v>34</v>
      </c>
      <c r="K22">
        <v>40</v>
      </c>
    </row>
    <row r="23" spans="1:11">
      <c r="A23">
        <v>22</v>
      </c>
      <c r="B23" s="27">
        <v>2010992326</v>
      </c>
      <c r="C23" s="27" t="s">
        <v>77</v>
      </c>
      <c r="D23" s="26" t="s">
        <v>56</v>
      </c>
      <c r="E23" t="s">
        <v>101</v>
      </c>
      <c r="F23" s="36">
        <v>8</v>
      </c>
      <c r="G23" s="36">
        <v>9</v>
      </c>
      <c r="H23" s="36">
        <v>8</v>
      </c>
      <c r="I23" s="36">
        <v>9</v>
      </c>
      <c r="J23">
        <v>34</v>
      </c>
      <c r="K23">
        <v>40</v>
      </c>
    </row>
    <row r="24" spans="1:11">
      <c r="A24">
        <v>23</v>
      </c>
      <c r="B24" s="27">
        <v>2010992327</v>
      </c>
      <c r="C24" s="27" t="s">
        <v>78</v>
      </c>
      <c r="D24" s="26" t="s">
        <v>56</v>
      </c>
      <c r="E24" t="s">
        <v>101</v>
      </c>
      <c r="F24" s="35">
        <v>9</v>
      </c>
      <c r="G24" s="35">
        <v>8</v>
      </c>
      <c r="H24" s="35">
        <v>9</v>
      </c>
      <c r="I24" s="35">
        <v>8</v>
      </c>
      <c r="J24">
        <v>34</v>
      </c>
      <c r="K24">
        <v>40</v>
      </c>
    </row>
    <row r="25" spans="1:11">
      <c r="A25">
        <v>24</v>
      </c>
      <c r="B25" s="27">
        <v>2010992328</v>
      </c>
      <c r="C25" s="27" t="s">
        <v>79</v>
      </c>
      <c r="D25" s="26" t="s">
        <v>56</v>
      </c>
      <c r="E25" t="s">
        <v>101</v>
      </c>
      <c r="F25" s="36">
        <v>7</v>
      </c>
      <c r="G25" s="36">
        <v>7</v>
      </c>
      <c r="H25" s="36">
        <v>7</v>
      </c>
      <c r="I25" s="36">
        <v>7</v>
      </c>
      <c r="J25">
        <v>28</v>
      </c>
      <c r="K25">
        <v>40</v>
      </c>
    </row>
    <row r="26" spans="1:11">
      <c r="A26">
        <v>25</v>
      </c>
      <c r="B26" s="27">
        <v>2010992329</v>
      </c>
      <c r="C26" s="27" t="s">
        <v>80</v>
      </c>
      <c r="D26" s="26" t="s">
        <v>56</v>
      </c>
      <c r="E26" t="s">
        <v>101</v>
      </c>
      <c r="F26" s="35">
        <v>8</v>
      </c>
      <c r="G26" s="35">
        <v>9</v>
      </c>
      <c r="H26" s="35">
        <v>8</v>
      </c>
      <c r="I26" s="35">
        <v>9</v>
      </c>
      <c r="J26">
        <v>34</v>
      </c>
      <c r="K26">
        <v>40</v>
      </c>
    </row>
    <row r="27" spans="1:11">
      <c r="A27">
        <v>26</v>
      </c>
      <c r="B27" s="27">
        <v>2010992331</v>
      </c>
      <c r="C27" s="27" t="s">
        <v>81</v>
      </c>
      <c r="D27" s="26" t="s">
        <v>56</v>
      </c>
      <c r="E27" t="s">
        <v>101</v>
      </c>
      <c r="F27" s="36">
        <v>9</v>
      </c>
      <c r="G27" s="36">
        <v>8</v>
      </c>
      <c r="H27" s="36">
        <v>9</v>
      </c>
      <c r="I27" s="36">
        <v>8</v>
      </c>
      <c r="J27">
        <v>34</v>
      </c>
      <c r="K27">
        <v>40</v>
      </c>
    </row>
    <row r="28" spans="1:11">
      <c r="A28">
        <v>27</v>
      </c>
      <c r="B28" s="27">
        <v>2010992332</v>
      </c>
      <c r="C28" s="27" t="s">
        <v>82</v>
      </c>
      <c r="D28" s="26" t="s">
        <v>56</v>
      </c>
      <c r="E28" t="s">
        <v>101</v>
      </c>
      <c r="F28" s="35">
        <v>8</v>
      </c>
      <c r="G28" s="35">
        <v>9</v>
      </c>
      <c r="H28" s="35">
        <v>8</v>
      </c>
      <c r="I28" s="35">
        <v>9</v>
      </c>
      <c r="J28">
        <v>34</v>
      </c>
      <c r="K28">
        <v>40</v>
      </c>
    </row>
    <row r="29" spans="1:11">
      <c r="A29">
        <v>28</v>
      </c>
      <c r="B29" s="27">
        <v>2010992333</v>
      </c>
      <c r="C29" s="27" t="s">
        <v>83</v>
      </c>
      <c r="D29" s="26" t="s">
        <v>56</v>
      </c>
      <c r="E29" t="s">
        <v>101</v>
      </c>
      <c r="F29" s="36">
        <v>9</v>
      </c>
      <c r="G29" s="36">
        <v>8</v>
      </c>
      <c r="H29" s="36">
        <v>9</v>
      </c>
      <c r="I29" s="36">
        <v>8</v>
      </c>
      <c r="J29">
        <v>34</v>
      </c>
      <c r="K29">
        <v>40</v>
      </c>
    </row>
    <row r="30" spans="1:11">
      <c r="A30">
        <v>29</v>
      </c>
      <c r="B30" s="27">
        <v>2010992334</v>
      </c>
      <c r="C30" s="27" t="s">
        <v>84</v>
      </c>
      <c r="D30" s="26" t="s">
        <v>56</v>
      </c>
      <c r="E30" t="s">
        <v>101</v>
      </c>
      <c r="F30" s="35">
        <v>7</v>
      </c>
      <c r="G30" s="35">
        <v>7</v>
      </c>
      <c r="H30" s="35">
        <v>7</v>
      </c>
      <c r="I30" s="35">
        <v>7</v>
      </c>
      <c r="J30">
        <v>28</v>
      </c>
      <c r="K30">
        <v>40</v>
      </c>
    </row>
    <row r="31" spans="1:11">
      <c r="A31">
        <v>30</v>
      </c>
      <c r="B31" s="27">
        <v>2010992335</v>
      </c>
      <c r="C31" s="27" t="s">
        <v>85</v>
      </c>
      <c r="D31" s="26" t="s">
        <v>56</v>
      </c>
      <c r="E31" t="s">
        <v>101</v>
      </c>
      <c r="F31" s="36">
        <v>8</v>
      </c>
      <c r="G31" s="36">
        <v>9</v>
      </c>
      <c r="H31" s="36">
        <v>8</v>
      </c>
      <c r="I31" s="36">
        <v>9</v>
      </c>
      <c r="J31">
        <v>34</v>
      </c>
      <c r="K31">
        <v>40</v>
      </c>
    </row>
    <row r="32" spans="1:11">
      <c r="A32">
        <v>31</v>
      </c>
      <c r="B32" s="27">
        <v>2010992336</v>
      </c>
      <c r="C32" s="27" t="s">
        <v>86</v>
      </c>
      <c r="D32" s="26" t="s">
        <v>56</v>
      </c>
      <c r="E32" t="s">
        <v>101</v>
      </c>
      <c r="F32" s="35">
        <v>0</v>
      </c>
      <c r="G32" s="35">
        <v>0</v>
      </c>
      <c r="H32" s="35">
        <v>0</v>
      </c>
      <c r="I32" s="35">
        <v>0</v>
      </c>
      <c r="J32">
        <v>0</v>
      </c>
      <c r="K32">
        <v>40</v>
      </c>
    </row>
    <row r="33" spans="1:11">
      <c r="A33">
        <v>32</v>
      </c>
      <c r="B33" s="27">
        <v>2010992337</v>
      </c>
      <c r="C33" s="27" t="s">
        <v>87</v>
      </c>
      <c r="D33" s="26" t="s">
        <v>56</v>
      </c>
      <c r="E33" t="s">
        <v>101</v>
      </c>
      <c r="F33" s="36">
        <v>9</v>
      </c>
      <c r="G33" s="36">
        <v>9</v>
      </c>
      <c r="H33" s="36">
        <v>9</v>
      </c>
      <c r="I33" s="36">
        <v>9</v>
      </c>
      <c r="J33">
        <v>36</v>
      </c>
      <c r="K33">
        <v>40</v>
      </c>
    </row>
    <row r="34" spans="1:11">
      <c r="A34">
        <v>33</v>
      </c>
      <c r="B34" s="27">
        <v>2010992338</v>
      </c>
      <c r="C34" s="27" t="s">
        <v>88</v>
      </c>
      <c r="D34" s="26" t="s">
        <v>56</v>
      </c>
      <c r="E34" t="s">
        <v>101</v>
      </c>
      <c r="F34" s="35">
        <v>8</v>
      </c>
      <c r="G34" s="35">
        <v>9</v>
      </c>
      <c r="H34" s="35">
        <v>8</v>
      </c>
      <c r="I34" s="35">
        <v>9</v>
      </c>
      <c r="J34">
        <v>34</v>
      </c>
      <c r="K34">
        <v>40</v>
      </c>
    </row>
    <row r="35" spans="1:11">
      <c r="A35">
        <v>34</v>
      </c>
      <c r="B35" s="27">
        <v>2010992341</v>
      </c>
      <c r="C35" s="27" t="s">
        <v>89</v>
      </c>
      <c r="D35" s="26" t="s">
        <v>56</v>
      </c>
      <c r="E35" t="s">
        <v>101</v>
      </c>
      <c r="F35" s="36">
        <v>8</v>
      </c>
      <c r="G35" s="36">
        <v>9</v>
      </c>
      <c r="H35" s="36">
        <v>8</v>
      </c>
      <c r="I35" s="36">
        <v>9</v>
      </c>
      <c r="J35">
        <v>34</v>
      </c>
      <c r="K35">
        <v>40</v>
      </c>
    </row>
    <row r="36" spans="1:11">
      <c r="A36">
        <v>35</v>
      </c>
      <c r="B36" s="27">
        <v>2010992342</v>
      </c>
      <c r="C36" s="27" t="s">
        <v>90</v>
      </c>
      <c r="D36" s="26" t="s">
        <v>56</v>
      </c>
      <c r="E36" t="s">
        <v>101</v>
      </c>
      <c r="F36" s="35">
        <v>7</v>
      </c>
      <c r="G36" s="35">
        <v>7</v>
      </c>
      <c r="H36" s="35">
        <v>7</v>
      </c>
      <c r="I36" s="35">
        <v>7</v>
      </c>
      <c r="J36">
        <v>28</v>
      </c>
      <c r="K36">
        <v>40</v>
      </c>
    </row>
    <row r="37" spans="1:11">
      <c r="A37">
        <v>36</v>
      </c>
      <c r="B37" s="27">
        <v>2055991123</v>
      </c>
      <c r="C37" s="27" t="s">
        <v>91</v>
      </c>
      <c r="D37" s="26" t="s">
        <v>56</v>
      </c>
      <c r="E37" t="s">
        <v>101</v>
      </c>
      <c r="F37" s="36">
        <v>9</v>
      </c>
      <c r="G37" s="36">
        <v>8</v>
      </c>
      <c r="H37" s="36">
        <v>9</v>
      </c>
      <c r="I37" s="36">
        <v>8</v>
      </c>
      <c r="J37">
        <v>34</v>
      </c>
      <c r="K37">
        <v>40</v>
      </c>
    </row>
    <row r="38" spans="1:11">
      <c r="A38">
        <v>37</v>
      </c>
      <c r="B38" s="27">
        <v>2055991126</v>
      </c>
      <c r="C38" s="27" t="s">
        <v>92</v>
      </c>
      <c r="D38" s="26" t="s">
        <v>56</v>
      </c>
      <c r="E38" t="s">
        <v>101</v>
      </c>
      <c r="F38" s="35">
        <v>8</v>
      </c>
      <c r="G38" s="35">
        <v>9</v>
      </c>
      <c r="H38" s="35">
        <v>8</v>
      </c>
      <c r="I38" s="35">
        <v>9</v>
      </c>
      <c r="J38">
        <v>34</v>
      </c>
      <c r="K38">
        <v>40</v>
      </c>
    </row>
    <row r="39" spans="1:11">
      <c r="A39">
        <v>38</v>
      </c>
      <c r="B39" s="27">
        <v>2055991600</v>
      </c>
      <c r="C39" s="27" t="s">
        <v>93</v>
      </c>
      <c r="D39" s="26" t="s">
        <v>56</v>
      </c>
      <c r="E39" t="s">
        <v>101</v>
      </c>
      <c r="F39" s="36">
        <v>9</v>
      </c>
      <c r="G39" s="36">
        <v>8</v>
      </c>
      <c r="H39" s="36">
        <v>9</v>
      </c>
      <c r="I39" s="36">
        <v>8</v>
      </c>
      <c r="J39">
        <v>34</v>
      </c>
      <c r="K39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OBE Details</vt:lpstr>
      <vt:lpstr>ST1 Ques Mapping</vt:lpstr>
      <vt:lpstr>ST1 Result</vt:lpstr>
      <vt:lpstr>ST2 Ques Mapping</vt:lpstr>
      <vt:lpstr>ST2 Result</vt:lpstr>
      <vt:lpstr>ST3 Ques Mapping</vt:lpstr>
      <vt:lpstr>ST3 Result</vt:lpstr>
      <vt:lpstr>ETE Ques Mapping</vt:lpstr>
      <vt:lpstr>ETE Result</vt:lpstr>
      <vt:lpstr>ASN Ques Mapping</vt:lpstr>
      <vt:lpstr>ASN 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Prateek Singh</dc:creator>
  <cp:lastModifiedBy>Prateek Singh Gambhir</cp:lastModifiedBy>
  <dcterms:created xsi:type="dcterms:W3CDTF">2026-02-28T07:44:02Z</dcterms:created>
  <dcterms:modified xsi:type="dcterms:W3CDTF">2026-04-28T08:44:20Z</dcterms:modified>
</cp:coreProperties>
</file>