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MODEL\"/>
    </mc:Choice>
  </mc:AlternateContent>
  <xr:revisionPtr revIDLastSave="0" documentId="13_ncr:1_{1F2F3B6D-E96E-4EDB-BB74-6A59ABD70D09}" xr6:coauthVersionLast="47" xr6:coauthVersionMax="47" xr10:uidLastSave="{00000000-0000-0000-0000-000000000000}"/>
  <bookViews>
    <workbookView xWindow="-120" yWindow="-120" windowWidth="29040" windowHeight="15720" firstSheet="1" activeTab="7" xr2:uid="{B1E4A8B4-03E1-4452-B829-205B05F0277B}"/>
  </bookViews>
  <sheets>
    <sheet name="OBE Details" sheetId="1" r:id="rId1"/>
    <sheet name="ST1 Ques Mapping" sheetId="2" r:id="rId2"/>
    <sheet name="ST1 Result" sheetId="3" r:id="rId3"/>
    <sheet name="ST2 Ques Mapping" sheetId="4" r:id="rId4"/>
    <sheet name="ST2 Result" sheetId="7" r:id="rId5"/>
    <sheet name="ST3 Ques Mapping" sheetId="5" r:id="rId6"/>
    <sheet name="ST3 Result" sheetId="8" r:id="rId7"/>
    <sheet name="ETE Ques Mapping" sheetId="6" r:id="rId8"/>
    <sheet name="ETE Result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9" l="1" a="1"/>
  <c r="AB1" i="9" s="1"/>
  <c r="AC12" i="8"/>
  <c r="AC11" i="8"/>
  <c r="AC10" i="8"/>
  <c r="AC9" i="8"/>
  <c r="AC8" i="8"/>
  <c r="AC7" i="8"/>
  <c r="AC6" i="8"/>
  <c r="AC5" i="8"/>
  <c r="AC4" i="8"/>
  <c r="AC3" i="8"/>
  <c r="AC2" i="8"/>
  <c r="F1" i="8" a="1"/>
  <c r="W1" i="8" s="1"/>
  <c r="AC12" i="7"/>
  <c r="AC11" i="7"/>
  <c r="AC10" i="7"/>
  <c r="AC9" i="7"/>
  <c r="AC8" i="7"/>
  <c r="AC7" i="7"/>
  <c r="AC6" i="7"/>
  <c r="AC5" i="7"/>
  <c r="AC4" i="7"/>
  <c r="AC3" i="7"/>
  <c r="AC2" i="7"/>
  <c r="F1" i="7" a="1"/>
  <c r="W1" i="7" s="1"/>
  <c r="AC12" i="3"/>
  <c r="AC11" i="3"/>
  <c r="AC10" i="3"/>
  <c r="AC9" i="3"/>
  <c r="AC8" i="3"/>
  <c r="AC7" i="3"/>
  <c r="AC6" i="3"/>
  <c r="AC5" i="3"/>
  <c r="AC4" i="3"/>
  <c r="AC3" i="3"/>
  <c r="AC2" i="3"/>
  <c r="F1" i="3" a="1"/>
  <c r="V1" i="3" s="1"/>
  <c r="N1" i="9" l="1"/>
  <c r="O1" i="9"/>
  <c r="P1" i="9"/>
  <c r="R1" i="9"/>
  <c r="S1" i="9"/>
  <c r="U1" i="9"/>
  <c r="V1" i="9"/>
  <c r="H1" i="9"/>
  <c r="J1" i="9"/>
  <c r="Z1" i="9"/>
  <c r="G1" i="9"/>
  <c r="X1" i="9"/>
  <c r="Y1" i="9"/>
  <c r="K1" i="9"/>
  <c r="AA1" i="9"/>
  <c r="M1" i="9"/>
  <c r="Q1" i="9"/>
  <c r="T1" i="9"/>
  <c r="F1" i="9"/>
  <c r="W1" i="9"/>
  <c r="I1" i="9"/>
  <c r="L1" i="9"/>
  <c r="H1" i="8"/>
  <c r="X1" i="8"/>
  <c r="Y1" i="8"/>
  <c r="Z1" i="8"/>
  <c r="AA1" i="8"/>
  <c r="AB1" i="8"/>
  <c r="R1" i="8"/>
  <c r="S1" i="8"/>
  <c r="T1" i="8"/>
  <c r="U1" i="8"/>
  <c r="I1" i="8"/>
  <c r="J1" i="8"/>
  <c r="K1" i="8"/>
  <c r="L1" i="8"/>
  <c r="M1" i="8"/>
  <c r="N1" i="8"/>
  <c r="O1" i="8"/>
  <c r="P1" i="8"/>
  <c r="Q1" i="8"/>
  <c r="F1" i="8"/>
  <c r="V1" i="8"/>
  <c r="G1" i="8"/>
  <c r="H1" i="7"/>
  <c r="X1" i="7"/>
  <c r="I1" i="7"/>
  <c r="Y1" i="7"/>
  <c r="J1" i="7"/>
  <c r="Z1" i="7"/>
  <c r="K1" i="7"/>
  <c r="AA1" i="7"/>
  <c r="L1" i="7"/>
  <c r="AB1" i="7"/>
  <c r="M1" i="7"/>
  <c r="N1" i="7"/>
  <c r="O1" i="7"/>
  <c r="P1" i="7"/>
  <c r="Q1" i="7"/>
  <c r="R1" i="7"/>
  <c r="S1" i="7"/>
  <c r="T1" i="7"/>
  <c r="F1" i="7"/>
  <c r="V1" i="7"/>
  <c r="U1" i="7"/>
  <c r="G1" i="7"/>
  <c r="U1" i="3"/>
  <c r="G1" i="3"/>
  <c r="X1" i="3"/>
  <c r="Y1" i="3"/>
  <c r="Z1" i="3"/>
  <c r="AA1" i="3"/>
  <c r="N1" i="3"/>
  <c r="P1" i="3"/>
  <c r="F1" i="3"/>
  <c r="W1" i="3"/>
  <c r="I1" i="3"/>
  <c r="J1" i="3"/>
  <c r="K1" i="3"/>
  <c r="AB1" i="3"/>
  <c r="M1" i="3"/>
  <c r="O1" i="3"/>
  <c r="Q1" i="3"/>
  <c r="H1" i="3"/>
  <c r="L1" i="3"/>
  <c r="R1" i="3"/>
  <c r="S1" i="3"/>
  <c r="T1" i="3"/>
</calcChain>
</file>

<file path=xl/sharedStrings.xml><?xml version="1.0" encoding="utf-8"?>
<sst xmlns="http://schemas.openxmlformats.org/spreadsheetml/2006/main" count="907" uniqueCount="63">
  <si>
    <t>CO Score</t>
  </si>
  <si>
    <t>Percentage of Co attained</t>
  </si>
  <si>
    <t>Threshold</t>
  </si>
  <si>
    <t>Types</t>
  </si>
  <si>
    <t>Weightages</t>
  </si>
  <si>
    <t>Internal (Avg of ST1,ST2,ST3)</t>
  </si>
  <si>
    <t>External(ETE)</t>
  </si>
  <si>
    <t>Perecntage of students attaining Target</t>
  </si>
  <si>
    <t>Q_Id</t>
  </si>
  <si>
    <t>Max Marks</t>
  </si>
  <si>
    <t>CO1</t>
  </si>
  <si>
    <t>CO2</t>
  </si>
  <si>
    <t>CO3</t>
  </si>
  <si>
    <t>CO4</t>
  </si>
  <si>
    <t>CO5</t>
  </si>
  <si>
    <t>CO6</t>
  </si>
  <si>
    <t>1a</t>
  </si>
  <si>
    <t>1b</t>
  </si>
  <si>
    <t>1c</t>
  </si>
  <si>
    <t>1d</t>
  </si>
  <si>
    <t>1e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</si>
  <si>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</si>
  <si>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</si>
  <si>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</si>
  <si>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</si>
  <si>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</si>
  <si>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</si>
  <si>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</si>
  <si>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</si>
  <si>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</si>
  <si>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</si>
  <si>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</si>
  <si>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</si>
  <si>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</si>
  <si>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</si>
  <si>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</si>
  <si>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Assignment</t>
  </si>
  <si>
    <t>FA1</t>
  </si>
  <si>
    <t>FA2</t>
  </si>
  <si>
    <t>Sr.no</t>
  </si>
  <si>
    <t>Admission No. (Roll No.)</t>
  </si>
  <si>
    <t>Name of Student</t>
  </si>
  <si>
    <t>Course Code</t>
  </si>
  <si>
    <t>Exam Name (ETE/ST/FA)</t>
  </si>
  <si>
    <t>Total Marks</t>
  </si>
  <si>
    <t>max Marks</t>
  </si>
  <si>
    <t>ANSH GARG</t>
  </si>
  <si>
    <t>23EC360</t>
  </si>
  <si>
    <t>ST1</t>
  </si>
  <si>
    <t>U</t>
  </si>
  <si>
    <t>PANSY VERMA</t>
  </si>
  <si>
    <t>AYUSH SHARMA</t>
  </si>
  <si>
    <t>NAVDEEP SINGH</t>
  </si>
  <si>
    <t>RIYA</t>
  </si>
  <si>
    <t>HEERENDRA SINGH CHAUHAN</t>
  </si>
  <si>
    <t>HARSHIT CHAHAL</t>
  </si>
  <si>
    <t>VARUN</t>
  </si>
  <si>
    <t>SHAKSHI SINGH</t>
  </si>
  <si>
    <t>TAMANA SIAG</t>
  </si>
  <si>
    <t>Khan</t>
  </si>
  <si>
    <t>ST2</t>
  </si>
  <si>
    <t>ST3</t>
  </si>
  <si>
    <t>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</si>
</sst>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/>
    <xf numFmtId="0" fontId="0" fillId="0" borderId="0" xfId="0" applyAlignment="1"/>
    <xf numFmtId="0" fontId="1" fillId="0" borderId="3" xfId="0" applyFont="1" applyBorder="1" applyAlignment="1"/>
    <xf numFmtId="0" fontId="2" fillId="0" borderId="4" xfId="0" applyFont="1" applyBorder="1" applyAlignment="1">
      <alignment horizontal="right"/>
    </xf>
    <xf numFmtId="0" fontId="3" fillId="0" borderId="5" xfId="0" applyFont="1" applyBorder="1" applyAlignment="1"/>
    <xf numFmtId="0" fontId="3" fillId="0" borderId="6" xfId="0" applyFont="1" applyBorder="1" applyAlignment="1"/>
    <xf numFmtId="0" fontId="1" fillId="0" borderId="4" xfId="0" applyFont="1" applyBorder="1" applyAlignment="1"/>
    <xf numFmtId="9" fontId="2" fillId="0" borderId="4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/>
    <xf numFmtId="0" fontId="2" fillId="0" borderId="7" xfId="0" applyFont="1" applyBorder="1" applyAlignment="1">
      <alignment horizontal="right"/>
    </xf>
    <xf numFmtId="0" fontId="4" fillId="0" borderId="7" xfId="0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MODEL\Teacher%20Input%20sheet.xlsx" TargetMode="External"/><Relationship Id="rId1" Type="http://schemas.openxmlformats.org/officeDocument/2006/relationships/externalLinkPath" Target="Teacher%20Inpu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E Details"/>
      <sheetName val="ST1 Question Map"/>
      <sheetName val="ST1 Result"/>
      <sheetName val="ST2 Question Map"/>
      <sheetName val="ST2 Result"/>
      <sheetName val="ST3 Question Map"/>
      <sheetName val="ST3 Result"/>
      <sheetName val="ETE Question Map"/>
      <sheetName val="ETE Result"/>
    </sheetNames>
    <sheetDataSet>
      <sheetData sheetId="0"/>
      <sheetData sheetId="1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1c</v>
          </cell>
        </row>
        <row r="5">
          <cell r="A5" t="str">
            <v>1d</v>
          </cell>
        </row>
        <row r="6">
          <cell r="A6" t="str">
            <v>1e</v>
          </cell>
        </row>
        <row r="7">
          <cell r="A7" t="str">
            <v>Q2</v>
          </cell>
        </row>
        <row r="8">
          <cell r="A8" t="str">
            <v>Q3</v>
          </cell>
        </row>
        <row r="9">
          <cell r="A9" t="str">
            <v>Q4</v>
          </cell>
        </row>
        <row r="10">
          <cell r="A10" t="str">
            <v>Q5</v>
          </cell>
        </row>
        <row r="11">
          <cell r="A11" t="str">
            <v>Q6</v>
          </cell>
        </row>
        <row r="12">
          <cell r="A12" t="str">
            <v>Q7</v>
          </cell>
        </row>
        <row r="13">
          <cell r="A13" t="str">
            <v>Q8</v>
          </cell>
        </row>
        <row r="14">
          <cell r="A14" t="str">
            <v>Q9</v>
          </cell>
        </row>
        <row r="15">
          <cell r="A15" t="str">
            <v>Q10</v>
          </cell>
        </row>
        <row r="16">
          <cell r="A16" t="str">
            <v>Q11</v>
          </cell>
        </row>
        <row r="17">
          <cell r="A17" t="str">
            <v>Q12</v>
          </cell>
        </row>
        <row r="18">
          <cell r="A18" t="str">
            <v>Q13</v>
          </cell>
        </row>
        <row r="19">
          <cell r="A19" t="str">
            <v>Q14</v>
          </cell>
        </row>
        <row r="20">
          <cell r="A20" t="str">
            <v>Q15</v>
          </cell>
        </row>
        <row r="21">
          <cell r="A21" t="str">
            <v>Q16</v>
          </cell>
        </row>
        <row r="22">
          <cell r="A22" t="str">
            <v>Assignment</v>
          </cell>
        </row>
        <row r="23">
          <cell r="A23" t="str">
            <v>FA1</v>
          </cell>
        </row>
        <row r="24">
          <cell r="A24" t="str">
            <v>FA2</v>
          </cell>
        </row>
      </sheetData>
      <sheetData sheetId="2"/>
      <sheetData sheetId="3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1c</v>
          </cell>
        </row>
        <row r="5">
          <cell r="A5" t="str">
            <v>1d</v>
          </cell>
        </row>
        <row r="6">
          <cell r="A6" t="str">
            <v>1e</v>
          </cell>
        </row>
        <row r="7">
          <cell r="A7" t="str">
            <v>Q2</v>
          </cell>
        </row>
        <row r="8">
          <cell r="A8" t="str">
            <v>Q3</v>
          </cell>
        </row>
        <row r="9">
          <cell r="A9" t="str">
            <v>Q4</v>
          </cell>
        </row>
        <row r="10">
          <cell r="A10" t="str">
            <v>Q5</v>
          </cell>
        </row>
        <row r="11">
          <cell r="A11" t="str">
            <v>Q6</v>
          </cell>
        </row>
        <row r="12">
          <cell r="A12" t="str">
            <v>Q7</v>
          </cell>
        </row>
        <row r="13">
          <cell r="A13" t="str">
            <v>Q8</v>
          </cell>
        </row>
        <row r="14">
          <cell r="A14" t="str">
            <v>Q9</v>
          </cell>
        </row>
        <row r="15">
          <cell r="A15" t="str">
            <v>Q10</v>
          </cell>
        </row>
        <row r="16">
          <cell r="A16" t="str">
            <v>Q11</v>
          </cell>
        </row>
        <row r="17">
          <cell r="A17" t="str">
            <v>Q12</v>
          </cell>
        </row>
        <row r="18">
          <cell r="A18" t="str">
            <v>Q13</v>
          </cell>
        </row>
        <row r="19">
          <cell r="A19" t="str">
            <v>Q14</v>
          </cell>
        </row>
        <row r="20">
          <cell r="A20" t="str">
            <v>Q15</v>
          </cell>
        </row>
        <row r="21">
          <cell r="A21" t="str">
            <v>Q16</v>
          </cell>
        </row>
        <row r="22">
          <cell r="A22" t="str">
            <v>Assignment</v>
          </cell>
        </row>
        <row r="23">
          <cell r="A23" t="str">
            <v>FA1</v>
          </cell>
        </row>
        <row r="24">
          <cell r="A24" t="str">
            <v>FA2</v>
          </cell>
        </row>
      </sheetData>
      <sheetData sheetId="4"/>
      <sheetData sheetId="5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1c</v>
          </cell>
        </row>
        <row r="5">
          <cell r="A5" t="str">
            <v>1d</v>
          </cell>
        </row>
        <row r="6">
          <cell r="A6" t="str">
            <v>1e</v>
          </cell>
        </row>
        <row r="7">
          <cell r="A7" t="str">
            <v>Q2</v>
          </cell>
        </row>
        <row r="8">
          <cell r="A8" t="str">
            <v>Q3</v>
          </cell>
        </row>
        <row r="9">
          <cell r="A9" t="str">
            <v>Q4</v>
          </cell>
        </row>
        <row r="10">
          <cell r="A10" t="str">
            <v>Q5</v>
          </cell>
        </row>
        <row r="11">
          <cell r="A11" t="str">
            <v>Q6</v>
          </cell>
        </row>
        <row r="12">
          <cell r="A12" t="str">
            <v>Q7</v>
          </cell>
        </row>
        <row r="13">
          <cell r="A13" t="str">
            <v>Q8</v>
          </cell>
        </row>
        <row r="14">
          <cell r="A14" t="str">
            <v>Q9</v>
          </cell>
        </row>
        <row r="15">
          <cell r="A15" t="str">
            <v>Q10</v>
          </cell>
        </row>
        <row r="16">
          <cell r="A16" t="str">
            <v>Q11</v>
          </cell>
        </row>
        <row r="17">
          <cell r="A17" t="str">
            <v>Q12</v>
          </cell>
        </row>
        <row r="18">
          <cell r="A18" t="str">
            <v>Q13</v>
          </cell>
        </row>
        <row r="19">
          <cell r="A19" t="str">
            <v>Q14</v>
          </cell>
        </row>
        <row r="20">
          <cell r="A20" t="str">
            <v>Q15</v>
          </cell>
        </row>
        <row r="21">
          <cell r="A21" t="str">
            <v>Q16</v>
          </cell>
        </row>
        <row r="22">
          <cell r="A22" t="str">
            <v>Assignment</v>
          </cell>
        </row>
        <row r="23">
          <cell r="A23" t="str">
            <v>FA1</v>
          </cell>
        </row>
        <row r="24">
          <cell r="A24" t="str">
            <v>FA2</v>
          </cell>
        </row>
      </sheetData>
      <sheetData sheetId="6"/>
      <sheetData sheetId="7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1c</v>
          </cell>
        </row>
        <row r="5">
          <cell r="A5" t="str">
            <v>1d</v>
          </cell>
        </row>
        <row r="6">
          <cell r="A6" t="str">
            <v>1e</v>
          </cell>
        </row>
        <row r="7">
          <cell r="A7" t="str">
            <v>Q2</v>
          </cell>
        </row>
        <row r="8">
          <cell r="A8" t="str">
            <v>Q3</v>
          </cell>
        </row>
        <row r="9">
          <cell r="A9" t="str">
            <v>Q4</v>
          </cell>
        </row>
        <row r="10">
          <cell r="A10" t="str">
            <v>Q5</v>
          </cell>
        </row>
        <row r="11">
          <cell r="A11" t="str">
            <v>Q6</v>
          </cell>
        </row>
        <row r="12">
          <cell r="A12" t="str">
            <v>Q7</v>
          </cell>
        </row>
        <row r="13">
          <cell r="A13" t="str">
            <v>Q8</v>
          </cell>
        </row>
        <row r="14">
          <cell r="A14" t="str">
            <v>Q9</v>
          </cell>
        </row>
        <row r="15">
          <cell r="A15" t="str">
            <v>Q10</v>
          </cell>
        </row>
        <row r="16">
          <cell r="A16" t="str">
            <v>Q11</v>
          </cell>
        </row>
        <row r="17">
          <cell r="A17" t="str">
            <v>Q12</v>
          </cell>
        </row>
        <row r="18">
          <cell r="A18" t="str">
            <v>Q13</v>
          </cell>
        </row>
        <row r="19">
          <cell r="A19" t="str">
            <v>Q14</v>
          </cell>
        </row>
        <row r="20">
          <cell r="A20" t="str">
            <v>Q15</v>
          </cell>
        </row>
        <row r="21">
          <cell r="A21" t="str">
            <v>Q16</v>
          </cell>
        </row>
        <row r="22">
          <cell r="A22" t="str">
            <v>Assignment</v>
          </cell>
        </row>
        <row r="23">
          <cell r="A23" t="str">
            <v>FA1</v>
          </cell>
        </row>
        <row r="24">
          <cell r="A24" t="str">
            <v>FA2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A65C-456D-42EE-841C-F5A347A45114}">
  <dimension ref="A1:B12"/>
  <sheetViews>
    <sheetView workbookViewId="0">
      <selection activeCell="B18" sqref="B18"/>
    </sheetView>
  </sheetViews>
  <sheetFormatPr defaultRowHeight="15" x14ac:dyDescent="0.25"/>
  <cols>
    <col min="1" max="1" width="26.85546875" style="5" bestFit="1" customWidth="1"/>
    <col min="2" max="2" width="37" style="5" bestFit="1" customWidth="1"/>
    <col min="3" max="16384" width="9.140625" style="5"/>
  </cols>
  <sheetData>
    <row r="1" spans="1:2" ht="15.75" thickBot="1" x14ac:dyDescent="0.3">
      <c r="A1" s="4" t="s">
        <v>0</v>
      </c>
      <c r="B1" s="1" t="s">
        <v>1</v>
      </c>
    </row>
    <row r="2" spans="1:2" ht="15.75" thickBot="1" x14ac:dyDescent="0.3">
      <c r="A2" s="6" t="s">
        <v>2</v>
      </c>
      <c r="B2" s="7">
        <v>60</v>
      </c>
    </row>
    <row r="3" spans="1:2" ht="15.75" thickBot="1" x14ac:dyDescent="0.3">
      <c r="A3" s="8"/>
      <c r="B3" s="8"/>
    </row>
    <row r="4" spans="1:2" ht="15.75" thickBot="1" x14ac:dyDescent="0.3">
      <c r="A4" s="9"/>
      <c r="B4" s="9"/>
    </row>
    <row r="5" spans="1:2" ht="15.75" thickBot="1" x14ac:dyDescent="0.3">
      <c r="A5" s="6" t="s">
        <v>3</v>
      </c>
      <c r="B5" s="10" t="s">
        <v>4</v>
      </c>
    </row>
    <row r="6" spans="1:2" ht="15.75" thickBot="1" x14ac:dyDescent="0.3">
      <c r="A6" s="6" t="s">
        <v>5</v>
      </c>
      <c r="B6" s="11">
        <v>0.4</v>
      </c>
    </row>
    <row r="7" spans="1:2" ht="15.75" thickBot="1" x14ac:dyDescent="0.3">
      <c r="A7" s="6" t="s">
        <v>6</v>
      </c>
      <c r="B7" s="11">
        <v>0.6</v>
      </c>
    </row>
    <row r="8" spans="1:2" ht="15.75" thickBot="1" x14ac:dyDescent="0.3">
      <c r="A8" s="9"/>
      <c r="B8" s="9"/>
    </row>
    <row r="9" spans="1:2" ht="15.75" thickBot="1" x14ac:dyDescent="0.3">
      <c r="A9" s="6" t="s">
        <v>0</v>
      </c>
      <c r="B9" s="2" t="s">
        <v>7</v>
      </c>
    </row>
    <row r="10" spans="1:2" ht="15.75" thickBot="1" x14ac:dyDescent="0.3">
      <c r="A10" s="12">
        <v>3</v>
      </c>
      <c r="B10" s="11">
        <v>0.8</v>
      </c>
    </row>
    <row r="11" spans="1:2" ht="15.75" thickBot="1" x14ac:dyDescent="0.3">
      <c r="A11" s="12">
        <v>2</v>
      </c>
      <c r="B11" s="11">
        <v>0.7</v>
      </c>
    </row>
    <row r="12" spans="1:2" ht="15.75" thickBot="1" x14ac:dyDescent="0.3">
      <c r="A12" s="12">
        <v>1</v>
      </c>
      <c r="B12" s="11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A6D-A731-4491-BED9-7DC5085D106F}">
  <dimension ref="A1:H24"/>
  <sheetViews>
    <sheetView workbookViewId="0">
      <selection activeCell="G37" sqref="G37"/>
    </sheetView>
  </sheetViews>
  <sheetFormatPr defaultRowHeight="15" x14ac:dyDescent="0.25"/>
  <sheetData>
    <row r="1" spans="1:8" x14ac:dyDescent="0.25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4" t="s">
        <v>14</v>
      </c>
      <c r="H1" s="14" t="s">
        <v>15</v>
      </c>
    </row>
    <row r="2" spans="1:8" x14ac:dyDescent="0.25">
      <c r="A2" s="13" t="s">
        <v>16</v>
      </c>
      <c r="B2" s="15">
        <v>1</v>
      </c>
      <c r="C2" s="13" t="b">
        <v>1</v>
      </c>
      <c r="D2" s="13" t="b">
        <v>1</v>
      </c>
      <c r="E2" s="13" t="b">
        <v>0</v>
      </c>
      <c r="F2" s="16" t="b">
        <v>0</v>
      </c>
      <c r="G2" s="16" t="b">
        <v>0</v>
      </c>
      <c r="H2" s="16" t="b">
        <v>0</v>
      </c>
    </row>
    <row r="3" spans="1:8" x14ac:dyDescent="0.25">
      <c r="A3" s="13" t="s">
        <v>17</v>
      </c>
      <c r="B3" s="15">
        <v>1</v>
      </c>
      <c r="C3" s="13" t="b">
        <v>1</v>
      </c>
      <c r="D3" s="13" t="b">
        <v>1</v>
      </c>
      <c r="E3" s="13" t="b">
        <v>0</v>
      </c>
      <c r="F3" s="16" t="b">
        <v>0</v>
      </c>
      <c r="G3" s="16" t="b">
        <v>0</v>
      </c>
      <c r="H3" s="16" t="b">
        <v>0</v>
      </c>
    </row>
    <row r="4" spans="1:8" x14ac:dyDescent="0.25">
      <c r="A4" s="13" t="s">
        <v>18</v>
      </c>
      <c r="B4" s="15">
        <v>1</v>
      </c>
      <c r="C4" s="13" t="b">
        <v>1</v>
      </c>
      <c r="D4" s="13" t="b">
        <v>1</v>
      </c>
      <c r="E4" s="13" t="b">
        <v>0</v>
      </c>
      <c r="F4" s="16" t="b">
        <v>0</v>
      </c>
      <c r="G4" s="16" t="b">
        <v>0</v>
      </c>
      <c r="H4" s="16" t="b">
        <v>0</v>
      </c>
    </row>
    <row r="5" spans="1:8" x14ac:dyDescent="0.25">
      <c r="A5" s="13" t="s">
        <v>19</v>
      </c>
      <c r="B5" s="15">
        <v>1</v>
      </c>
      <c r="C5" s="13" t="b">
        <v>1</v>
      </c>
      <c r="D5" s="13" t="b">
        <v>1</v>
      </c>
      <c r="E5" s="13" t="b">
        <v>0</v>
      </c>
      <c r="F5" s="16" t="b">
        <v>0</v>
      </c>
      <c r="G5" s="16" t="b">
        <v>0</v>
      </c>
      <c r="H5" s="16" t="b">
        <v>0</v>
      </c>
    </row>
    <row r="6" spans="1:8" x14ac:dyDescent="0.25">
      <c r="A6" s="13" t="s">
        <v>20</v>
      </c>
      <c r="B6" s="15">
        <v>1</v>
      </c>
      <c r="C6" s="13" t="b">
        <v>1</v>
      </c>
      <c r="D6" s="13" t="b">
        <v>1</v>
      </c>
      <c r="E6" s="13" t="b">
        <v>0</v>
      </c>
      <c r="F6" s="16" t="b">
        <v>0</v>
      </c>
      <c r="G6" s="16" t="b">
        <v>0</v>
      </c>
      <c r="H6" s="16" t="b">
        <v>0</v>
      </c>
    </row>
    <row r="7" spans="1:8" x14ac:dyDescent="0.25">
      <c r="A7" s="13" t="s">
        <v>21</v>
      </c>
      <c r="B7" s="15">
        <v>2</v>
      </c>
      <c r="C7" s="13" t="b">
        <v>1</v>
      </c>
      <c r="D7" s="13" t="b">
        <v>0</v>
      </c>
      <c r="E7" s="13" t="b">
        <v>0</v>
      </c>
      <c r="F7" s="16" t="b">
        <v>0</v>
      </c>
      <c r="G7" s="16" t="b">
        <v>0</v>
      </c>
      <c r="H7" s="16" t="b">
        <v>0</v>
      </c>
    </row>
    <row r="8" spans="1:8" x14ac:dyDescent="0.25">
      <c r="A8" s="13" t="s">
        <v>22</v>
      </c>
      <c r="B8" s="15">
        <v>2</v>
      </c>
      <c r="C8" s="13" t="b">
        <v>1</v>
      </c>
      <c r="D8" s="13" t="b">
        <v>0</v>
      </c>
      <c r="E8" s="13" t="b">
        <v>0</v>
      </c>
      <c r="F8" s="16" t="b">
        <v>0</v>
      </c>
      <c r="G8" s="16" t="b">
        <v>0</v>
      </c>
      <c r="H8" s="16" t="b">
        <v>0</v>
      </c>
    </row>
    <row r="9" spans="1:8" x14ac:dyDescent="0.25">
      <c r="A9" s="13" t="s">
        <v>23</v>
      </c>
      <c r="B9" s="15">
        <v>2</v>
      </c>
      <c r="C9" s="13" t="b">
        <v>1</v>
      </c>
      <c r="D9" s="13" t="b">
        <v>0</v>
      </c>
      <c r="E9" s="13" t="b">
        <v>0</v>
      </c>
      <c r="F9" s="16" t="b">
        <v>0</v>
      </c>
      <c r="G9" s="16" t="b">
        <v>0</v>
      </c>
      <c r="H9" s="16" t="b">
        <v>0</v>
      </c>
    </row>
    <row r="10" spans="1:8" x14ac:dyDescent="0.25">
      <c r="A10" s="13" t="s">
        <v>24</v>
      </c>
      <c r="B10" s="15">
        <v>2</v>
      </c>
      <c r="C10" s="13" t="b">
        <v>0</v>
      </c>
      <c r="D10" s="13" t="b">
        <v>1</v>
      </c>
      <c r="E10" s="13" t="b">
        <v>0</v>
      </c>
      <c r="F10" s="16" t="b">
        <v>0</v>
      </c>
      <c r="G10" s="16" t="b">
        <v>0</v>
      </c>
      <c r="H10" s="16" t="b">
        <v>0</v>
      </c>
    </row>
    <row r="11" spans="1:8" x14ac:dyDescent="0.25">
      <c r="A11" s="13" t="s">
        <v>25</v>
      </c>
      <c r="B11" s="15">
        <v>2</v>
      </c>
      <c r="C11" s="13" t="b">
        <v>1</v>
      </c>
      <c r="D11" s="13" t="b">
        <v>0</v>
      </c>
      <c r="E11" s="13" t="b">
        <v>0</v>
      </c>
      <c r="F11" s="16" t="b">
        <v>0</v>
      </c>
      <c r="G11" s="16" t="b">
        <v>0</v>
      </c>
      <c r="H11" s="16" t="b">
        <v>0</v>
      </c>
    </row>
    <row r="12" spans="1:8" x14ac:dyDescent="0.25">
      <c r="A12" s="13" t="s">
        <v>26</v>
      </c>
      <c r="B12" s="15">
        <v>2</v>
      </c>
      <c r="C12" s="13" t="b">
        <v>0</v>
      </c>
      <c r="D12" s="13" t="b">
        <v>1</v>
      </c>
      <c r="E12" s="13" t="b">
        <v>0</v>
      </c>
      <c r="F12" s="16" t="b">
        <v>0</v>
      </c>
      <c r="G12" s="16" t="b">
        <v>0</v>
      </c>
      <c r="H12" s="16" t="b">
        <v>0</v>
      </c>
    </row>
    <row r="13" spans="1:8" x14ac:dyDescent="0.25">
      <c r="A13" s="13" t="s">
        <v>27</v>
      </c>
      <c r="B13" s="15">
        <v>5</v>
      </c>
      <c r="C13" s="13" t="b">
        <v>0</v>
      </c>
      <c r="D13" s="13" t="b">
        <v>0</v>
      </c>
      <c r="E13" s="13" t="b">
        <v>1</v>
      </c>
      <c r="F13" s="16" t="b">
        <v>0</v>
      </c>
      <c r="G13" s="16" t="b">
        <v>0</v>
      </c>
      <c r="H13" s="16" t="b">
        <v>0</v>
      </c>
    </row>
    <row r="14" spans="1:8" x14ac:dyDescent="0.25">
      <c r="A14" s="13" t="s">
        <v>28</v>
      </c>
      <c r="B14" s="15">
        <v>5</v>
      </c>
      <c r="C14" s="13" t="b">
        <v>1</v>
      </c>
      <c r="D14" s="13" t="b">
        <v>0</v>
      </c>
      <c r="E14" s="13" t="b">
        <v>0</v>
      </c>
      <c r="F14" s="16" t="b">
        <v>0</v>
      </c>
      <c r="G14" s="16" t="b">
        <v>0</v>
      </c>
      <c r="H14" s="16" t="b">
        <v>0</v>
      </c>
    </row>
    <row r="15" spans="1:8" x14ac:dyDescent="0.25">
      <c r="A15" s="13" t="s">
        <v>29</v>
      </c>
      <c r="B15" s="15">
        <v>5</v>
      </c>
      <c r="C15" s="13" t="b">
        <v>1</v>
      </c>
      <c r="D15" s="13" t="b">
        <v>0</v>
      </c>
      <c r="E15" s="13" t="b">
        <v>0</v>
      </c>
      <c r="F15" s="16" t="b">
        <v>0</v>
      </c>
      <c r="G15" s="16" t="b">
        <v>0</v>
      </c>
      <c r="H15" s="16" t="b">
        <v>0</v>
      </c>
    </row>
    <row r="16" spans="1:8" x14ac:dyDescent="0.25">
      <c r="A16" s="13" t="s">
        <v>30</v>
      </c>
      <c r="B16" s="15">
        <v>5</v>
      </c>
      <c r="C16" s="13" t="b">
        <v>0</v>
      </c>
      <c r="D16" s="13" t="b">
        <v>1</v>
      </c>
      <c r="E16" s="13" t="b">
        <v>0</v>
      </c>
      <c r="F16" s="16" t="b">
        <v>0</v>
      </c>
      <c r="G16" s="16" t="b">
        <v>0</v>
      </c>
      <c r="H16" s="16" t="b">
        <v>0</v>
      </c>
    </row>
    <row r="17" spans="1:8" x14ac:dyDescent="0.25">
      <c r="A17" s="13" t="s">
        <v>31</v>
      </c>
      <c r="B17" s="15">
        <v>10</v>
      </c>
      <c r="C17" s="13" t="b">
        <v>0</v>
      </c>
      <c r="D17" s="13" t="b">
        <v>0</v>
      </c>
      <c r="E17" s="13" t="b">
        <v>1</v>
      </c>
      <c r="F17" s="16" t="b">
        <v>0</v>
      </c>
      <c r="G17" s="16" t="b">
        <v>0</v>
      </c>
      <c r="H17" s="16" t="b">
        <v>0</v>
      </c>
    </row>
    <row r="18" spans="1:8" x14ac:dyDescent="0.25">
      <c r="A18" s="13" t="s">
        <v>32</v>
      </c>
      <c r="B18" s="15">
        <v>10</v>
      </c>
      <c r="C18" s="13" t="b">
        <v>0</v>
      </c>
      <c r="D18" s="13" t="b">
        <v>1</v>
      </c>
      <c r="E18" s="13" t="b">
        <v>0</v>
      </c>
      <c r="F18" s="16" t="b">
        <v>0</v>
      </c>
      <c r="G18" s="16" t="b">
        <v>0</v>
      </c>
      <c r="H18" s="16" t="b">
        <v>0</v>
      </c>
    </row>
    <row r="19" spans="1:8" x14ac:dyDescent="0.25">
      <c r="A19" s="13" t="s">
        <v>33</v>
      </c>
      <c r="B19" s="15">
        <v>0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 x14ac:dyDescent="0.25">
      <c r="A20" s="13" t="s">
        <v>34</v>
      </c>
      <c r="B20" s="15">
        <v>0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 x14ac:dyDescent="0.25">
      <c r="A21" s="13" t="s">
        <v>35</v>
      </c>
      <c r="B21" s="15">
        <v>0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 x14ac:dyDescent="0.25">
      <c r="A22" s="13" t="s">
        <v>36</v>
      </c>
      <c r="B22" s="15">
        <v>10</v>
      </c>
      <c r="C22" s="16" t="b">
        <v>1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 x14ac:dyDescent="0.25">
      <c r="A23" s="13" t="s">
        <v>37</v>
      </c>
      <c r="B23" s="15">
        <v>0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 x14ac:dyDescent="0.25">
      <c r="A24" s="13" t="s">
        <v>38</v>
      </c>
      <c r="B24" s="15">
        <v>0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5BF5-5BE5-4D5C-ABCB-5EE01C4D804C}">
  <dimension ref="A1:AD12"/>
  <sheetViews>
    <sheetView workbookViewId="0">
      <selection activeCell="C10" sqref="C10"/>
    </sheetView>
  </sheetViews>
  <sheetFormatPr defaultRowHeight="15" x14ac:dyDescent="0.25"/>
  <cols>
    <col min="1" max="1" width="5.5703125" bestFit="1" customWidth="1"/>
    <col min="2" max="2" width="23.28515625" bestFit="1" customWidth="1"/>
    <col min="3" max="3" width="27.140625" bestFit="1" customWidth="1"/>
    <col min="4" max="4" width="12" bestFit="1" customWidth="1"/>
    <col min="5" max="5" width="22.28515625" bestFit="1" customWidth="1"/>
    <col min="6" max="7" width="3.140625" bestFit="1" customWidth="1"/>
    <col min="8" max="8" width="3" bestFit="1" customWidth="1"/>
    <col min="9" max="9" width="3.140625" bestFit="1" customWidth="1"/>
    <col min="10" max="10" width="3" bestFit="1" customWidth="1"/>
    <col min="11" max="18" width="3.42578125" bestFit="1" customWidth="1"/>
    <col min="19" max="25" width="4.42578125" bestFit="1" customWidth="1"/>
    <col min="26" max="26" width="11.28515625" bestFit="1" customWidth="1"/>
    <col min="27" max="28" width="4.140625" bestFit="1" customWidth="1"/>
    <col min="29" max="29" width="11.28515625" bestFit="1" customWidth="1"/>
    <col min="30" max="30" width="10.5703125" bestFit="1" customWidth="1"/>
  </cols>
  <sheetData>
    <row r="1" spans="1:30" x14ac:dyDescent="0.25">
      <c r="A1" s="17" t="s">
        <v>39</v>
      </c>
      <c r="B1" s="17" t="s">
        <v>40</v>
      </c>
      <c r="C1" s="17" t="s">
        <v>41</v>
      </c>
      <c r="D1" s="17" t="s">
        <v>42</v>
      </c>
      <c r="E1" s="17" t="s">
        <v>43</v>
      </c>
      <c r="F1" s="17" t="str">
        <f t="array" ref="F1:AB1">TRANSPOSE('[1]ST1 Question Map'!A2:A24)</f>
        <v>1a</v>
      </c>
      <c r="G1" s="17" t="str">
        <v>1b</v>
      </c>
      <c r="H1" s="17" t="str">
        <v>1c</v>
      </c>
      <c r="I1" s="17" t="str">
        <v>1d</v>
      </c>
      <c r="J1" s="17" t="str">
        <v>1e</v>
      </c>
      <c r="K1" s="17" t="str">
        <v>Q2</v>
      </c>
      <c r="L1" s="17" t="str">
        <v>Q3</v>
      </c>
      <c r="M1" s="17" t="str">
        <v>Q4</v>
      </c>
      <c r="N1" s="17" t="str">
        <v>Q5</v>
      </c>
      <c r="O1" s="17" t="str">
        <v>Q6</v>
      </c>
      <c r="P1" s="17" t="str">
        <v>Q7</v>
      </c>
      <c r="Q1" s="17" t="str">
        <v>Q8</v>
      </c>
      <c r="R1" s="17" t="str">
        <v>Q9</v>
      </c>
      <c r="S1" s="17" t="str">
        <v>Q10</v>
      </c>
      <c r="T1" s="17" t="str">
        <v>Q11</v>
      </c>
      <c r="U1" s="17" t="str">
        <v>Q12</v>
      </c>
      <c r="V1" s="17" t="str">
        <v>Q13</v>
      </c>
      <c r="W1" s="17" t="str">
        <v>Q14</v>
      </c>
      <c r="X1" s="17" t="str">
        <v>Q15</v>
      </c>
      <c r="Y1" s="17" t="str">
        <v>Q16</v>
      </c>
      <c r="Z1" s="17" t="str">
        <v>Assignment</v>
      </c>
      <c r="AA1" s="17" t="str">
        <v>FA1</v>
      </c>
      <c r="AB1" s="17" t="str">
        <v>FA2</v>
      </c>
      <c r="AC1" s="17" t="s">
        <v>44</v>
      </c>
      <c r="AD1" s="17" t="s">
        <v>45</v>
      </c>
    </row>
    <row r="2" spans="1:30" x14ac:dyDescent="0.25">
      <c r="A2" s="18">
        <v>1</v>
      </c>
      <c r="B2" s="18">
        <v>2010990089</v>
      </c>
      <c r="C2" s="18" t="s">
        <v>46</v>
      </c>
      <c r="D2" s="18" t="s">
        <v>47</v>
      </c>
      <c r="E2" s="18" t="s">
        <v>48</v>
      </c>
      <c r="F2" s="18">
        <v>1</v>
      </c>
      <c r="G2" s="18">
        <v>1</v>
      </c>
      <c r="H2" s="18">
        <v>0</v>
      </c>
      <c r="I2" s="18">
        <v>0</v>
      </c>
      <c r="J2" s="18">
        <v>1</v>
      </c>
      <c r="K2" s="18">
        <v>0</v>
      </c>
      <c r="L2" s="18">
        <v>0</v>
      </c>
      <c r="M2" s="18">
        <v>0</v>
      </c>
      <c r="N2" s="18">
        <v>1</v>
      </c>
      <c r="O2" s="18">
        <v>0</v>
      </c>
      <c r="P2" s="18" t="s">
        <v>49</v>
      </c>
      <c r="Q2" s="18">
        <v>0</v>
      </c>
      <c r="R2" s="18">
        <v>1</v>
      </c>
      <c r="S2" s="18">
        <v>0</v>
      </c>
      <c r="T2" s="18" t="s">
        <v>49</v>
      </c>
      <c r="U2" s="18">
        <v>0</v>
      </c>
      <c r="V2" s="18">
        <v>0</v>
      </c>
      <c r="W2" s="18" t="s">
        <v>49</v>
      </c>
      <c r="X2" s="18" t="s">
        <v>49</v>
      </c>
      <c r="Y2" s="18" t="s">
        <v>49</v>
      </c>
      <c r="Z2" s="18">
        <v>6</v>
      </c>
      <c r="AA2" s="18" t="s">
        <v>49</v>
      </c>
      <c r="AB2" s="18" t="s">
        <v>49</v>
      </c>
      <c r="AC2" s="18">
        <f t="shared" ref="AC2:AC12" si="0">SUM(F2:Z2)</f>
        <v>11</v>
      </c>
      <c r="AD2" s="18">
        <v>50</v>
      </c>
    </row>
    <row r="3" spans="1:30" x14ac:dyDescent="0.25">
      <c r="A3" s="18">
        <v>2</v>
      </c>
      <c r="B3" s="18">
        <v>2010992002</v>
      </c>
      <c r="C3" s="18" t="s">
        <v>50</v>
      </c>
      <c r="D3" s="18" t="s">
        <v>47</v>
      </c>
      <c r="E3" s="18" t="s">
        <v>48</v>
      </c>
      <c r="F3" s="18">
        <v>0</v>
      </c>
      <c r="G3" s="18">
        <v>0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2</v>
      </c>
      <c r="Q3" s="18">
        <v>4</v>
      </c>
      <c r="R3" s="18">
        <v>4</v>
      </c>
      <c r="S3" s="18">
        <v>3</v>
      </c>
      <c r="T3" s="18" t="s">
        <v>49</v>
      </c>
      <c r="U3" s="18">
        <v>5</v>
      </c>
      <c r="V3" s="18">
        <v>6</v>
      </c>
      <c r="W3" s="18" t="s">
        <v>49</v>
      </c>
      <c r="X3" s="18" t="s">
        <v>49</v>
      </c>
      <c r="Y3" s="18" t="s">
        <v>49</v>
      </c>
      <c r="Z3" s="18">
        <v>8</v>
      </c>
      <c r="AA3" s="18" t="s">
        <v>49</v>
      </c>
      <c r="AB3" s="18" t="s">
        <v>49</v>
      </c>
      <c r="AC3" s="18">
        <f t="shared" si="0"/>
        <v>40</v>
      </c>
      <c r="AD3" s="18">
        <v>50</v>
      </c>
    </row>
    <row r="4" spans="1:30" x14ac:dyDescent="0.25">
      <c r="A4" s="18">
        <v>3</v>
      </c>
      <c r="B4" s="18">
        <v>2010992006</v>
      </c>
      <c r="C4" s="18" t="s">
        <v>51</v>
      </c>
      <c r="D4" s="18" t="s">
        <v>47</v>
      </c>
      <c r="E4" s="18" t="s">
        <v>48</v>
      </c>
      <c r="F4" s="18" t="s">
        <v>49</v>
      </c>
      <c r="G4" s="18" t="s">
        <v>49</v>
      </c>
      <c r="H4" s="18" t="s">
        <v>49</v>
      </c>
      <c r="I4" s="18" t="s">
        <v>49</v>
      </c>
      <c r="J4" s="18" t="s">
        <v>49</v>
      </c>
      <c r="K4" s="18" t="s">
        <v>49</v>
      </c>
      <c r="L4" s="18" t="s">
        <v>49</v>
      </c>
      <c r="M4" s="18" t="s">
        <v>49</v>
      </c>
      <c r="N4" s="18" t="s">
        <v>49</v>
      </c>
      <c r="O4" s="18" t="s">
        <v>49</v>
      </c>
      <c r="P4" s="18" t="s">
        <v>49</v>
      </c>
      <c r="Q4" s="18" t="s">
        <v>49</v>
      </c>
      <c r="R4" s="18" t="s">
        <v>49</v>
      </c>
      <c r="S4" s="18" t="s">
        <v>49</v>
      </c>
      <c r="T4" s="18" t="s">
        <v>49</v>
      </c>
      <c r="U4" s="18" t="s">
        <v>49</v>
      </c>
      <c r="V4" s="18" t="s">
        <v>49</v>
      </c>
      <c r="W4" s="18" t="s">
        <v>49</v>
      </c>
      <c r="X4" s="18" t="s">
        <v>49</v>
      </c>
      <c r="Y4" s="18" t="s">
        <v>49</v>
      </c>
      <c r="Z4" s="18" t="s">
        <v>49</v>
      </c>
      <c r="AA4" s="18" t="s">
        <v>49</v>
      </c>
      <c r="AB4" s="18" t="s">
        <v>49</v>
      </c>
      <c r="AC4" s="18">
        <f t="shared" si="0"/>
        <v>0</v>
      </c>
      <c r="AD4" s="18">
        <v>50</v>
      </c>
    </row>
    <row r="5" spans="1:30" x14ac:dyDescent="0.25">
      <c r="A5" s="18">
        <v>4</v>
      </c>
      <c r="B5" s="18">
        <v>2010992008</v>
      </c>
      <c r="C5" s="18" t="s">
        <v>52</v>
      </c>
      <c r="D5" s="18" t="s">
        <v>47</v>
      </c>
      <c r="E5" s="18" t="s">
        <v>48</v>
      </c>
      <c r="F5" s="18" t="s">
        <v>49</v>
      </c>
      <c r="G5" s="18" t="s">
        <v>49</v>
      </c>
      <c r="H5" s="18" t="s">
        <v>49</v>
      </c>
      <c r="I5" s="18" t="s">
        <v>49</v>
      </c>
      <c r="J5" s="18" t="s">
        <v>49</v>
      </c>
      <c r="K5" s="18" t="s">
        <v>49</v>
      </c>
      <c r="L5" s="18" t="s">
        <v>49</v>
      </c>
      <c r="M5" s="18" t="s">
        <v>49</v>
      </c>
      <c r="N5" s="18" t="s">
        <v>49</v>
      </c>
      <c r="O5" s="18" t="s">
        <v>49</v>
      </c>
      <c r="P5" s="18" t="s">
        <v>49</v>
      </c>
      <c r="Q5" s="18" t="s">
        <v>49</v>
      </c>
      <c r="R5" s="18" t="s">
        <v>49</v>
      </c>
      <c r="S5" s="18" t="s">
        <v>49</v>
      </c>
      <c r="T5" s="18" t="s">
        <v>49</v>
      </c>
      <c r="U5" s="18" t="s">
        <v>49</v>
      </c>
      <c r="V5" s="18" t="s">
        <v>49</v>
      </c>
      <c r="W5" s="18" t="s">
        <v>49</v>
      </c>
      <c r="X5" s="18" t="s">
        <v>49</v>
      </c>
      <c r="Y5" s="18" t="s">
        <v>49</v>
      </c>
      <c r="Z5" s="18">
        <v>7</v>
      </c>
      <c r="AA5" s="18" t="s">
        <v>49</v>
      </c>
      <c r="AB5" s="18" t="s">
        <v>49</v>
      </c>
      <c r="AC5" s="18">
        <f t="shared" si="0"/>
        <v>7</v>
      </c>
      <c r="AD5" s="18">
        <v>50</v>
      </c>
    </row>
    <row r="6" spans="1:30" x14ac:dyDescent="0.25">
      <c r="A6" s="18">
        <v>5</v>
      </c>
      <c r="B6" s="18">
        <v>2010992009</v>
      </c>
      <c r="C6" s="18" t="s">
        <v>53</v>
      </c>
      <c r="D6" s="18" t="s">
        <v>47</v>
      </c>
      <c r="E6" s="18" t="s">
        <v>48</v>
      </c>
      <c r="F6" s="18">
        <v>0</v>
      </c>
      <c r="G6" s="18">
        <v>0</v>
      </c>
      <c r="H6" s="18">
        <v>1</v>
      </c>
      <c r="I6" s="18">
        <v>1</v>
      </c>
      <c r="J6" s="18">
        <v>1</v>
      </c>
      <c r="K6" s="18">
        <v>2</v>
      </c>
      <c r="L6" s="18">
        <v>1</v>
      </c>
      <c r="M6" s="18" t="s">
        <v>49</v>
      </c>
      <c r="N6" s="18">
        <v>1</v>
      </c>
      <c r="O6" s="18" t="s">
        <v>49</v>
      </c>
      <c r="P6" s="18">
        <v>2</v>
      </c>
      <c r="Q6" s="18">
        <v>3</v>
      </c>
      <c r="R6" s="18">
        <v>4</v>
      </c>
      <c r="S6" s="18">
        <v>3</v>
      </c>
      <c r="T6" s="18" t="s">
        <v>49</v>
      </c>
      <c r="U6" s="18">
        <v>3</v>
      </c>
      <c r="V6" s="18">
        <v>7</v>
      </c>
      <c r="W6" s="18" t="s">
        <v>49</v>
      </c>
      <c r="X6" s="18" t="s">
        <v>49</v>
      </c>
      <c r="Y6" s="18" t="s">
        <v>49</v>
      </c>
      <c r="Z6" s="18">
        <v>8</v>
      </c>
      <c r="AA6" s="18" t="s">
        <v>49</v>
      </c>
      <c r="AB6" s="18" t="s">
        <v>49</v>
      </c>
      <c r="AC6" s="18">
        <f t="shared" si="0"/>
        <v>37</v>
      </c>
      <c r="AD6" s="18">
        <v>50</v>
      </c>
    </row>
    <row r="7" spans="1:30" x14ac:dyDescent="0.25">
      <c r="A7" s="18">
        <v>6</v>
      </c>
      <c r="B7" s="18">
        <v>2010992011</v>
      </c>
      <c r="C7" s="18" t="s">
        <v>54</v>
      </c>
      <c r="D7" s="18" t="s">
        <v>47</v>
      </c>
      <c r="E7" s="18" t="s">
        <v>48</v>
      </c>
      <c r="F7" s="18">
        <v>1</v>
      </c>
      <c r="G7" s="18">
        <v>1</v>
      </c>
      <c r="H7" s="18">
        <v>1</v>
      </c>
      <c r="I7" s="18">
        <v>0</v>
      </c>
      <c r="J7" s="18">
        <v>1</v>
      </c>
      <c r="K7" s="18">
        <v>0</v>
      </c>
      <c r="L7" s="18">
        <v>0</v>
      </c>
      <c r="M7" s="18">
        <v>0</v>
      </c>
      <c r="N7" s="18">
        <v>1</v>
      </c>
      <c r="O7" s="18">
        <v>0</v>
      </c>
      <c r="P7" s="18" t="s">
        <v>49</v>
      </c>
      <c r="Q7" s="18">
        <v>0</v>
      </c>
      <c r="R7" s="18">
        <v>1</v>
      </c>
      <c r="S7" s="18">
        <v>4</v>
      </c>
      <c r="T7" s="18" t="s">
        <v>49</v>
      </c>
      <c r="U7" s="18">
        <v>0</v>
      </c>
      <c r="V7" s="18">
        <v>2</v>
      </c>
      <c r="W7" s="18" t="s">
        <v>49</v>
      </c>
      <c r="X7" s="18" t="s">
        <v>49</v>
      </c>
      <c r="Y7" s="18" t="s">
        <v>49</v>
      </c>
      <c r="Z7" s="18">
        <v>7</v>
      </c>
      <c r="AA7" s="18" t="s">
        <v>49</v>
      </c>
      <c r="AB7" s="18" t="s">
        <v>49</v>
      </c>
      <c r="AC7" s="18">
        <f t="shared" si="0"/>
        <v>19</v>
      </c>
      <c r="AD7" s="18">
        <v>50</v>
      </c>
    </row>
    <row r="8" spans="1:30" x14ac:dyDescent="0.25">
      <c r="A8" s="18">
        <v>7</v>
      </c>
      <c r="B8" s="18">
        <v>2010992014</v>
      </c>
      <c r="C8" s="18" t="s">
        <v>55</v>
      </c>
      <c r="D8" s="18" t="s">
        <v>47</v>
      </c>
      <c r="E8" s="18" t="s">
        <v>48</v>
      </c>
      <c r="F8" s="18">
        <v>1</v>
      </c>
      <c r="G8" s="18">
        <v>1</v>
      </c>
      <c r="H8" s="18">
        <v>0</v>
      </c>
      <c r="I8" s="18">
        <v>0</v>
      </c>
      <c r="J8" s="18">
        <v>1</v>
      </c>
      <c r="K8" s="18">
        <v>0</v>
      </c>
      <c r="L8" s="18">
        <v>0</v>
      </c>
      <c r="M8" s="18">
        <v>0</v>
      </c>
      <c r="N8" s="18">
        <v>1</v>
      </c>
      <c r="O8" s="18">
        <v>0</v>
      </c>
      <c r="P8" s="18" t="s">
        <v>49</v>
      </c>
      <c r="Q8" s="18">
        <v>0</v>
      </c>
      <c r="R8" s="18">
        <v>1</v>
      </c>
      <c r="S8" s="18">
        <v>0</v>
      </c>
      <c r="T8" s="18" t="s">
        <v>49</v>
      </c>
      <c r="U8" s="18">
        <v>0</v>
      </c>
      <c r="V8" s="18">
        <v>0</v>
      </c>
      <c r="W8" s="18" t="s">
        <v>49</v>
      </c>
      <c r="X8" s="18" t="s">
        <v>49</v>
      </c>
      <c r="Y8" s="18" t="s">
        <v>49</v>
      </c>
      <c r="Z8" s="18">
        <v>6</v>
      </c>
      <c r="AA8" s="18" t="s">
        <v>49</v>
      </c>
      <c r="AB8" s="18" t="s">
        <v>49</v>
      </c>
      <c r="AC8" s="18">
        <f t="shared" si="0"/>
        <v>11</v>
      </c>
      <c r="AD8" s="18">
        <v>50</v>
      </c>
    </row>
    <row r="9" spans="1:30" x14ac:dyDescent="0.25">
      <c r="A9" s="18">
        <v>8</v>
      </c>
      <c r="B9" s="18">
        <v>2010992016</v>
      </c>
      <c r="C9" s="18" t="s">
        <v>56</v>
      </c>
      <c r="D9" s="18" t="s">
        <v>47</v>
      </c>
      <c r="E9" s="18" t="s">
        <v>48</v>
      </c>
      <c r="F9" s="18">
        <v>0</v>
      </c>
      <c r="G9" s="18">
        <v>0</v>
      </c>
      <c r="H9" s="18">
        <v>1</v>
      </c>
      <c r="I9" s="18">
        <v>1</v>
      </c>
      <c r="J9" s="18">
        <v>1</v>
      </c>
      <c r="K9" s="18">
        <v>2</v>
      </c>
      <c r="L9" s="18">
        <v>1</v>
      </c>
      <c r="M9" s="18" t="s">
        <v>49</v>
      </c>
      <c r="N9" s="18">
        <v>2</v>
      </c>
      <c r="O9" s="18" t="s">
        <v>49</v>
      </c>
      <c r="P9" s="18">
        <v>3</v>
      </c>
      <c r="Q9" s="18">
        <v>1</v>
      </c>
      <c r="R9" s="18">
        <v>4</v>
      </c>
      <c r="S9" s="18">
        <v>3</v>
      </c>
      <c r="T9" s="18" t="s">
        <v>49</v>
      </c>
      <c r="U9" s="18">
        <v>4</v>
      </c>
      <c r="V9" s="18">
        <v>4</v>
      </c>
      <c r="W9" s="18" t="s">
        <v>49</v>
      </c>
      <c r="X9" s="18" t="s">
        <v>49</v>
      </c>
      <c r="Y9" s="18" t="s">
        <v>49</v>
      </c>
      <c r="Z9" s="18">
        <v>10</v>
      </c>
      <c r="AA9" s="18" t="s">
        <v>49</v>
      </c>
      <c r="AB9" s="18" t="s">
        <v>49</v>
      </c>
      <c r="AC9" s="18">
        <f t="shared" si="0"/>
        <v>37</v>
      </c>
      <c r="AD9" s="18">
        <v>50</v>
      </c>
    </row>
    <row r="10" spans="1:30" x14ac:dyDescent="0.25">
      <c r="A10" s="18">
        <v>9</v>
      </c>
      <c r="B10" s="18">
        <v>2010992018</v>
      </c>
      <c r="C10" s="18" t="s">
        <v>57</v>
      </c>
      <c r="D10" s="18" t="s">
        <v>47</v>
      </c>
      <c r="E10" s="18" t="s">
        <v>48</v>
      </c>
      <c r="F10" s="18">
        <v>0</v>
      </c>
      <c r="G10" s="18">
        <v>0</v>
      </c>
      <c r="H10" s="18">
        <v>0</v>
      </c>
      <c r="I10" s="18">
        <v>1</v>
      </c>
      <c r="J10" s="18">
        <v>1</v>
      </c>
      <c r="K10" s="18">
        <v>0</v>
      </c>
      <c r="L10" s="18">
        <v>1</v>
      </c>
      <c r="M10" s="18" t="s">
        <v>49</v>
      </c>
      <c r="N10" s="18">
        <v>1</v>
      </c>
      <c r="O10" s="18" t="s">
        <v>49</v>
      </c>
      <c r="P10" s="18">
        <v>3</v>
      </c>
      <c r="Q10" s="18">
        <v>3</v>
      </c>
      <c r="R10" s="18">
        <v>1</v>
      </c>
      <c r="S10" s="18">
        <v>2</v>
      </c>
      <c r="T10" s="18" t="s">
        <v>49</v>
      </c>
      <c r="U10" s="18">
        <v>2</v>
      </c>
      <c r="V10" s="18">
        <v>5</v>
      </c>
      <c r="W10" s="18" t="s">
        <v>49</v>
      </c>
      <c r="X10" s="18" t="s">
        <v>49</v>
      </c>
      <c r="Y10" s="18" t="s">
        <v>49</v>
      </c>
      <c r="Z10" s="18">
        <v>7</v>
      </c>
      <c r="AA10" s="18" t="s">
        <v>49</v>
      </c>
      <c r="AB10" s="18" t="s">
        <v>49</v>
      </c>
      <c r="AC10" s="18">
        <f t="shared" si="0"/>
        <v>27</v>
      </c>
      <c r="AD10" s="18">
        <v>50</v>
      </c>
    </row>
    <row r="11" spans="1:30" x14ac:dyDescent="0.25">
      <c r="A11" s="18">
        <v>10</v>
      </c>
      <c r="B11" s="18">
        <v>2010992163</v>
      </c>
      <c r="C11" s="18" t="s">
        <v>58</v>
      </c>
      <c r="D11" s="18" t="s">
        <v>47</v>
      </c>
      <c r="E11" s="18" t="s">
        <v>48</v>
      </c>
      <c r="F11" s="18">
        <v>0</v>
      </c>
      <c r="G11" s="18">
        <v>0</v>
      </c>
      <c r="H11" s="18">
        <v>1</v>
      </c>
      <c r="I11" s="18">
        <v>1</v>
      </c>
      <c r="J11" s="18">
        <v>1</v>
      </c>
      <c r="K11" s="18">
        <v>2</v>
      </c>
      <c r="L11" s="18">
        <v>1</v>
      </c>
      <c r="M11" s="18" t="s">
        <v>49</v>
      </c>
      <c r="N11" s="18">
        <v>2</v>
      </c>
      <c r="O11" s="18" t="s">
        <v>49</v>
      </c>
      <c r="P11" s="18">
        <v>3</v>
      </c>
      <c r="Q11" s="18">
        <v>1</v>
      </c>
      <c r="R11" s="18">
        <v>4</v>
      </c>
      <c r="S11" s="18">
        <v>3</v>
      </c>
      <c r="T11" s="18" t="s">
        <v>49</v>
      </c>
      <c r="U11" s="18">
        <v>4</v>
      </c>
      <c r="V11" s="18">
        <v>4</v>
      </c>
      <c r="W11" s="18" t="s">
        <v>49</v>
      </c>
      <c r="X11" s="18" t="s">
        <v>49</v>
      </c>
      <c r="Y11" s="18" t="s">
        <v>49</v>
      </c>
      <c r="Z11" s="18">
        <v>10</v>
      </c>
      <c r="AA11" s="18" t="s">
        <v>49</v>
      </c>
      <c r="AB11" s="18" t="s">
        <v>49</v>
      </c>
      <c r="AC11" s="18">
        <f t="shared" si="0"/>
        <v>37</v>
      </c>
      <c r="AD11" s="18">
        <v>50</v>
      </c>
    </row>
    <row r="12" spans="1:30" x14ac:dyDescent="0.25">
      <c r="A12" s="18">
        <v>11</v>
      </c>
      <c r="B12" s="18">
        <v>2010992203</v>
      </c>
      <c r="C12" s="18" t="s">
        <v>59</v>
      </c>
      <c r="D12" s="18" t="s">
        <v>47</v>
      </c>
      <c r="E12" s="18" t="s">
        <v>48</v>
      </c>
      <c r="F12" s="18" t="s">
        <v>49</v>
      </c>
      <c r="G12" s="18" t="s">
        <v>49</v>
      </c>
      <c r="H12" s="18" t="s">
        <v>49</v>
      </c>
      <c r="I12" s="18" t="s">
        <v>49</v>
      </c>
      <c r="J12" s="18" t="s">
        <v>49</v>
      </c>
      <c r="K12" s="18" t="s">
        <v>49</v>
      </c>
      <c r="L12" s="18" t="s">
        <v>49</v>
      </c>
      <c r="M12" s="18" t="s">
        <v>49</v>
      </c>
      <c r="N12" s="18" t="s">
        <v>49</v>
      </c>
      <c r="O12" s="18" t="s">
        <v>49</v>
      </c>
      <c r="P12" s="18" t="s">
        <v>49</v>
      </c>
      <c r="Q12" s="18" t="s">
        <v>49</v>
      </c>
      <c r="R12" s="18" t="s">
        <v>49</v>
      </c>
      <c r="S12" s="18" t="s">
        <v>49</v>
      </c>
      <c r="T12" s="18" t="s">
        <v>49</v>
      </c>
      <c r="U12" s="18" t="s">
        <v>49</v>
      </c>
      <c r="V12" s="18" t="s">
        <v>49</v>
      </c>
      <c r="W12" s="18" t="s">
        <v>49</v>
      </c>
      <c r="X12" s="18" t="s">
        <v>49</v>
      </c>
      <c r="Y12" s="18" t="s">
        <v>49</v>
      </c>
      <c r="Z12" s="18">
        <v>0</v>
      </c>
      <c r="AA12" s="18" t="s">
        <v>49</v>
      </c>
      <c r="AB12" s="18" t="s">
        <v>49</v>
      </c>
      <c r="AC12" s="18">
        <f t="shared" si="0"/>
        <v>0</v>
      </c>
      <c r="AD12" s="1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7360-3620-4A06-81D8-42B603138710}">
  <dimension ref="A1:H24"/>
  <sheetViews>
    <sheetView workbookViewId="0">
      <selection sqref="A1:H24"/>
    </sheetView>
  </sheetViews>
  <sheetFormatPr defaultRowHeight="15" x14ac:dyDescent="0.25"/>
  <sheetData>
    <row r="1" spans="1:8" ht="15.75" thickBot="1" x14ac:dyDescent="0.3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</row>
    <row r="2" spans="1:8" ht="15.75" thickBot="1" x14ac:dyDescent="0.3">
      <c r="A2" s="13" t="s">
        <v>16</v>
      </c>
      <c r="B2" s="19">
        <v>1</v>
      </c>
      <c r="C2" s="13" t="b">
        <v>1</v>
      </c>
      <c r="D2" s="13" t="b">
        <v>1</v>
      </c>
      <c r="E2" s="13" t="b">
        <v>0</v>
      </c>
      <c r="F2" s="20" t="b">
        <v>0</v>
      </c>
      <c r="G2" s="21" t="b">
        <v>0</v>
      </c>
      <c r="H2" s="21" t="b">
        <v>0</v>
      </c>
    </row>
    <row r="3" spans="1:8" ht="15.75" thickBot="1" x14ac:dyDescent="0.3">
      <c r="A3" s="13" t="s">
        <v>17</v>
      </c>
      <c r="B3" s="3">
        <v>1</v>
      </c>
      <c r="C3" s="13" t="b">
        <v>1</v>
      </c>
      <c r="D3" s="13" t="b">
        <v>1</v>
      </c>
      <c r="E3" s="13" t="b">
        <v>0</v>
      </c>
      <c r="F3" s="20" t="b">
        <v>0</v>
      </c>
      <c r="G3" s="21" t="b">
        <v>0</v>
      </c>
      <c r="H3" s="21" t="b">
        <v>0</v>
      </c>
    </row>
    <row r="4" spans="1:8" ht="15.75" thickBot="1" x14ac:dyDescent="0.3">
      <c r="A4" s="13" t="s">
        <v>18</v>
      </c>
      <c r="B4" s="3">
        <v>1</v>
      </c>
      <c r="C4" s="13" t="b">
        <v>1</v>
      </c>
      <c r="D4" s="13" t="b">
        <v>1</v>
      </c>
      <c r="E4" s="13" t="b">
        <v>0</v>
      </c>
      <c r="F4" s="20" t="b">
        <v>0</v>
      </c>
      <c r="G4" s="21" t="b">
        <v>0</v>
      </c>
      <c r="H4" s="21" t="b">
        <v>0</v>
      </c>
    </row>
    <row r="5" spans="1:8" ht="15.75" thickBot="1" x14ac:dyDescent="0.3">
      <c r="A5" s="13" t="s">
        <v>19</v>
      </c>
      <c r="B5" s="3">
        <v>1</v>
      </c>
      <c r="C5" s="13" t="b">
        <v>1</v>
      </c>
      <c r="D5" s="13" t="b">
        <v>1</v>
      </c>
      <c r="E5" s="13" t="b">
        <v>0</v>
      </c>
      <c r="F5" s="20" t="b">
        <v>0</v>
      </c>
      <c r="G5" s="21" t="b">
        <v>0</v>
      </c>
      <c r="H5" s="21" t="b">
        <v>0</v>
      </c>
    </row>
    <row r="6" spans="1:8" ht="15.75" thickBot="1" x14ac:dyDescent="0.3">
      <c r="A6" s="13" t="s">
        <v>20</v>
      </c>
      <c r="B6" s="3">
        <v>1</v>
      </c>
      <c r="C6" s="13" t="b">
        <v>1</v>
      </c>
      <c r="D6" s="13" t="b">
        <v>1</v>
      </c>
      <c r="E6" s="13" t="b">
        <v>0</v>
      </c>
      <c r="F6" s="20" t="b">
        <v>0</v>
      </c>
      <c r="G6" s="21" t="b">
        <v>0</v>
      </c>
      <c r="H6" s="21" t="b">
        <v>0</v>
      </c>
    </row>
    <row r="7" spans="1:8" ht="15.75" thickBot="1" x14ac:dyDescent="0.3">
      <c r="A7" s="13" t="s">
        <v>21</v>
      </c>
      <c r="B7" s="3">
        <v>2</v>
      </c>
      <c r="C7" s="13" t="b">
        <v>1</v>
      </c>
      <c r="D7" s="13" t="b">
        <v>0</v>
      </c>
      <c r="E7" s="13" t="b">
        <v>0</v>
      </c>
      <c r="F7" s="20" t="b">
        <v>0</v>
      </c>
      <c r="G7" s="21" t="b">
        <v>0</v>
      </c>
      <c r="H7" s="21" t="b">
        <v>0</v>
      </c>
    </row>
    <row r="8" spans="1:8" ht="15.75" thickBot="1" x14ac:dyDescent="0.3">
      <c r="A8" s="13" t="s">
        <v>22</v>
      </c>
      <c r="B8" s="3">
        <v>2</v>
      </c>
      <c r="C8" s="13" t="b">
        <v>0</v>
      </c>
      <c r="D8" s="13" t="b">
        <v>1</v>
      </c>
      <c r="E8" s="13" t="b">
        <v>0</v>
      </c>
      <c r="F8" s="20" t="b">
        <v>0</v>
      </c>
      <c r="G8" s="21" t="b">
        <v>0</v>
      </c>
      <c r="H8" s="21" t="b">
        <v>0</v>
      </c>
    </row>
    <row r="9" spans="1:8" ht="15.75" thickBot="1" x14ac:dyDescent="0.3">
      <c r="A9" s="13" t="s">
        <v>23</v>
      </c>
      <c r="B9" s="3">
        <v>2</v>
      </c>
      <c r="C9" s="13" t="b">
        <v>0</v>
      </c>
      <c r="D9" s="13" t="b">
        <v>1</v>
      </c>
      <c r="E9" s="13" t="b">
        <v>0</v>
      </c>
      <c r="F9" s="20" t="b">
        <v>0</v>
      </c>
      <c r="G9" s="21" t="b">
        <v>0</v>
      </c>
      <c r="H9" s="21" t="b">
        <v>0</v>
      </c>
    </row>
    <row r="10" spans="1:8" ht="15.75" thickBot="1" x14ac:dyDescent="0.3">
      <c r="A10" s="13" t="s">
        <v>24</v>
      </c>
      <c r="B10" s="3">
        <v>2</v>
      </c>
      <c r="C10" s="13" t="b">
        <v>1</v>
      </c>
      <c r="D10" s="13" t="b">
        <v>0</v>
      </c>
      <c r="E10" s="13" t="b">
        <v>0</v>
      </c>
      <c r="F10" s="20" t="b">
        <v>0</v>
      </c>
      <c r="G10" s="21" t="b">
        <v>0</v>
      </c>
      <c r="H10" s="21" t="b">
        <v>0</v>
      </c>
    </row>
    <row r="11" spans="1:8" ht="15.75" thickBot="1" x14ac:dyDescent="0.3">
      <c r="A11" s="13" t="s">
        <v>25</v>
      </c>
      <c r="B11" s="3">
        <v>2</v>
      </c>
      <c r="C11" s="13" t="b">
        <v>1</v>
      </c>
      <c r="D11" s="13" t="b">
        <v>0</v>
      </c>
      <c r="E11" s="13" t="b">
        <v>0</v>
      </c>
      <c r="F11" s="20" t="b">
        <v>0</v>
      </c>
      <c r="G11" s="21" t="b">
        <v>0</v>
      </c>
      <c r="H11" s="21" t="b">
        <v>0</v>
      </c>
    </row>
    <row r="12" spans="1:8" ht="15.75" thickBot="1" x14ac:dyDescent="0.3">
      <c r="A12" s="13" t="s">
        <v>26</v>
      </c>
      <c r="B12" s="3">
        <v>2</v>
      </c>
      <c r="C12" s="13" t="b">
        <v>1</v>
      </c>
      <c r="D12" s="13" t="b">
        <v>0</v>
      </c>
      <c r="E12" s="13" t="b">
        <v>0</v>
      </c>
      <c r="F12" s="20" t="b">
        <v>0</v>
      </c>
      <c r="G12" s="21" t="b">
        <v>0</v>
      </c>
      <c r="H12" s="21" t="b">
        <v>0</v>
      </c>
    </row>
    <row r="13" spans="1:8" ht="15.75" thickBot="1" x14ac:dyDescent="0.3">
      <c r="A13" s="13" t="s">
        <v>27</v>
      </c>
      <c r="B13" s="3">
        <v>5</v>
      </c>
      <c r="C13" s="13" t="b">
        <v>0</v>
      </c>
      <c r="D13" s="13" t="b">
        <v>1</v>
      </c>
      <c r="E13" s="13" t="b">
        <v>0</v>
      </c>
      <c r="F13" s="20" t="b">
        <v>0</v>
      </c>
      <c r="G13" s="21" t="b">
        <v>0</v>
      </c>
      <c r="H13" s="21" t="b">
        <v>0</v>
      </c>
    </row>
    <row r="14" spans="1:8" ht="15.75" thickBot="1" x14ac:dyDescent="0.3">
      <c r="A14" s="13" t="s">
        <v>28</v>
      </c>
      <c r="B14" s="3">
        <v>5</v>
      </c>
      <c r="C14" s="13" t="b">
        <v>0</v>
      </c>
      <c r="D14" s="13" t="b">
        <v>1</v>
      </c>
      <c r="E14" s="13" t="b">
        <v>0</v>
      </c>
      <c r="F14" s="20" t="b">
        <v>0</v>
      </c>
      <c r="G14" s="21" t="b">
        <v>0</v>
      </c>
      <c r="H14" s="21" t="b">
        <v>0</v>
      </c>
    </row>
    <row r="15" spans="1:8" ht="15.75" thickBot="1" x14ac:dyDescent="0.3">
      <c r="A15" s="13" t="s">
        <v>29</v>
      </c>
      <c r="B15" s="3">
        <v>5</v>
      </c>
      <c r="C15" s="13" t="b">
        <v>0</v>
      </c>
      <c r="D15" s="13" t="b">
        <v>1</v>
      </c>
      <c r="E15" s="13" t="b">
        <v>0</v>
      </c>
      <c r="F15" s="20" t="b">
        <v>0</v>
      </c>
      <c r="G15" s="21" t="b">
        <v>0</v>
      </c>
      <c r="H15" s="21" t="b">
        <v>0</v>
      </c>
    </row>
    <row r="16" spans="1:8" ht="15.75" thickBot="1" x14ac:dyDescent="0.3">
      <c r="A16" s="13" t="s">
        <v>30</v>
      </c>
      <c r="B16" s="3">
        <v>5</v>
      </c>
      <c r="C16" s="13" t="b">
        <v>0</v>
      </c>
      <c r="D16" s="13" t="b">
        <v>0</v>
      </c>
      <c r="E16" s="13" t="b">
        <v>1</v>
      </c>
      <c r="F16" s="20" t="b">
        <v>0</v>
      </c>
      <c r="G16" s="21" t="b">
        <v>0</v>
      </c>
      <c r="H16" s="21" t="b">
        <v>0</v>
      </c>
    </row>
    <row r="17" spans="1:8" ht="15.75" thickBot="1" x14ac:dyDescent="0.3">
      <c r="A17" s="13" t="s">
        <v>31</v>
      </c>
      <c r="B17" s="3">
        <v>10</v>
      </c>
      <c r="C17" s="13" t="b">
        <v>0</v>
      </c>
      <c r="D17" s="13" t="b">
        <v>1</v>
      </c>
      <c r="E17" s="13" t="b">
        <v>0</v>
      </c>
      <c r="F17" s="20" t="b">
        <v>0</v>
      </c>
      <c r="G17" s="21" t="b">
        <v>0</v>
      </c>
      <c r="H17" s="21" t="b">
        <v>0</v>
      </c>
    </row>
    <row r="18" spans="1:8" ht="15.75" thickBot="1" x14ac:dyDescent="0.3">
      <c r="A18" s="13" t="s">
        <v>32</v>
      </c>
      <c r="B18" s="3">
        <v>10</v>
      </c>
      <c r="C18" s="13" t="b">
        <v>0</v>
      </c>
      <c r="D18" s="13" t="b">
        <v>0</v>
      </c>
      <c r="E18" s="13" t="b">
        <v>1</v>
      </c>
      <c r="F18" s="20" t="b">
        <v>0</v>
      </c>
      <c r="G18" s="21" t="b">
        <v>0</v>
      </c>
      <c r="H18" s="21" t="b">
        <v>0</v>
      </c>
    </row>
    <row r="19" spans="1:8" ht="15.75" thickBot="1" x14ac:dyDescent="0.3">
      <c r="A19" s="13" t="s">
        <v>33</v>
      </c>
      <c r="B19" s="3">
        <v>0</v>
      </c>
      <c r="C19" s="22" t="b">
        <v>0</v>
      </c>
      <c r="D19" s="23" t="b">
        <v>0</v>
      </c>
      <c r="E19" s="23" t="b">
        <v>0</v>
      </c>
      <c r="F19" s="23" t="b">
        <v>0</v>
      </c>
      <c r="G19" s="23" t="b">
        <v>0</v>
      </c>
      <c r="H19" s="23" t="b">
        <v>0</v>
      </c>
    </row>
    <row r="20" spans="1:8" ht="15.75" thickBot="1" x14ac:dyDescent="0.3">
      <c r="A20" s="13" t="s">
        <v>34</v>
      </c>
      <c r="B20" s="3">
        <v>0</v>
      </c>
      <c r="C20" s="20" t="b">
        <v>0</v>
      </c>
      <c r="D20" s="21" t="b">
        <v>0</v>
      </c>
      <c r="E20" s="21" t="b">
        <v>0</v>
      </c>
      <c r="F20" s="21" t="b">
        <v>0</v>
      </c>
      <c r="G20" s="21" t="b">
        <v>0</v>
      </c>
      <c r="H20" s="21" t="b">
        <v>0</v>
      </c>
    </row>
    <row r="21" spans="1:8" ht="15.75" thickBot="1" x14ac:dyDescent="0.3">
      <c r="A21" s="13" t="s">
        <v>35</v>
      </c>
      <c r="B21" s="3">
        <v>0</v>
      </c>
      <c r="C21" s="20" t="b">
        <v>0</v>
      </c>
      <c r="D21" s="21" t="b">
        <v>0</v>
      </c>
      <c r="E21" s="21" t="b">
        <v>0</v>
      </c>
      <c r="F21" s="21" t="b">
        <v>0</v>
      </c>
      <c r="G21" s="21" t="b">
        <v>0</v>
      </c>
      <c r="H21" s="21" t="b">
        <v>0</v>
      </c>
    </row>
    <row r="22" spans="1:8" ht="15.75" thickBot="1" x14ac:dyDescent="0.3">
      <c r="A22" s="13" t="s">
        <v>36</v>
      </c>
      <c r="B22" s="3">
        <v>10</v>
      </c>
      <c r="C22" s="20" t="b">
        <v>0</v>
      </c>
      <c r="D22" s="21" t="b">
        <v>1</v>
      </c>
      <c r="E22" s="21" t="b">
        <v>0</v>
      </c>
      <c r="F22" s="21" t="b">
        <v>0</v>
      </c>
      <c r="G22" s="21" t="b">
        <v>0</v>
      </c>
      <c r="H22" s="21" t="b">
        <v>0</v>
      </c>
    </row>
    <row r="23" spans="1:8" ht="15.75" thickBot="1" x14ac:dyDescent="0.3">
      <c r="A23" s="13" t="s">
        <v>37</v>
      </c>
      <c r="B23" s="3">
        <v>0</v>
      </c>
      <c r="C23" s="20" t="b">
        <v>0</v>
      </c>
      <c r="D23" s="21" t="b">
        <v>0</v>
      </c>
      <c r="E23" s="21" t="b">
        <v>0</v>
      </c>
      <c r="F23" s="21" t="b">
        <v>0</v>
      </c>
      <c r="G23" s="21" t="b">
        <v>0</v>
      </c>
      <c r="H23" s="21" t="b">
        <v>0</v>
      </c>
    </row>
    <row r="24" spans="1:8" ht="15.75" thickBot="1" x14ac:dyDescent="0.3">
      <c r="A24" s="13" t="s">
        <v>38</v>
      </c>
      <c r="B24" s="3">
        <v>0</v>
      </c>
      <c r="C24" s="20" t="b">
        <v>0</v>
      </c>
      <c r="D24" s="21" t="b">
        <v>0</v>
      </c>
      <c r="E24" s="21" t="b">
        <v>0</v>
      </c>
      <c r="F24" s="21" t="b">
        <v>0</v>
      </c>
      <c r="G24" s="21" t="b">
        <v>0</v>
      </c>
      <c r="H24" s="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DF50-58E1-4375-AC88-BB3745B3958A}">
  <dimension ref="A1:AD12"/>
  <sheetViews>
    <sheetView workbookViewId="0">
      <selection activeCell="B10" sqref="B10"/>
    </sheetView>
  </sheetViews>
  <sheetFormatPr defaultRowHeight="15" x14ac:dyDescent="0.25"/>
  <cols>
    <col min="1" max="1" width="5.5703125" style="5" bestFit="1" customWidth="1"/>
    <col min="2" max="2" width="23.28515625" style="5" bestFit="1" customWidth="1"/>
    <col min="3" max="3" width="27.140625" style="5" bestFit="1" customWidth="1"/>
    <col min="4" max="4" width="12" style="5" bestFit="1" customWidth="1"/>
    <col min="5" max="5" width="22.28515625" style="5" bestFit="1" customWidth="1"/>
    <col min="6" max="7" width="3.140625" style="5" bestFit="1" customWidth="1"/>
    <col min="8" max="8" width="3" style="5" bestFit="1" customWidth="1"/>
    <col min="9" max="9" width="3.140625" style="5" bestFit="1" customWidth="1"/>
    <col min="10" max="10" width="3" style="5" bestFit="1" customWidth="1"/>
    <col min="11" max="18" width="3.42578125" style="5" bestFit="1" customWidth="1"/>
    <col min="19" max="25" width="4.42578125" style="5" bestFit="1" customWidth="1"/>
    <col min="26" max="26" width="11.28515625" style="5" bestFit="1" customWidth="1"/>
    <col min="27" max="28" width="4.140625" style="5" bestFit="1" customWidth="1"/>
    <col min="29" max="29" width="11.28515625" style="5" bestFit="1" customWidth="1"/>
    <col min="30" max="30" width="10.5703125" style="5" bestFit="1" customWidth="1"/>
    <col min="31" max="16384" width="9.140625" style="5"/>
  </cols>
  <sheetData>
    <row r="1" spans="1:30" x14ac:dyDescent="0.25">
      <c r="A1" s="25" t="s">
        <v>39</v>
      </c>
      <c r="B1" s="25" t="s">
        <v>40</v>
      </c>
      <c r="C1" s="25" t="s">
        <v>41</v>
      </c>
      <c r="D1" s="25" t="s">
        <v>42</v>
      </c>
      <c r="E1" s="25" t="s">
        <v>43</v>
      </c>
      <c r="F1" s="25" t="str">
        <f t="array" ref="F1:AB1">TRANSPOSE('[1]ST2 Question Map'!A2:A24)</f>
        <v>1a</v>
      </c>
      <c r="G1" s="25" t="str">
        <v>1b</v>
      </c>
      <c r="H1" s="25" t="str">
        <v>1c</v>
      </c>
      <c r="I1" s="25" t="str">
        <v>1d</v>
      </c>
      <c r="J1" s="25" t="str">
        <v>1e</v>
      </c>
      <c r="K1" s="25" t="str">
        <v>Q2</v>
      </c>
      <c r="L1" s="25" t="str">
        <v>Q3</v>
      </c>
      <c r="M1" s="25" t="str">
        <v>Q4</v>
      </c>
      <c r="N1" s="25" t="str">
        <v>Q5</v>
      </c>
      <c r="O1" s="25" t="str">
        <v>Q6</v>
      </c>
      <c r="P1" s="25" t="str">
        <v>Q7</v>
      </c>
      <c r="Q1" s="25" t="str">
        <v>Q8</v>
      </c>
      <c r="R1" s="25" t="str">
        <v>Q9</v>
      </c>
      <c r="S1" s="25" t="str">
        <v>Q10</v>
      </c>
      <c r="T1" s="25" t="str">
        <v>Q11</v>
      </c>
      <c r="U1" s="25" t="str">
        <v>Q12</v>
      </c>
      <c r="V1" s="25" t="str">
        <v>Q13</v>
      </c>
      <c r="W1" s="25" t="str">
        <v>Q14</v>
      </c>
      <c r="X1" s="25" t="str">
        <v>Q15</v>
      </c>
      <c r="Y1" s="25" t="str">
        <v>Q16</v>
      </c>
      <c r="Z1" s="25" t="str">
        <v>Assignment</v>
      </c>
      <c r="AA1" s="25" t="str">
        <v>FA1</v>
      </c>
      <c r="AB1" s="25" t="str">
        <v>FA2</v>
      </c>
      <c r="AC1" s="25" t="s">
        <v>44</v>
      </c>
      <c r="AD1" s="25" t="s">
        <v>45</v>
      </c>
    </row>
    <row r="2" spans="1:30" x14ac:dyDescent="0.25">
      <c r="A2" s="25">
        <v>1</v>
      </c>
      <c r="B2" s="26">
        <v>2010990089</v>
      </c>
      <c r="C2" s="25" t="s">
        <v>46</v>
      </c>
      <c r="D2" s="25" t="s">
        <v>47</v>
      </c>
      <c r="E2" s="25" t="s">
        <v>60</v>
      </c>
      <c r="F2" s="24">
        <v>1</v>
      </c>
      <c r="G2" s="24">
        <v>1</v>
      </c>
      <c r="H2" s="24">
        <v>0</v>
      </c>
      <c r="I2" s="24">
        <v>0</v>
      </c>
      <c r="J2" s="24">
        <v>1</v>
      </c>
      <c r="K2" s="24">
        <v>0</v>
      </c>
      <c r="L2" s="24">
        <v>0</v>
      </c>
      <c r="M2" s="24">
        <v>0</v>
      </c>
      <c r="N2" s="24">
        <v>1</v>
      </c>
      <c r="O2" s="24">
        <v>0</v>
      </c>
      <c r="P2" s="24" t="s">
        <v>49</v>
      </c>
      <c r="Q2" s="24">
        <v>0</v>
      </c>
      <c r="R2" s="24">
        <v>1</v>
      </c>
      <c r="S2" s="24">
        <v>0</v>
      </c>
      <c r="T2" s="24" t="s">
        <v>49</v>
      </c>
      <c r="U2" s="24">
        <v>0</v>
      </c>
      <c r="V2" s="24">
        <v>0</v>
      </c>
      <c r="W2" s="24" t="s">
        <v>49</v>
      </c>
      <c r="X2" s="24" t="s">
        <v>49</v>
      </c>
      <c r="Y2" s="24" t="s">
        <v>49</v>
      </c>
      <c r="Z2" s="24">
        <v>6</v>
      </c>
      <c r="AA2" s="24" t="s">
        <v>49</v>
      </c>
      <c r="AB2" s="24" t="s">
        <v>49</v>
      </c>
      <c r="AC2" s="24">
        <f t="shared" ref="AC2:AC12" si="0">SUM(F2:Z2)</f>
        <v>11</v>
      </c>
      <c r="AD2" s="24">
        <v>50</v>
      </c>
    </row>
    <row r="3" spans="1:30" x14ac:dyDescent="0.25">
      <c r="A3" s="25">
        <v>2</v>
      </c>
      <c r="B3" s="26">
        <v>2010992002</v>
      </c>
      <c r="C3" s="25" t="s">
        <v>50</v>
      </c>
      <c r="D3" s="25" t="s">
        <v>47</v>
      </c>
      <c r="E3" s="25" t="s">
        <v>60</v>
      </c>
      <c r="F3" s="24">
        <v>0</v>
      </c>
      <c r="G3" s="24">
        <v>0</v>
      </c>
      <c r="H3" s="24">
        <v>1</v>
      </c>
      <c r="I3" s="24">
        <v>1</v>
      </c>
      <c r="J3" s="24">
        <v>1</v>
      </c>
      <c r="K3" s="24">
        <v>1</v>
      </c>
      <c r="L3" s="24">
        <v>1</v>
      </c>
      <c r="M3" s="24">
        <v>1</v>
      </c>
      <c r="N3" s="24">
        <v>1</v>
      </c>
      <c r="O3" s="24">
        <v>1</v>
      </c>
      <c r="P3" s="24">
        <v>2</v>
      </c>
      <c r="Q3" s="24">
        <v>4</v>
      </c>
      <c r="R3" s="24">
        <v>4</v>
      </c>
      <c r="S3" s="24">
        <v>4</v>
      </c>
      <c r="T3" s="24" t="s">
        <v>49</v>
      </c>
      <c r="U3" s="24">
        <v>5</v>
      </c>
      <c r="V3" s="24">
        <v>6</v>
      </c>
      <c r="W3" s="24" t="s">
        <v>49</v>
      </c>
      <c r="X3" s="24" t="s">
        <v>49</v>
      </c>
      <c r="Y3" s="24" t="s">
        <v>49</v>
      </c>
      <c r="Z3" s="24">
        <v>8</v>
      </c>
      <c r="AA3" s="24" t="s">
        <v>49</v>
      </c>
      <c r="AB3" s="24" t="s">
        <v>49</v>
      </c>
      <c r="AC3" s="24">
        <f t="shared" si="0"/>
        <v>41</v>
      </c>
      <c r="AD3" s="24">
        <v>50</v>
      </c>
    </row>
    <row r="4" spans="1:30" x14ac:dyDescent="0.25">
      <c r="A4" s="25">
        <v>3</v>
      </c>
      <c r="B4" s="26">
        <v>2010992006</v>
      </c>
      <c r="C4" s="25" t="s">
        <v>51</v>
      </c>
      <c r="D4" s="25" t="s">
        <v>47</v>
      </c>
      <c r="E4" s="25" t="s">
        <v>60</v>
      </c>
      <c r="F4" s="24" t="s">
        <v>49</v>
      </c>
      <c r="G4" s="24" t="s">
        <v>49</v>
      </c>
      <c r="H4" s="24" t="s">
        <v>49</v>
      </c>
      <c r="I4" s="24" t="s">
        <v>49</v>
      </c>
      <c r="J4" s="24" t="s">
        <v>49</v>
      </c>
      <c r="K4" s="24" t="s">
        <v>49</v>
      </c>
      <c r="L4" s="24" t="s">
        <v>49</v>
      </c>
      <c r="M4" s="24" t="s">
        <v>49</v>
      </c>
      <c r="N4" s="24" t="s">
        <v>49</v>
      </c>
      <c r="O4" s="24" t="s">
        <v>49</v>
      </c>
      <c r="P4" s="24" t="s">
        <v>49</v>
      </c>
      <c r="Q4" s="24" t="s">
        <v>49</v>
      </c>
      <c r="R4" s="24" t="s">
        <v>49</v>
      </c>
      <c r="S4" s="24" t="s">
        <v>49</v>
      </c>
      <c r="T4" s="24" t="s">
        <v>49</v>
      </c>
      <c r="U4" s="24" t="s">
        <v>49</v>
      </c>
      <c r="V4" s="24" t="s">
        <v>49</v>
      </c>
      <c r="W4" s="24" t="s">
        <v>49</v>
      </c>
      <c r="X4" s="24" t="s">
        <v>49</v>
      </c>
      <c r="Y4" s="24" t="s">
        <v>49</v>
      </c>
      <c r="Z4" s="24" t="s">
        <v>49</v>
      </c>
      <c r="AA4" s="24" t="s">
        <v>49</v>
      </c>
      <c r="AB4" s="24" t="s">
        <v>49</v>
      </c>
      <c r="AC4" s="24">
        <f t="shared" si="0"/>
        <v>0</v>
      </c>
      <c r="AD4" s="24">
        <v>50</v>
      </c>
    </row>
    <row r="5" spans="1:30" x14ac:dyDescent="0.25">
      <c r="A5" s="25">
        <v>4</v>
      </c>
      <c r="B5" s="26">
        <v>2010992008</v>
      </c>
      <c r="C5" s="25" t="s">
        <v>52</v>
      </c>
      <c r="D5" s="25" t="s">
        <v>47</v>
      </c>
      <c r="E5" s="25" t="s">
        <v>60</v>
      </c>
      <c r="F5" s="24" t="s">
        <v>49</v>
      </c>
      <c r="G5" s="24" t="s">
        <v>49</v>
      </c>
      <c r="H5" s="24">
        <v>1</v>
      </c>
      <c r="I5" s="24" t="s">
        <v>49</v>
      </c>
      <c r="J5" s="24">
        <v>1</v>
      </c>
      <c r="K5" s="24">
        <v>2</v>
      </c>
      <c r="L5" s="24">
        <v>2</v>
      </c>
      <c r="M5" s="24">
        <v>2</v>
      </c>
      <c r="N5" s="24" t="s">
        <v>49</v>
      </c>
      <c r="O5" s="24" t="s">
        <v>49</v>
      </c>
      <c r="P5" s="24">
        <v>2</v>
      </c>
      <c r="Q5" s="24">
        <v>3</v>
      </c>
      <c r="R5" s="24" t="s">
        <v>49</v>
      </c>
      <c r="S5" s="24" t="s">
        <v>49</v>
      </c>
      <c r="T5" s="24">
        <v>2</v>
      </c>
      <c r="U5" s="24" t="s">
        <v>49</v>
      </c>
      <c r="V5" s="24">
        <v>2</v>
      </c>
      <c r="W5" s="24" t="s">
        <v>49</v>
      </c>
      <c r="X5" s="24" t="s">
        <v>49</v>
      </c>
      <c r="Y5" s="24" t="s">
        <v>49</v>
      </c>
      <c r="Z5" s="24">
        <v>7</v>
      </c>
      <c r="AA5" s="24" t="s">
        <v>49</v>
      </c>
      <c r="AB5" s="24" t="s">
        <v>49</v>
      </c>
      <c r="AC5" s="24">
        <f t="shared" si="0"/>
        <v>24</v>
      </c>
      <c r="AD5" s="24">
        <v>50</v>
      </c>
    </row>
    <row r="6" spans="1:30" x14ac:dyDescent="0.25">
      <c r="A6" s="25">
        <v>5</v>
      </c>
      <c r="B6" s="26">
        <v>2010992009</v>
      </c>
      <c r="C6" s="25" t="s">
        <v>53</v>
      </c>
      <c r="D6" s="25" t="s">
        <v>47</v>
      </c>
      <c r="E6" s="25" t="s">
        <v>60</v>
      </c>
      <c r="F6" s="24">
        <v>0</v>
      </c>
      <c r="G6" s="24">
        <v>0</v>
      </c>
      <c r="H6" s="24">
        <v>1</v>
      </c>
      <c r="I6" s="24">
        <v>0</v>
      </c>
      <c r="J6" s="24">
        <v>0</v>
      </c>
      <c r="K6" s="24">
        <v>0</v>
      </c>
      <c r="L6" s="24">
        <v>2</v>
      </c>
      <c r="M6" s="24">
        <v>1</v>
      </c>
      <c r="N6" s="24">
        <v>2</v>
      </c>
      <c r="O6" s="24" t="s">
        <v>49</v>
      </c>
      <c r="P6" s="24">
        <v>1</v>
      </c>
      <c r="Q6" s="24">
        <v>2</v>
      </c>
      <c r="R6" s="24">
        <v>3</v>
      </c>
      <c r="S6" s="24">
        <v>3</v>
      </c>
      <c r="T6" s="24" t="s">
        <v>49</v>
      </c>
      <c r="U6" s="24">
        <v>2</v>
      </c>
      <c r="V6" s="24">
        <v>5</v>
      </c>
      <c r="W6" s="24" t="s">
        <v>49</v>
      </c>
      <c r="X6" s="24" t="s">
        <v>49</v>
      </c>
      <c r="Y6" s="24" t="s">
        <v>49</v>
      </c>
      <c r="Z6" s="24">
        <v>9</v>
      </c>
      <c r="AA6" s="24" t="s">
        <v>49</v>
      </c>
      <c r="AB6" s="24" t="s">
        <v>49</v>
      </c>
      <c r="AC6" s="24">
        <f t="shared" si="0"/>
        <v>31</v>
      </c>
      <c r="AD6" s="24">
        <v>50</v>
      </c>
    </row>
    <row r="7" spans="1:30" x14ac:dyDescent="0.25">
      <c r="A7" s="25">
        <v>6</v>
      </c>
      <c r="B7" s="26">
        <v>2010992011</v>
      </c>
      <c r="C7" s="25" t="s">
        <v>54</v>
      </c>
      <c r="D7" s="25" t="s">
        <v>47</v>
      </c>
      <c r="E7" s="25" t="s">
        <v>60</v>
      </c>
      <c r="F7" s="24">
        <v>1</v>
      </c>
      <c r="G7" s="24">
        <v>1</v>
      </c>
      <c r="H7" s="24">
        <v>1</v>
      </c>
      <c r="I7" s="24">
        <v>0</v>
      </c>
      <c r="J7" s="24">
        <v>1</v>
      </c>
      <c r="K7" s="24">
        <v>0</v>
      </c>
      <c r="L7" s="24">
        <v>0</v>
      </c>
      <c r="M7" s="24">
        <v>0</v>
      </c>
      <c r="N7" s="24">
        <v>1</v>
      </c>
      <c r="O7" s="24">
        <v>0</v>
      </c>
      <c r="P7" s="24" t="s">
        <v>49</v>
      </c>
      <c r="Q7" s="24">
        <v>0</v>
      </c>
      <c r="R7" s="24">
        <v>1</v>
      </c>
      <c r="S7" s="24">
        <v>4</v>
      </c>
      <c r="T7" s="24" t="s">
        <v>49</v>
      </c>
      <c r="U7" s="24">
        <v>0</v>
      </c>
      <c r="V7" s="24">
        <v>2</v>
      </c>
      <c r="W7" s="24" t="s">
        <v>49</v>
      </c>
      <c r="X7" s="24" t="s">
        <v>49</v>
      </c>
      <c r="Y7" s="24" t="s">
        <v>49</v>
      </c>
      <c r="Z7" s="24">
        <v>7</v>
      </c>
      <c r="AA7" s="24" t="s">
        <v>49</v>
      </c>
      <c r="AB7" s="24" t="s">
        <v>49</v>
      </c>
      <c r="AC7" s="24">
        <f t="shared" si="0"/>
        <v>19</v>
      </c>
      <c r="AD7" s="24">
        <v>50</v>
      </c>
    </row>
    <row r="8" spans="1:30" x14ac:dyDescent="0.25">
      <c r="A8" s="25">
        <v>7</v>
      </c>
      <c r="B8" s="26">
        <v>2010992014</v>
      </c>
      <c r="C8" s="25" t="s">
        <v>55</v>
      </c>
      <c r="D8" s="25" t="s">
        <v>47</v>
      </c>
      <c r="E8" s="25" t="s">
        <v>60</v>
      </c>
      <c r="F8" s="24">
        <v>1</v>
      </c>
      <c r="G8" s="24">
        <v>1</v>
      </c>
      <c r="H8" s="24">
        <v>0</v>
      </c>
      <c r="I8" s="24">
        <v>0</v>
      </c>
      <c r="J8" s="24">
        <v>1</v>
      </c>
      <c r="K8" s="24">
        <v>0</v>
      </c>
      <c r="L8" s="24">
        <v>0</v>
      </c>
      <c r="M8" s="24">
        <v>0</v>
      </c>
      <c r="N8" s="24">
        <v>1</v>
      </c>
      <c r="O8" s="24">
        <v>0</v>
      </c>
      <c r="P8" s="24" t="s">
        <v>49</v>
      </c>
      <c r="Q8" s="24">
        <v>0</v>
      </c>
      <c r="R8" s="24">
        <v>1</v>
      </c>
      <c r="S8" s="24">
        <v>0</v>
      </c>
      <c r="T8" s="24" t="s">
        <v>49</v>
      </c>
      <c r="U8" s="24">
        <v>1</v>
      </c>
      <c r="V8" s="24">
        <v>0</v>
      </c>
      <c r="W8" s="24" t="s">
        <v>49</v>
      </c>
      <c r="X8" s="24" t="s">
        <v>49</v>
      </c>
      <c r="Y8" s="24" t="s">
        <v>49</v>
      </c>
      <c r="Z8" s="24">
        <v>5</v>
      </c>
      <c r="AA8" s="24" t="s">
        <v>49</v>
      </c>
      <c r="AB8" s="24" t="s">
        <v>49</v>
      </c>
      <c r="AC8" s="24">
        <f t="shared" si="0"/>
        <v>11</v>
      </c>
      <c r="AD8" s="24">
        <v>50</v>
      </c>
    </row>
    <row r="9" spans="1:30" x14ac:dyDescent="0.25">
      <c r="A9" s="25">
        <v>8</v>
      </c>
      <c r="B9" s="26">
        <v>2010992016</v>
      </c>
      <c r="C9" s="25" t="s">
        <v>56</v>
      </c>
      <c r="D9" s="25" t="s">
        <v>47</v>
      </c>
      <c r="E9" s="25" t="s">
        <v>60</v>
      </c>
      <c r="F9" s="24">
        <v>0</v>
      </c>
      <c r="G9" s="24">
        <v>0</v>
      </c>
      <c r="H9" s="24">
        <v>1</v>
      </c>
      <c r="I9" s="24">
        <v>1</v>
      </c>
      <c r="J9" s="24">
        <v>1</v>
      </c>
      <c r="K9" s="24">
        <v>2</v>
      </c>
      <c r="L9" s="24">
        <v>1</v>
      </c>
      <c r="M9" s="24" t="s">
        <v>49</v>
      </c>
      <c r="N9" s="24">
        <v>2</v>
      </c>
      <c r="O9" s="24">
        <v>2</v>
      </c>
      <c r="P9" s="24">
        <v>2</v>
      </c>
      <c r="Q9" s="24">
        <v>3</v>
      </c>
      <c r="R9" s="24">
        <v>2</v>
      </c>
      <c r="S9" s="24">
        <v>4</v>
      </c>
      <c r="T9" s="24" t="s">
        <v>49</v>
      </c>
      <c r="U9" s="24">
        <v>5</v>
      </c>
      <c r="V9" s="24">
        <v>4</v>
      </c>
      <c r="W9" s="24" t="s">
        <v>49</v>
      </c>
      <c r="X9" s="24" t="s">
        <v>49</v>
      </c>
      <c r="Y9" s="24" t="s">
        <v>49</v>
      </c>
      <c r="Z9" s="24">
        <v>9</v>
      </c>
      <c r="AA9" s="24" t="s">
        <v>49</v>
      </c>
      <c r="AB9" s="24" t="s">
        <v>49</v>
      </c>
      <c r="AC9" s="24">
        <f t="shared" si="0"/>
        <v>39</v>
      </c>
      <c r="AD9" s="24">
        <v>50</v>
      </c>
    </row>
    <row r="10" spans="1:30" x14ac:dyDescent="0.25">
      <c r="A10" s="25">
        <v>9</v>
      </c>
      <c r="B10" s="26">
        <v>2010992018</v>
      </c>
      <c r="C10" s="25" t="s">
        <v>57</v>
      </c>
      <c r="D10" s="25" t="s">
        <v>47</v>
      </c>
      <c r="E10" s="25" t="s">
        <v>60</v>
      </c>
      <c r="F10" s="24">
        <v>0</v>
      </c>
      <c r="G10" s="24">
        <v>0</v>
      </c>
      <c r="H10" s="24">
        <v>0</v>
      </c>
      <c r="I10" s="24">
        <v>1</v>
      </c>
      <c r="J10" s="24">
        <v>1</v>
      </c>
      <c r="K10" s="24">
        <v>2</v>
      </c>
      <c r="L10" s="24">
        <v>0</v>
      </c>
      <c r="M10" s="24" t="s">
        <v>49</v>
      </c>
      <c r="N10" s="24">
        <v>1</v>
      </c>
      <c r="O10" s="24" t="s">
        <v>49</v>
      </c>
      <c r="P10" s="24">
        <v>2</v>
      </c>
      <c r="Q10" s="24">
        <v>3</v>
      </c>
      <c r="R10" s="24">
        <v>2</v>
      </c>
      <c r="S10" s="24">
        <v>3</v>
      </c>
      <c r="T10" s="24">
        <v>2</v>
      </c>
      <c r="U10" s="24">
        <v>3</v>
      </c>
      <c r="V10" s="24">
        <v>4</v>
      </c>
      <c r="W10" s="24" t="s">
        <v>49</v>
      </c>
      <c r="X10" s="24" t="s">
        <v>49</v>
      </c>
      <c r="Y10" s="24" t="s">
        <v>49</v>
      </c>
      <c r="Z10" s="24">
        <v>8</v>
      </c>
      <c r="AA10" s="24" t="s">
        <v>49</v>
      </c>
      <c r="AB10" s="24" t="s">
        <v>49</v>
      </c>
      <c r="AC10" s="24">
        <f t="shared" si="0"/>
        <v>32</v>
      </c>
      <c r="AD10" s="24">
        <v>50</v>
      </c>
    </row>
    <row r="11" spans="1:30" x14ac:dyDescent="0.25">
      <c r="A11" s="25">
        <v>10</v>
      </c>
      <c r="B11" s="26">
        <v>2010992163</v>
      </c>
      <c r="C11" s="25" t="s">
        <v>58</v>
      </c>
      <c r="D11" s="25" t="s">
        <v>47</v>
      </c>
      <c r="E11" s="25" t="s">
        <v>60</v>
      </c>
      <c r="F11" s="24">
        <v>0</v>
      </c>
      <c r="G11" s="24">
        <v>0</v>
      </c>
      <c r="H11" s="24">
        <v>1</v>
      </c>
      <c r="I11" s="24">
        <v>1</v>
      </c>
      <c r="J11" s="24">
        <v>1</v>
      </c>
      <c r="K11" s="24">
        <v>2</v>
      </c>
      <c r="L11" s="24">
        <v>1</v>
      </c>
      <c r="M11" s="24" t="s">
        <v>49</v>
      </c>
      <c r="N11" s="24">
        <v>2</v>
      </c>
      <c r="O11" s="24" t="s">
        <v>49</v>
      </c>
      <c r="P11" s="24">
        <v>3</v>
      </c>
      <c r="Q11" s="24">
        <v>1</v>
      </c>
      <c r="R11" s="24">
        <v>4</v>
      </c>
      <c r="S11" s="24">
        <v>3</v>
      </c>
      <c r="T11" s="24" t="s">
        <v>49</v>
      </c>
      <c r="U11" s="24">
        <v>4</v>
      </c>
      <c r="V11" s="24">
        <v>4</v>
      </c>
      <c r="W11" s="24" t="s">
        <v>49</v>
      </c>
      <c r="X11" s="24" t="s">
        <v>49</v>
      </c>
      <c r="Y11" s="24" t="s">
        <v>49</v>
      </c>
      <c r="Z11" s="24">
        <v>7</v>
      </c>
      <c r="AA11" s="24" t="s">
        <v>49</v>
      </c>
      <c r="AB11" s="24" t="s">
        <v>49</v>
      </c>
      <c r="AC11" s="24">
        <f t="shared" si="0"/>
        <v>34</v>
      </c>
      <c r="AD11" s="24">
        <v>50</v>
      </c>
    </row>
    <row r="12" spans="1:30" x14ac:dyDescent="0.25">
      <c r="A12" s="25">
        <v>11</v>
      </c>
      <c r="B12" s="26">
        <v>2010992203</v>
      </c>
      <c r="C12" s="25" t="s">
        <v>59</v>
      </c>
      <c r="D12" s="25" t="s">
        <v>47</v>
      </c>
      <c r="E12" s="25" t="s">
        <v>60</v>
      </c>
      <c r="F12" s="24" t="s">
        <v>49</v>
      </c>
      <c r="G12" s="24" t="s">
        <v>49</v>
      </c>
      <c r="H12" s="24" t="s">
        <v>49</v>
      </c>
      <c r="I12" s="24" t="s">
        <v>49</v>
      </c>
      <c r="J12" s="24" t="s">
        <v>49</v>
      </c>
      <c r="K12" s="24" t="s">
        <v>49</v>
      </c>
      <c r="L12" s="24" t="s">
        <v>49</v>
      </c>
      <c r="M12" s="24" t="s">
        <v>49</v>
      </c>
      <c r="N12" s="24" t="s">
        <v>49</v>
      </c>
      <c r="O12" s="24" t="s">
        <v>49</v>
      </c>
      <c r="P12" s="24" t="s">
        <v>49</v>
      </c>
      <c r="Q12" s="24" t="s">
        <v>49</v>
      </c>
      <c r="R12" s="24" t="s">
        <v>49</v>
      </c>
      <c r="S12" s="24" t="s">
        <v>49</v>
      </c>
      <c r="T12" s="24" t="s">
        <v>49</v>
      </c>
      <c r="U12" s="24" t="s">
        <v>49</v>
      </c>
      <c r="V12" s="24" t="s">
        <v>49</v>
      </c>
      <c r="W12" s="24" t="s">
        <v>49</v>
      </c>
      <c r="X12" s="24" t="s">
        <v>49</v>
      </c>
      <c r="Y12" s="24" t="s">
        <v>49</v>
      </c>
      <c r="Z12" s="24">
        <v>0</v>
      </c>
      <c r="AA12" s="24" t="s">
        <v>49</v>
      </c>
      <c r="AB12" s="24" t="s">
        <v>49</v>
      </c>
      <c r="AC12" s="24">
        <f t="shared" si="0"/>
        <v>0</v>
      </c>
      <c r="AD12" s="24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2C3D-4AA7-41B8-8580-53CA06A81345}">
  <dimension ref="A1:H24"/>
  <sheetViews>
    <sheetView workbookViewId="0">
      <selection activeCell="D22" sqref="D22"/>
    </sheetView>
  </sheetViews>
  <sheetFormatPr defaultRowHeight="15" x14ac:dyDescent="0.25"/>
  <sheetData>
    <row r="1" spans="1:8" x14ac:dyDescent="0.25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</row>
    <row r="2" spans="1:8" x14ac:dyDescent="0.25">
      <c r="A2" s="13" t="s">
        <v>16</v>
      </c>
      <c r="B2" s="27">
        <v>0</v>
      </c>
      <c r="C2" s="13" t="b">
        <v>0</v>
      </c>
      <c r="D2" s="13" t="b">
        <v>0</v>
      </c>
      <c r="E2" s="13" t="b">
        <v>0</v>
      </c>
      <c r="F2" s="16" t="b">
        <v>0</v>
      </c>
      <c r="G2" s="16" t="b">
        <v>0</v>
      </c>
      <c r="H2" s="16" t="b">
        <v>0</v>
      </c>
    </row>
    <row r="3" spans="1:8" x14ac:dyDescent="0.25">
      <c r="A3" s="13" t="s">
        <v>17</v>
      </c>
      <c r="B3" s="27">
        <v>0</v>
      </c>
      <c r="C3" s="13" t="b">
        <v>0</v>
      </c>
      <c r="D3" s="13" t="b">
        <v>0</v>
      </c>
      <c r="E3" s="13" t="b">
        <v>0</v>
      </c>
      <c r="F3" s="16" t="b">
        <v>0</v>
      </c>
      <c r="G3" s="16" t="b">
        <v>0</v>
      </c>
      <c r="H3" s="16" t="b">
        <v>0</v>
      </c>
    </row>
    <row r="4" spans="1:8" x14ac:dyDescent="0.25">
      <c r="A4" s="13" t="s">
        <v>18</v>
      </c>
      <c r="B4" s="27">
        <v>0</v>
      </c>
      <c r="C4" s="13" t="b">
        <v>0</v>
      </c>
      <c r="D4" s="13" t="b">
        <v>0</v>
      </c>
      <c r="E4" s="13" t="b">
        <v>0</v>
      </c>
      <c r="F4" s="16" t="b">
        <v>0</v>
      </c>
      <c r="G4" s="16" t="b">
        <v>0</v>
      </c>
      <c r="H4" s="16" t="b">
        <v>0</v>
      </c>
    </row>
    <row r="5" spans="1:8" x14ac:dyDescent="0.25">
      <c r="A5" s="13" t="s">
        <v>19</v>
      </c>
      <c r="B5" s="27">
        <v>0</v>
      </c>
      <c r="C5" s="13" t="b">
        <v>0</v>
      </c>
      <c r="D5" s="13" t="b">
        <v>0</v>
      </c>
      <c r="E5" s="13" t="b">
        <v>0</v>
      </c>
      <c r="F5" s="16" t="b">
        <v>0</v>
      </c>
      <c r="G5" s="16" t="b">
        <v>0</v>
      </c>
      <c r="H5" s="16" t="b">
        <v>0</v>
      </c>
    </row>
    <row r="6" spans="1:8" x14ac:dyDescent="0.25">
      <c r="A6" s="13" t="s">
        <v>20</v>
      </c>
      <c r="B6" s="27">
        <v>0</v>
      </c>
      <c r="C6" s="13" t="b">
        <v>0</v>
      </c>
      <c r="D6" s="13" t="b">
        <v>0</v>
      </c>
      <c r="E6" s="13" t="b">
        <v>0</v>
      </c>
      <c r="F6" s="16" t="b">
        <v>0</v>
      </c>
      <c r="G6" s="16" t="b">
        <v>0</v>
      </c>
      <c r="H6" s="16" t="b">
        <v>0</v>
      </c>
    </row>
    <row r="7" spans="1:8" x14ac:dyDescent="0.25">
      <c r="A7" s="13" t="s">
        <v>21</v>
      </c>
      <c r="B7" s="27">
        <v>0</v>
      </c>
      <c r="C7" s="13" t="b">
        <v>0</v>
      </c>
      <c r="D7" s="13" t="b">
        <v>0</v>
      </c>
      <c r="E7" s="13" t="b">
        <v>0</v>
      </c>
      <c r="F7" s="16" t="b">
        <v>0</v>
      </c>
      <c r="G7" s="16" t="b">
        <v>0</v>
      </c>
      <c r="H7" s="16" t="b">
        <v>0</v>
      </c>
    </row>
    <row r="8" spans="1:8" x14ac:dyDescent="0.25">
      <c r="A8" s="13" t="s">
        <v>22</v>
      </c>
      <c r="B8" s="27">
        <v>0</v>
      </c>
      <c r="C8" s="13" t="b">
        <v>0</v>
      </c>
      <c r="D8" s="13" t="b">
        <v>0</v>
      </c>
      <c r="E8" s="13" t="b">
        <v>0</v>
      </c>
      <c r="F8" s="16" t="b">
        <v>0</v>
      </c>
      <c r="G8" s="16" t="b">
        <v>0</v>
      </c>
      <c r="H8" s="16" t="b">
        <v>0</v>
      </c>
    </row>
    <row r="9" spans="1:8" x14ac:dyDescent="0.25">
      <c r="A9" s="13" t="s">
        <v>23</v>
      </c>
      <c r="B9" s="27">
        <v>0</v>
      </c>
      <c r="C9" s="13" t="b">
        <v>0</v>
      </c>
      <c r="D9" s="13" t="b">
        <v>0</v>
      </c>
      <c r="E9" s="13" t="b">
        <v>0</v>
      </c>
      <c r="F9" s="16" t="b">
        <v>0</v>
      </c>
      <c r="G9" s="16" t="b">
        <v>0</v>
      </c>
      <c r="H9" s="16" t="b">
        <v>0</v>
      </c>
    </row>
    <row r="10" spans="1:8" x14ac:dyDescent="0.25">
      <c r="A10" s="13" t="s">
        <v>24</v>
      </c>
      <c r="B10" s="27">
        <v>0</v>
      </c>
      <c r="C10" s="13" t="b">
        <v>0</v>
      </c>
      <c r="D10" s="13" t="b">
        <v>0</v>
      </c>
      <c r="E10" s="13" t="b">
        <v>0</v>
      </c>
      <c r="F10" s="16" t="b">
        <v>0</v>
      </c>
      <c r="G10" s="16" t="b">
        <v>0</v>
      </c>
      <c r="H10" s="16" t="b">
        <v>0</v>
      </c>
    </row>
    <row r="11" spans="1:8" x14ac:dyDescent="0.25">
      <c r="A11" s="13" t="s">
        <v>25</v>
      </c>
      <c r="B11" s="27">
        <v>0</v>
      </c>
      <c r="C11" s="13" t="b">
        <v>0</v>
      </c>
      <c r="D11" s="13" t="b">
        <v>0</v>
      </c>
      <c r="E11" s="13" t="b">
        <v>0</v>
      </c>
      <c r="F11" s="16" t="b">
        <v>0</v>
      </c>
      <c r="G11" s="16" t="b">
        <v>0</v>
      </c>
      <c r="H11" s="16" t="b">
        <v>0</v>
      </c>
    </row>
    <row r="12" spans="1:8" x14ac:dyDescent="0.25">
      <c r="A12" s="13" t="s">
        <v>26</v>
      </c>
      <c r="B12" s="27">
        <v>0</v>
      </c>
      <c r="C12" s="13" t="b">
        <v>0</v>
      </c>
      <c r="D12" s="13" t="b">
        <v>0</v>
      </c>
      <c r="E12" s="13" t="b">
        <v>0</v>
      </c>
      <c r="F12" s="16" t="b">
        <v>0</v>
      </c>
      <c r="G12" s="16" t="b">
        <v>0</v>
      </c>
      <c r="H12" s="16" t="b">
        <v>0</v>
      </c>
    </row>
    <row r="13" spans="1:8" x14ac:dyDescent="0.25">
      <c r="A13" s="13" t="s">
        <v>27</v>
      </c>
      <c r="B13" s="27">
        <v>0</v>
      </c>
      <c r="C13" s="13" t="b">
        <v>0</v>
      </c>
      <c r="D13" s="13" t="b">
        <v>0</v>
      </c>
      <c r="E13" s="13" t="b">
        <v>0</v>
      </c>
      <c r="F13" s="16" t="b">
        <v>0</v>
      </c>
      <c r="G13" s="16" t="b">
        <v>0</v>
      </c>
      <c r="H13" s="16" t="b">
        <v>0</v>
      </c>
    </row>
    <row r="14" spans="1:8" x14ac:dyDescent="0.25">
      <c r="A14" s="13" t="s">
        <v>28</v>
      </c>
      <c r="B14" s="27">
        <v>0</v>
      </c>
      <c r="C14" s="13" t="b">
        <v>0</v>
      </c>
      <c r="D14" s="13" t="b">
        <v>0</v>
      </c>
      <c r="E14" s="13" t="b">
        <v>0</v>
      </c>
      <c r="F14" s="16" t="b">
        <v>0</v>
      </c>
      <c r="G14" s="16" t="b">
        <v>0</v>
      </c>
      <c r="H14" s="16" t="b">
        <v>0</v>
      </c>
    </row>
    <row r="15" spans="1:8" x14ac:dyDescent="0.25">
      <c r="A15" s="13" t="s">
        <v>29</v>
      </c>
      <c r="B15" s="27">
        <v>0</v>
      </c>
      <c r="C15" s="13" t="b">
        <v>0</v>
      </c>
      <c r="D15" s="13" t="b">
        <v>0</v>
      </c>
      <c r="E15" s="13" t="b">
        <v>0</v>
      </c>
      <c r="F15" s="16" t="b">
        <v>0</v>
      </c>
      <c r="G15" s="16" t="b">
        <v>0</v>
      </c>
      <c r="H15" s="16" t="b">
        <v>0</v>
      </c>
    </row>
    <row r="16" spans="1:8" x14ac:dyDescent="0.25">
      <c r="A16" s="13" t="s">
        <v>30</v>
      </c>
      <c r="B16" s="27">
        <v>0</v>
      </c>
      <c r="C16" s="13" t="b">
        <v>0</v>
      </c>
      <c r="D16" s="13" t="b">
        <v>0</v>
      </c>
      <c r="E16" s="13" t="b">
        <v>0</v>
      </c>
      <c r="F16" s="16" t="b">
        <v>0</v>
      </c>
      <c r="G16" s="16" t="b">
        <v>0</v>
      </c>
      <c r="H16" s="16" t="b">
        <v>0</v>
      </c>
    </row>
    <row r="17" spans="1:8" x14ac:dyDescent="0.25">
      <c r="A17" s="13" t="s">
        <v>31</v>
      </c>
      <c r="B17" s="27">
        <v>0</v>
      </c>
      <c r="C17" s="13" t="b">
        <v>0</v>
      </c>
      <c r="D17" s="13" t="b">
        <v>0</v>
      </c>
      <c r="E17" s="13" t="b">
        <v>0</v>
      </c>
      <c r="F17" s="16" t="b">
        <v>0</v>
      </c>
      <c r="G17" s="16" t="b">
        <v>0</v>
      </c>
      <c r="H17" s="16" t="b">
        <v>0</v>
      </c>
    </row>
    <row r="18" spans="1:8" x14ac:dyDescent="0.25">
      <c r="A18" s="13" t="s">
        <v>32</v>
      </c>
      <c r="B18" s="27">
        <v>0</v>
      </c>
      <c r="C18" s="13" t="b">
        <v>0</v>
      </c>
      <c r="D18" s="13" t="b">
        <v>0</v>
      </c>
      <c r="E18" s="13" t="b">
        <v>0</v>
      </c>
      <c r="F18" s="16" t="b">
        <v>0</v>
      </c>
      <c r="G18" s="16" t="b">
        <v>0</v>
      </c>
      <c r="H18" s="16" t="b">
        <v>0</v>
      </c>
    </row>
    <row r="19" spans="1:8" x14ac:dyDescent="0.25">
      <c r="A19" s="13" t="s">
        <v>33</v>
      </c>
      <c r="B19" s="27">
        <v>0</v>
      </c>
      <c r="C19" s="13" t="b">
        <v>0</v>
      </c>
      <c r="D19" s="13" t="b">
        <v>0</v>
      </c>
      <c r="E19" s="13" t="b">
        <v>0</v>
      </c>
      <c r="F19" s="16" t="b">
        <v>0</v>
      </c>
      <c r="G19" s="16" t="b">
        <v>0</v>
      </c>
      <c r="H19" s="16" t="b">
        <v>0</v>
      </c>
    </row>
    <row r="20" spans="1:8" x14ac:dyDescent="0.25">
      <c r="A20" s="13" t="s">
        <v>34</v>
      </c>
      <c r="B20" s="15">
        <v>0</v>
      </c>
      <c r="C20" s="13" t="b">
        <v>0</v>
      </c>
      <c r="D20" s="13" t="b">
        <v>0</v>
      </c>
      <c r="E20" s="13" t="b">
        <v>0</v>
      </c>
      <c r="F20" s="16" t="b">
        <v>0</v>
      </c>
      <c r="G20" s="16" t="b">
        <v>0</v>
      </c>
      <c r="H20" s="16" t="b">
        <v>0</v>
      </c>
    </row>
    <row r="21" spans="1:8" x14ac:dyDescent="0.25">
      <c r="A21" s="13" t="s">
        <v>35</v>
      </c>
      <c r="B21" s="15">
        <v>0</v>
      </c>
      <c r="C21" s="13" t="b">
        <v>0</v>
      </c>
      <c r="D21" s="13" t="b">
        <v>0</v>
      </c>
      <c r="E21" s="13" t="b">
        <v>0</v>
      </c>
      <c r="F21" s="16" t="b">
        <v>0</v>
      </c>
      <c r="G21" s="16" t="b">
        <v>0</v>
      </c>
      <c r="H21" s="16" t="b">
        <v>0</v>
      </c>
    </row>
    <row r="22" spans="1:8" x14ac:dyDescent="0.25">
      <c r="A22" s="13" t="s">
        <v>36</v>
      </c>
      <c r="B22" s="15">
        <v>10</v>
      </c>
      <c r="C22" s="13" t="b">
        <v>0</v>
      </c>
      <c r="D22" s="13" t="b">
        <v>0</v>
      </c>
      <c r="E22" s="13" t="b">
        <v>0</v>
      </c>
      <c r="F22" s="16" t="b">
        <v>0</v>
      </c>
      <c r="G22" s="16" t="b">
        <v>0</v>
      </c>
      <c r="H22" s="16" t="b">
        <v>0</v>
      </c>
    </row>
    <row r="23" spans="1:8" x14ac:dyDescent="0.25">
      <c r="A23" s="13" t="s">
        <v>37</v>
      </c>
      <c r="B23" s="15">
        <v>0</v>
      </c>
      <c r="C23" s="13" t="b">
        <v>0</v>
      </c>
      <c r="D23" s="13" t="b">
        <v>0</v>
      </c>
      <c r="E23" s="13" t="b">
        <v>0</v>
      </c>
      <c r="F23" s="16" t="b">
        <v>0</v>
      </c>
      <c r="G23" s="16" t="b">
        <v>0</v>
      </c>
      <c r="H23" s="16" t="b">
        <v>0</v>
      </c>
    </row>
    <row r="24" spans="1:8" x14ac:dyDescent="0.25">
      <c r="A24" s="13" t="s">
        <v>38</v>
      </c>
      <c r="B24" s="15">
        <v>0</v>
      </c>
      <c r="C24" s="13" t="b">
        <v>0</v>
      </c>
      <c r="D24" s="13" t="b">
        <v>0</v>
      </c>
      <c r="E24" s="13" t="b">
        <v>0</v>
      </c>
      <c r="F24" s="16" t="b">
        <v>0</v>
      </c>
      <c r="G24" s="16" t="b">
        <v>0</v>
      </c>
      <c r="H24" s="1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217C-4FCB-4CF5-B660-9DA2437CA0F5}">
  <dimension ref="A1:AD12"/>
  <sheetViews>
    <sheetView workbookViewId="0">
      <selection activeCell="C8" sqref="C8"/>
    </sheetView>
  </sheetViews>
  <sheetFormatPr defaultRowHeight="15" x14ac:dyDescent="0.25"/>
  <cols>
    <col min="1" max="1" width="5.5703125" style="5" bestFit="1" customWidth="1"/>
    <col min="2" max="2" width="23.28515625" style="5" bestFit="1" customWidth="1"/>
    <col min="3" max="3" width="27.140625" style="5" bestFit="1" customWidth="1"/>
    <col min="4" max="4" width="12" style="5" bestFit="1" customWidth="1"/>
    <col min="5" max="5" width="22.28515625" style="5" bestFit="1" customWidth="1"/>
    <col min="6" max="7" width="3.140625" style="5" bestFit="1" customWidth="1"/>
    <col min="8" max="8" width="3" style="5" bestFit="1" customWidth="1"/>
    <col min="9" max="9" width="3.140625" style="5" bestFit="1" customWidth="1"/>
    <col min="10" max="10" width="3" style="5" bestFit="1" customWidth="1"/>
    <col min="11" max="18" width="3.42578125" style="5" bestFit="1" customWidth="1"/>
    <col min="19" max="25" width="4.42578125" style="5" bestFit="1" customWidth="1"/>
    <col min="26" max="26" width="11.28515625" style="5" bestFit="1" customWidth="1"/>
    <col min="27" max="28" width="4.140625" style="5" bestFit="1" customWidth="1"/>
    <col min="29" max="29" width="11.28515625" style="5" bestFit="1" customWidth="1"/>
    <col min="30" max="30" width="10.5703125" style="5" bestFit="1" customWidth="1"/>
    <col min="31" max="16384" width="9.140625" style="5"/>
  </cols>
  <sheetData>
    <row r="1" spans="1:30" x14ac:dyDescent="0.25">
      <c r="A1" s="25" t="s">
        <v>39</v>
      </c>
      <c r="B1" s="25" t="s">
        <v>40</v>
      </c>
      <c r="C1" s="25" t="s">
        <v>41</v>
      </c>
      <c r="D1" s="25" t="s">
        <v>42</v>
      </c>
      <c r="E1" s="25" t="s">
        <v>43</v>
      </c>
      <c r="F1" s="25" t="str">
        <f t="array" ref="F1:AB1">TRANSPOSE('[1]ST3 Question Map'!A2:A24)</f>
        <v>1a</v>
      </c>
      <c r="G1" s="25" t="str">
        <v>1b</v>
      </c>
      <c r="H1" s="25" t="str">
        <v>1c</v>
      </c>
      <c r="I1" s="25" t="str">
        <v>1d</v>
      </c>
      <c r="J1" s="25" t="str">
        <v>1e</v>
      </c>
      <c r="K1" s="25" t="str">
        <v>Q2</v>
      </c>
      <c r="L1" s="25" t="str">
        <v>Q3</v>
      </c>
      <c r="M1" s="25" t="str">
        <v>Q4</v>
      </c>
      <c r="N1" s="25" t="str">
        <v>Q5</v>
      </c>
      <c r="O1" s="25" t="str">
        <v>Q6</v>
      </c>
      <c r="P1" s="25" t="str">
        <v>Q7</v>
      </c>
      <c r="Q1" s="25" t="str">
        <v>Q8</v>
      </c>
      <c r="R1" s="25" t="str">
        <v>Q9</v>
      </c>
      <c r="S1" s="25" t="str">
        <v>Q10</v>
      </c>
      <c r="T1" s="25" t="str">
        <v>Q11</v>
      </c>
      <c r="U1" s="25" t="str">
        <v>Q12</v>
      </c>
      <c r="V1" s="25" t="str">
        <v>Q13</v>
      </c>
      <c r="W1" s="25" t="str">
        <v>Q14</v>
      </c>
      <c r="X1" s="25" t="str">
        <v>Q15</v>
      </c>
      <c r="Y1" s="25" t="str">
        <v>Q16</v>
      </c>
      <c r="Z1" s="25" t="str">
        <v>Assignment</v>
      </c>
      <c r="AA1" s="25" t="str">
        <v>FA1</v>
      </c>
      <c r="AB1" s="25" t="str">
        <v>FA2</v>
      </c>
      <c r="AC1" s="25" t="s">
        <v>44</v>
      </c>
      <c r="AD1" s="25" t="s">
        <v>45</v>
      </c>
    </row>
    <row r="2" spans="1:30" x14ac:dyDescent="0.25">
      <c r="A2" s="18">
        <v>1</v>
      </c>
      <c r="B2" s="18">
        <v>2010990089</v>
      </c>
      <c r="C2" s="18" t="s">
        <v>46</v>
      </c>
      <c r="D2" s="18" t="s">
        <v>47</v>
      </c>
      <c r="E2" s="18" t="s">
        <v>61</v>
      </c>
      <c r="F2" s="18" t="s">
        <v>49</v>
      </c>
      <c r="G2" s="18" t="s">
        <v>49</v>
      </c>
      <c r="H2" s="18" t="s">
        <v>49</v>
      </c>
      <c r="I2" s="18" t="s">
        <v>49</v>
      </c>
      <c r="J2" s="18" t="s">
        <v>49</v>
      </c>
      <c r="K2" s="18" t="s">
        <v>49</v>
      </c>
      <c r="L2" s="18" t="s">
        <v>49</v>
      </c>
      <c r="M2" s="18" t="s">
        <v>49</v>
      </c>
      <c r="N2" s="18" t="s">
        <v>49</v>
      </c>
      <c r="O2" s="18" t="s">
        <v>49</v>
      </c>
      <c r="P2" s="18" t="s">
        <v>49</v>
      </c>
      <c r="Q2" s="18" t="s">
        <v>49</v>
      </c>
      <c r="R2" s="18" t="s">
        <v>49</v>
      </c>
      <c r="S2" s="18" t="s">
        <v>49</v>
      </c>
      <c r="T2" s="18" t="s">
        <v>49</v>
      </c>
      <c r="U2" s="18" t="s">
        <v>49</v>
      </c>
      <c r="V2" s="18" t="s">
        <v>49</v>
      </c>
      <c r="W2" s="18" t="s">
        <v>49</v>
      </c>
      <c r="X2" s="18" t="s">
        <v>49</v>
      </c>
      <c r="Y2" s="18" t="s">
        <v>49</v>
      </c>
      <c r="Z2" s="18">
        <v>6</v>
      </c>
      <c r="AA2" s="18" t="s">
        <v>49</v>
      </c>
      <c r="AB2" s="18" t="s">
        <v>49</v>
      </c>
      <c r="AC2" s="18">
        <f t="shared" ref="AC2:AC12" si="0">SUM(F2:Z2)</f>
        <v>6</v>
      </c>
      <c r="AD2" s="18">
        <v>50</v>
      </c>
    </row>
    <row r="3" spans="1:30" x14ac:dyDescent="0.25">
      <c r="A3" s="18">
        <v>2</v>
      </c>
      <c r="B3" s="18">
        <v>2010992002</v>
      </c>
      <c r="C3" s="18" t="s">
        <v>50</v>
      </c>
      <c r="D3" s="18" t="s">
        <v>47</v>
      </c>
      <c r="E3" s="18" t="s">
        <v>61</v>
      </c>
      <c r="F3" s="18" t="s">
        <v>49</v>
      </c>
      <c r="G3" s="18" t="s">
        <v>49</v>
      </c>
      <c r="H3" s="18" t="s">
        <v>49</v>
      </c>
      <c r="I3" s="18" t="s">
        <v>49</v>
      </c>
      <c r="J3" s="18" t="s">
        <v>49</v>
      </c>
      <c r="K3" s="18" t="s">
        <v>49</v>
      </c>
      <c r="L3" s="18" t="s">
        <v>49</v>
      </c>
      <c r="M3" s="18" t="s">
        <v>49</v>
      </c>
      <c r="N3" s="18" t="s">
        <v>49</v>
      </c>
      <c r="O3" s="18" t="s">
        <v>49</v>
      </c>
      <c r="P3" s="18" t="s">
        <v>49</v>
      </c>
      <c r="Q3" s="18" t="s">
        <v>49</v>
      </c>
      <c r="R3" s="18" t="s">
        <v>49</v>
      </c>
      <c r="S3" s="18" t="s">
        <v>49</v>
      </c>
      <c r="T3" s="18" t="s">
        <v>49</v>
      </c>
      <c r="U3" s="18" t="s">
        <v>49</v>
      </c>
      <c r="V3" s="18" t="s">
        <v>49</v>
      </c>
      <c r="W3" s="18" t="s">
        <v>49</v>
      </c>
      <c r="X3" s="18" t="s">
        <v>49</v>
      </c>
      <c r="Y3" s="18" t="s">
        <v>49</v>
      </c>
      <c r="Z3" s="18">
        <v>10</v>
      </c>
      <c r="AA3" s="18" t="s">
        <v>49</v>
      </c>
      <c r="AB3" s="18" t="s">
        <v>49</v>
      </c>
      <c r="AC3" s="18">
        <f t="shared" si="0"/>
        <v>10</v>
      </c>
      <c r="AD3" s="18">
        <v>50</v>
      </c>
    </row>
    <row r="4" spans="1:30" x14ac:dyDescent="0.25">
      <c r="A4" s="18">
        <v>3</v>
      </c>
      <c r="B4" s="18">
        <v>2010992006</v>
      </c>
      <c r="C4" s="18" t="s">
        <v>51</v>
      </c>
      <c r="D4" s="18" t="s">
        <v>47</v>
      </c>
      <c r="E4" s="18" t="s">
        <v>61</v>
      </c>
      <c r="F4" s="18" t="s">
        <v>49</v>
      </c>
      <c r="G4" s="18" t="s">
        <v>49</v>
      </c>
      <c r="H4" s="18" t="s">
        <v>49</v>
      </c>
      <c r="I4" s="18" t="s">
        <v>49</v>
      </c>
      <c r="J4" s="18" t="s">
        <v>49</v>
      </c>
      <c r="K4" s="18" t="s">
        <v>49</v>
      </c>
      <c r="L4" s="18" t="s">
        <v>49</v>
      </c>
      <c r="M4" s="18" t="s">
        <v>49</v>
      </c>
      <c r="N4" s="18" t="s">
        <v>49</v>
      </c>
      <c r="O4" s="18" t="s">
        <v>49</v>
      </c>
      <c r="P4" s="18" t="s">
        <v>49</v>
      </c>
      <c r="Q4" s="18" t="s">
        <v>49</v>
      </c>
      <c r="R4" s="18" t="s">
        <v>49</v>
      </c>
      <c r="S4" s="18" t="s">
        <v>49</v>
      </c>
      <c r="T4" s="18" t="s">
        <v>49</v>
      </c>
      <c r="U4" s="18" t="s">
        <v>49</v>
      </c>
      <c r="V4" s="18" t="s">
        <v>49</v>
      </c>
      <c r="W4" s="18" t="s">
        <v>49</v>
      </c>
      <c r="X4" s="18" t="s">
        <v>49</v>
      </c>
      <c r="Y4" s="18" t="s">
        <v>49</v>
      </c>
      <c r="Z4" s="18" t="s">
        <v>49</v>
      </c>
      <c r="AA4" s="18" t="s">
        <v>49</v>
      </c>
      <c r="AB4" s="18" t="s">
        <v>49</v>
      </c>
      <c r="AC4" s="18">
        <f t="shared" si="0"/>
        <v>0</v>
      </c>
      <c r="AD4" s="18">
        <v>50</v>
      </c>
    </row>
    <row r="5" spans="1:30" x14ac:dyDescent="0.25">
      <c r="A5" s="18">
        <v>4</v>
      </c>
      <c r="B5" s="18">
        <v>2010992008</v>
      </c>
      <c r="C5" s="18" t="s">
        <v>52</v>
      </c>
      <c r="D5" s="18" t="s">
        <v>47</v>
      </c>
      <c r="E5" s="18" t="s">
        <v>61</v>
      </c>
      <c r="F5" s="18" t="s">
        <v>49</v>
      </c>
      <c r="G5" s="18" t="s">
        <v>49</v>
      </c>
      <c r="H5" s="18" t="s">
        <v>49</v>
      </c>
      <c r="I5" s="18" t="s">
        <v>49</v>
      </c>
      <c r="J5" s="18" t="s">
        <v>49</v>
      </c>
      <c r="K5" s="18" t="s">
        <v>49</v>
      </c>
      <c r="L5" s="18" t="s">
        <v>49</v>
      </c>
      <c r="M5" s="18" t="s">
        <v>49</v>
      </c>
      <c r="N5" s="18" t="s">
        <v>49</v>
      </c>
      <c r="O5" s="18" t="s">
        <v>49</v>
      </c>
      <c r="P5" s="18" t="s">
        <v>49</v>
      </c>
      <c r="Q5" s="18" t="s">
        <v>49</v>
      </c>
      <c r="R5" s="18" t="s">
        <v>49</v>
      </c>
      <c r="S5" s="18" t="s">
        <v>49</v>
      </c>
      <c r="T5" s="18" t="s">
        <v>49</v>
      </c>
      <c r="U5" s="18" t="s">
        <v>49</v>
      </c>
      <c r="V5" s="18" t="s">
        <v>49</v>
      </c>
      <c r="W5" s="18" t="s">
        <v>49</v>
      </c>
      <c r="X5" s="18" t="s">
        <v>49</v>
      </c>
      <c r="Y5" s="18" t="s">
        <v>49</v>
      </c>
      <c r="Z5" s="18">
        <v>10</v>
      </c>
      <c r="AA5" s="18" t="s">
        <v>49</v>
      </c>
      <c r="AB5" s="18" t="s">
        <v>49</v>
      </c>
      <c r="AC5" s="18">
        <f t="shared" si="0"/>
        <v>10</v>
      </c>
      <c r="AD5" s="18">
        <v>50</v>
      </c>
    </row>
    <row r="6" spans="1:30" x14ac:dyDescent="0.25">
      <c r="A6" s="18">
        <v>5</v>
      </c>
      <c r="B6" s="18">
        <v>2010992009</v>
      </c>
      <c r="C6" s="18" t="s">
        <v>53</v>
      </c>
      <c r="D6" s="18" t="s">
        <v>47</v>
      </c>
      <c r="E6" s="18" t="s">
        <v>61</v>
      </c>
      <c r="F6" s="18" t="s">
        <v>49</v>
      </c>
      <c r="G6" s="18" t="s">
        <v>49</v>
      </c>
      <c r="H6" s="18" t="s">
        <v>49</v>
      </c>
      <c r="I6" s="18" t="s">
        <v>49</v>
      </c>
      <c r="J6" s="18" t="s">
        <v>49</v>
      </c>
      <c r="K6" s="18" t="s">
        <v>49</v>
      </c>
      <c r="L6" s="18" t="s">
        <v>49</v>
      </c>
      <c r="M6" s="18" t="s">
        <v>49</v>
      </c>
      <c r="N6" s="18" t="s">
        <v>49</v>
      </c>
      <c r="O6" s="18" t="s">
        <v>49</v>
      </c>
      <c r="P6" s="18" t="s">
        <v>49</v>
      </c>
      <c r="Q6" s="18" t="s">
        <v>49</v>
      </c>
      <c r="R6" s="18" t="s">
        <v>49</v>
      </c>
      <c r="S6" s="18" t="s">
        <v>49</v>
      </c>
      <c r="T6" s="18" t="s">
        <v>49</v>
      </c>
      <c r="U6" s="18" t="s">
        <v>49</v>
      </c>
      <c r="V6" s="18" t="s">
        <v>49</v>
      </c>
      <c r="W6" s="18" t="s">
        <v>49</v>
      </c>
      <c r="X6" s="18" t="s">
        <v>49</v>
      </c>
      <c r="Y6" s="18" t="s">
        <v>49</v>
      </c>
      <c r="Z6" s="18">
        <v>10</v>
      </c>
      <c r="AA6" s="18" t="s">
        <v>49</v>
      </c>
      <c r="AB6" s="18" t="s">
        <v>49</v>
      </c>
      <c r="AC6" s="18">
        <f t="shared" si="0"/>
        <v>10</v>
      </c>
      <c r="AD6" s="18">
        <v>50</v>
      </c>
    </row>
    <row r="7" spans="1:30" x14ac:dyDescent="0.25">
      <c r="A7" s="18">
        <v>6</v>
      </c>
      <c r="B7" s="18">
        <v>2010992011</v>
      </c>
      <c r="C7" s="18" t="s">
        <v>54</v>
      </c>
      <c r="D7" s="18" t="s">
        <v>47</v>
      </c>
      <c r="E7" s="18" t="s">
        <v>61</v>
      </c>
      <c r="F7" s="18" t="s">
        <v>49</v>
      </c>
      <c r="G7" s="18" t="s">
        <v>49</v>
      </c>
      <c r="H7" s="18" t="s">
        <v>49</v>
      </c>
      <c r="I7" s="18" t="s">
        <v>49</v>
      </c>
      <c r="J7" s="18" t="s">
        <v>49</v>
      </c>
      <c r="K7" s="18" t="s">
        <v>49</v>
      </c>
      <c r="L7" s="18" t="s">
        <v>49</v>
      </c>
      <c r="M7" s="18" t="s">
        <v>49</v>
      </c>
      <c r="N7" s="18" t="s">
        <v>49</v>
      </c>
      <c r="O7" s="18" t="s">
        <v>49</v>
      </c>
      <c r="P7" s="18" t="s">
        <v>49</v>
      </c>
      <c r="Q7" s="18" t="s">
        <v>49</v>
      </c>
      <c r="R7" s="18" t="s">
        <v>49</v>
      </c>
      <c r="S7" s="18" t="s">
        <v>49</v>
      </c>
      <c r="T7" s="18" t="s">
        <v>49</v>
      </c>
      <c r="U7" s="18" t="s">
        <v>49</v>
      </c>
      <c r="V7" s="18" t="s">
        <v>49</v>
      </c>
      <c r="W7" s="18" t="s">
        <v>49</v>
      </c>
      <c r="X7" s="18" t="s">
        <v>49</v>
      </c>
      <c r="Y7" s="18" t="s">
        <v>49</v>
      </c>
      <c r="Z7" s="18">
        <v>7</v>
      </c>
      <c r="AA7" s="18" t="s">
        <v>49</v>
      </c>
      <c r="AB7" s="18" t="s">
        <v>49</v>
      </c>
      <c r="AC7" s="18">
        <f t="shared" si="0"/>
        <v>7</v>
      </c>
      <c r="AD7" s="18">
        <v>50</v>
      </c>
    </row>
    <row r="8" spans="1:30" x14ac:dyDescent="0.25">
      <c r="A8" s="18">
        <v>7</v>
      </c>
      <c r="B8" s="18">
        <v>2010992014</v>
      </c>
      <c r="C8" s="18" t="s">
        <v>55</v>
      </c>
      <c r="D8" s="18" t="s">
        <v>47</v>
      </c>
      <c r="E8" s="18" t="s">
        <v>61</v>
      </c>
      <c r="F8" s="18" t="s">
        <v>49</v>
      </c>
      <c r="G8" s="18" t="s">
        <v>49</v>
      </c>
      <c r="H8" s="18" t="s">
        <v>49</v>
      </c>
      <c r="I8" s="18" t="s">
        <v>49</v>
      </c>
      <c r="J8" s="18" t="s">
        <v>49</v>
      </c>
      <c r="K8" s="18" t="s">
        <v>49</v>
      </c>
      <c r="L8" s="18" t="s">
        <v>49</v>
      </c>
      <c r="M8" s="18" t="s">
        <v>49</v>
      </c>
      <c r="N8" s="18" t="s">
        <v>49</v>
      </c>
      <c r="O8" s="18" t="s">
        <v>49</v>
      </c>
      <c r="P8" s="18" t="s">
        <v>49</v>
      </c>
      <c r="Q8" s="18" t="s">
        <v>49</v>
      </c>
      <c r="R8" s="18" t="s">
        <v>49</v>
      </c>
      <c r="S8" s="18" t="s">
        <v>49</v>
      </c>
      <c r="T8" s="18" t="s">
        <v>49</v>
      </c>
      <c r="U8" s="18" t="s">
        <v>49</v>
      </c>
      <c r="V8" s="18" t="s">
        <v>49</v>
      </c>
      <c r="W8" s="18" t="s">
        <v>49</v>
      </c>
      <c r="X8" s="18" t="s">
        <v>49</v>
      </c>
      <c r="Y8" s="18" t="s">
        <v>49</v>
      </c>
      <c r="Z8" s="18">
        <v>7</v>
      </c>
      <c r="AA8" s="18" t="s">
        <v>49</v>
      </c>
      <c r="AB8" s="18" t="s">
        <v>49</v>
      </c>
      <c r="AC8" s="18">
        <f t="shared" si="0"/>
        <v>7</v>
      </c>
      <c r="AD8" s="18">
        <v>50</v>
      </c>
    </row>
    <row r="9" spans="1:30" x14ac:dyDescent="0.25">
      <c r="A9" s="18">
        <v>8</v>
      </c>
      <c r="B9" s="18">
        <v>2010992016</v>
      </c>
      <c r="C9" s="18" t="s">
        <v>56</v>
      </c>
      <c r="D9" s="18" t="s">
        <v>47</v>
      </c>
      <c r="E9" s="18" t="s">
        <v>61</v>
      </c>
      <c r="F9" s="18" t="s">
        <v>49</v>
      </c>
      <c r="G9" s="18" t="s">
        <v>49</v>
      </c>
      <c r="H9" s="18" t="s">
        <v>49</v>
      </c>
      <c r="I9" s="18" t="s">
        <v>49</v>
      </c>
      <c r="J9" s="18" t="s">
        <v>49</v>
      </c>
      <c r="K9" s="18" t="s">
        <v>49</v>
      </c>
      <c r="L9" s="18" t="s">
        <v>49</v>
      </c>
      <c r="M9" s="18" t="s">
        <v>49</v>
      </c>
      <c r="N9" s="18" t="s">
        <v>49</v>
      </c>
      <c r="O9" s="18" t="s">
        <v>49</v>
      </c>
      <c r="P9" s="18" t="s">
        <v>49</v>
      </c>
      <c r="Q9" s="18" t="s">
        <v>49</v>
      </c>
      <c r="R9" s="18" t="s">
        <v>49</v>
      </c>
      <c r="S9" s="18" t="s">
        <v>49</v>
      </c>
      <c r="T9" s="18" t="s">
        <v>49</v>
      </c>
      <c r="U9" s="18" t="s">
        <v>49</v>
      </c>
      <c r="V9" s="18" t="s">
        <v>49</v>
      </c>
      <c r="W9" s="18" t="s">
        <v>49</v>
      </c>
      <c r="X9" s="18" t="s">
        <v>49</v>
      </c>
      <c r="Y9" s="18" t="s">
        <v>49</v>
      </c>
      <c r="Z9" s="18">
        <v>10</v>
      </c>
      <c r="AA9" s="18" t="s">
        <v>49</v>
      </c>
      <c r="AB9" s="18" t="s">
        <v>49</v>
      </c>
      <c r="AC9" s="18">
        <f t="shared" si="0"/>
        <v>10</v>
      </c>
      <c r="AD9" s="18">
        <v>50</v>
      </c>
    </row>
    <row r="10" spans="1:30" x14ac:dyDescent="0.25">
      <c r="A10" s="18">
        <v>9</v>
      </c>
      <c r="B10" s="18">
        <v>2010992018</v>
      </c>
      <c r="C10" s="18" t="s">
        <v>57</v>
      </c>
      <c r="D10" s="18" t="s">
        <v>47</v>
      </c>
      <c r="E10" s="18" t="s">
        <v>61</v>
      </c>
      <c r="F10" s="18" t="s">
        <v>49</v>
      </c>
      <c r="G10" s="18" t="s">
        <v>49</v>
      </c>
      <c r="H10" s="18" t="s">
        <v>49</v>
      </c>
      <c r="I10" s="18" t="s">
        <v>49</v>
      </c>
      <c r="J10" s="18" t="s">
        <v>49</v>
      </c>
      <c r="K10" s="18" t="s">
        <v>49</v>
      </c>
      <c r="L10" s="18" t="s">
        <v>49</v>
      </c>
      <c r="M10" s="18" t="s">
        <v>49</v>
      </c>
      <c r="N10" s="18" t="s">
        <v>49</v>
      </c>
      <c r="O10" s="18" t="s">
        <v>49</v>
      </c>
      <c r="P10" s="18" t="s">
        <v>49</v>
      </c>
      <c r="Q10" s="18" t="s">
        <v>49</v>
      </c>
      <c r="R10" s="18" t="s">
        <v>49</v>
      </c>
      <c r="S10" s="18" t="s">
        <v>49</v>
      </c>
      <c r="T10" s="18" t="s">
        <v>49</v>
      </c>
      <c r="U10" s="18" t="s">
        <v>49</v>
      </c>
      <c r="V10" s="18" t="s">
        <v>49</v>
      </c>
      <c r="W10" s="18" t="s">
        <v>49</v>
      </c>
      <c r="X10" s="18" t="s">
        <v>49</v>
      </c>
      <c r="Y10" s="18" t="s">
        <v>49</v>
      </c>
      <c r="Z10" s="18">
        <v>10</v>
      </c>
      <c r="AA10" s="18" t="s">
        <v>49</v>
      </c>
      <c r="AB10" s="18" t="s">
        <v>49</v>
      </c>
      <c r="AC10" s="18">
        <f t="shared" si="0"/>
        <v>10</v>
      </c>
      <c r="AD10" s="18">
        <v>50</v>
      </c>
    </row>
    <row r="11" spans="1:30" x14ac:dyDescent="0.25">
      <c r="A11" s="18">
        <v>10</v>
      </c>
      <c r="B11" s="18">
        <v>2010992163</v>
      </c>
      <c r="C11" s="18" t="s">
        <v>58</v>
      </c>
      <c r="D11" s="18" t="s">
        <v>47</v>
      </c>
      <c r="E11" s="18" t="s">
        <v>61</v>
      </c>
      <c r="F11" s="18" t="s">
        <v>49</v>
      </c>
      <c r="G11" s="18" t="s">
        <v>49</v>
      </c>
      <c r="H11" s="18" t="s">
        <v>49</v>
      </c>
      <c r="I11" s="18" t="s">
        <v>49</v>
      </c>
      <c r="J11" s="18" t="s">
        <v>49</v>
      </c>
      <c r="K11" s="18" t="s">
        <v>49</v>
      </c>
      <c r="L11" s="18" t="s">
        <v>49</v>
      </c>
      <c r="M11" s="18" t="s">
        <v>49</v>
      </c>
      <c r="N11" s="18" t="s">
        <v>49</v>
      </c>
      <c r="O11" s="18" t="s">
        <v>49</v>
      </c>
      <c r="P11" s="18" t="s">
        <v>49</v>
      </c>
      <c r="Q11" s="18" t="s">
        <v>49</v>
      </c>
      <c r="R11" s="18" t="s">
        <v>49</v>
      </c>
      <c r="S11" s="18" t="s">
        <v>49</v>
      </c>
      <c r="T11" s="18" t="s">
        <v>49</v>
      </c>
      <c r="U11" s="18" t="s">
        <v>49</v>
      </c>
      <c r="V11" s="18" t="s">
        <v>49</v>
      </c>
      <c r="W11" s="18" t="s">
        <v>49</v>
      </c>
      <c r="X11" s="18" t="s">
        <v>49</v>
      </c>
      <c r="Y11" s="18" t="s">
        <v>49</v>
      </c>
      <c r="Z11" s="18">
        <v>10</v>
      </c>
      <c r="AA11" s="18" t="s">
        <v>49</v>
      </c>
      <c r="AB11" s="18" t="s">
        <v>49</v>
      </c>
      <c r="AC11" s="18">
        <f t="shared" si="0"/>
        <v>10</v>
      </c>
      <c r="AD11" s="18">
        <v>50</v>
      </c>
    </row>
    <row r="12" spans="1:30" x14ac:dyDescent="0.25">
      <c r="A12" s="18">
        <v>11</v>
      </c>
      <c r="B12" s="18">
        <v>2010992203</v>
      </c>
      <c r="C12" s="18" t="s">
        <v>59</v>
      </c>
      <c r="D12" s="18" t="s">
        <v>47</v>
      </c>
      <c r="E12" s="18" t="s">
        <v>61</v>
      </c>
      <c r="F12" s="18" t="s">
        <v>49</v>
      </c>
      <c r="G12" s="18" t="s">
        <v>49</v>
      </c>
      <c r="H12" s="18" t="s">
        <v>49</v>
      </c>
      <c r="I12" s="18" t="s">
        <v>49</v>
      </c>
      <c r="J12" s="18" t="s">
        <v>49</v>
      </c>
      <c r="K12" s="18" t="s">
        <v>49</v>
      </c>
      <c r="L12" s="18" t="s">
        <v>49</v>
      </c>
      <c r="M12" s="18" t="s">
        <v>49</v>
      </c>
      <c r="N12" s="18" t="s">
        <v>49</v>
      </c>
      <c r="O12" s="18" t="s">
        <v>49</v>
      </c>
      <c r="P12" s="18" t="s">
        <v>49</v>
      </c>
      <c r="Q12" s="18" t="s">
        <v>49</v>
      </c>
      <c r="R12" s="18" t="s">
        <v>49</v>
      </c>
      <c r="S12" s="18" t="s">
        <v>49</v>
      </c>
      <c r="T12" s="18" t="s">
        <v>49</v>
      </c>
      <c r="U12" s="18" t="s">
        <v>49</v>
      </c>
      <c r="V12" s="18" t="s">
        <v>49</v>
      </c>
      <c r="W12" s="18" t="s">
        <v>49</v>
      </c>
      <c r="X12" s="18" t="s">
        <v>49</v>
      </c>
      <c r="Y12" s="18" t="s">
        <v>49</v>
      </c>
      <c r="Z12" s="18" t="s">
        <v>49</v>
      </c>
      <c r="AA12" s="18" t="s">
        <v>49</v>
      </c>
      <c r="AB12" s="18" t="s">
        <v>49</v>
      </c>
      <c r="AC12" s="18">
        <f t="shared" si="0"/>
        <v>0</v>
      </c>
      <c r="AD12" s="18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DAE8-2B48-4368-88DF-3D4CC7A6F547}">
  <dimension ref="A1:H24"/>
  <sheetViews>
    <sheetView tabSelected="1" workbookViewId="0">
      <selection activeCell="C11" sqref="C11"/>
    </sheetView>
  </sheetViews>
  <sheetFormatPr defaultRowHeight="15" x14ac:dyDescent="0.25"/>
  <sheetData>
    <row r="1" spans="1:8" ht="15.75" thickBot="1" x14ac:dyDescent="0.3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</row>
    <row r="2" spans="1:8" ht="15.75" thickBot="1" x14ac:dyDescent="0.3">
      <c r="A2" s="28" t="s">
        <v>16</v>
      </c>
      <c r="B2" s="29">
        <v>1</v>
      </c>
      <c r="C2" s="30" t="b">
        <v>1</v>
      </c>
      <c r="D2" s="30" t="b">
        <v>1</v>
      </c>
      <c r="E2" s="30" t="b">
        <v>0</v>
      </c>
      <c r="F2" s="30" t="b">
        <v>0</v>
      </c>
      <c r="G2" s="30" t="b">
        <v>0</v>
      </c>
      <c r="H2" s="30" t="b">
        <v>0</v>
      </c>
    </row>
    <row r="3" spans="1:8" ht="15.75" thickBot="1" x14ac:dyDescent="0.3">
      <c r="A3" s="31" t="s">
        <v>17</v>
      </c>
      <c r="B3" s="32">
        <v>1</v>
      </c>
      <c r="C3" s="30" t="b">
        <v>1</v>
      </c>
      <c r="D3" s="30" t="b">
        <v>1</v>
      </c>
      <c r="E3" s="30" t="b">
        <v>0</v>
      </c>
      <c r="F3" s="33" t="b">
        <v>0</v>
      </c>
      <c r="G3" s="33" t="b">
        <v>0</v>
      </c>
      <c r="H3" s="33" t="b">
        <v>0</v>
      </c>
    </row>
    <row r="4" spans="1:8" ht="15.75" thickBot="1" x14ac:dyDescent="0.3">
      <c r="A4" s="31" t="s">
        <v>18</v>
      </c>
      <c r="B4" s="32">
        <v>1</v>
      </c>
      <c r="C4" s="30" t="b">
        <v>1</v>
      </c>
      <c r="D4" s="30" t="b">
        <v>1</v>
      </c>
      <c r="E4" s="30" t="b">
        <v>0</v>
      </c>
      <c r="F4" s="33" t="b">
        <v>0</v>
      </c>
      <c r="G4" s="33" t="b">
        <v>0</v>
      </c>
      <c r="H4" s="33" t="b">
        <v>0</v>
      </c>
    </row>
    <row r="5" spans="1:8" ht="15.75" thickBot="1" x14ac:dyDescent="0.3">
      <c r="A5" s="31" t="s">
        <v>19</v>
      </c>
      <c r="B5" s="32">
        <v>1</v>
      </c>
      <c r="C5" s="30" t="b">
        <v>1</v>
      </c>
      <c r="D5" s="30" t="b">
        <v>1</v>
      </c>
      <c r="E5" s="30" t="b">
        <v>0</v>
      </c>
      <c r="F5" s="33" t="b">
        <v>0</v>
      </c>
      <c r="G5" s="33" t="b">
        <v>0</v>
      </c>
      <c r="H5" s="33" t="b">
        <v>0</v>
      </c>
    </row>
    <row r="6" spans="1:8" ht="15.75" thickBot="1" x14ac:dyDescent="0.3">
      <c r="A6" s="31" t="s">
        <v>20</v>
      </c>
      <c r="B6" s="32">
        <v>1</v>
      </c>
      <c r="C6" s="30" t="b">
        <v>1</v>
      </c>
      <c r="D6" s="30" t="b">
        <v>1</v>
      </c>
      <c r="E6" s="30" t="b">
        <v>0</v>
      </c>
      <c r="F6" s="33" t="b">
        <v>0</v>
      </c>
      <c r="G6" s="33" t="b">
        <v>0</v>
      </c>
      <c r="H6" s="33" t="b">
        <v>0</v>
      </c>
    </row>
    <row r="7" spans="1:8" ht="15.75" thickBot="1" x14ac:dyDescent="0.3">
      <c r="A7" s="31" t="s">
        <v>21</v>
      </c>
      <c r="B7" s="32">
        <v>2</v>
      </c>
      <c r="C7" s="33" t="b">
        <v>1</v>
      </c>
      <c r="D7" s="33" t="b">
        <v>0</v>
      </c>
      <c r="E7" s="33" t="b">
        <v>0</v>
      </c>
      <c r="F7" s="33" t="b">
        <v>0</v>
      </c>
      <c r="G7" s="33" t="b">
        <v>0</v>
      </c>
      <c r="H7" s="33" t="b">
        <v>0</v>
      </c>
    </row>
    <row r="8" spans="1:8" ht="15.75" thickBot="1" x14ac:dyDescent="0.3">
      <c r="A8" s="31" t="s">
        <v>22</v>
      </c>
      <c r="B8" s="32">
        <v>2</v>
      </c>
      <c r="C8" s="33" t="b">
        <v>0</v>
      </c>
      <c r="D8" s="33" t="b">
        <v>0</v>
      </c>
      <c r="E8" s="33" t="b">
        <v>1</v>
      </c>
      <c r="F8" s="33" t="b">
        <v>0</v>
      </c>
      <c r="G8" s="33" t="b">
        <v>0</v>
      </c>
      <c r="H8" s="33" t="b">
        <v>0</v>
      </c>
    </row>
    <row r="9" spans="1:8" ht="15.75" thickBot="1" x14ac:dyDescent="0.3">
      <c r="A9" s="31" t="s">
        <v>23</v>
      </c>
      <c r="B9" s="32">
        <v>2</v>
      </c>
      <c r="C9" s="33" t="b">
        <v>1</v>
      </c>
      <c r="D9" s="33" t="b">
        <v>0</v>
      </c>
      <c r="E9" s="33" t="b">
        <v>0</v>
      </c>
      <c r="F9" s="33" t="b">
        <v>0</v>
      </c>
      <c r="G9" s="33" t="b">
        <v>0</v>
      </c>
      <c r="H9" s="33" t="b">
        <v>0</v>
      </c>
    </row>
    <row r="10" spans="1:8" ht="15.75" thickBot="1" x14ac:dyDescent="0.3">
      <c r="A10" s="31" t="s">
        <v>24</v>
      </c>
      <c r="B10" s="32">
        <v>2</v>
      </c>
      <c r="C10" s="33" t="b">
        <v>0</v>
      </c>
      <c r="D10" s="33" t="b">
        <v>1</v>
      </c>
      <c r="E10" s="33" t="b">
        <v>0</v>
      </c>
      <c r="F10" s="33" t="b">
        <v>0</v>
      </c>
      <c r="G10" s="33" t="b">
        <v>0</v>
      </c>
      <c r="H10" s="33" t="b">
        <v>0</v>
      </c>
    </row>
    <row r="11" spans="1:8" ht="15.75" thickBot="1" x14ac:dyDescent="0.3">
      <c r="A11" s="31" t="s">
        <v>25</v>
      </c>
      <c r="B11" s="32">
        <v>2</v>
      </c>
      <c r="C11" s="33" t="b">
        <v>1</v>
      </c>
      <c r="D11" s="33" t="b">
        <v>0</v>
      </c>
      <c r="E11" s="33" t="b">
        <v>0</v>
      </c>
      <c r="F11" s="33" t="b">
        <v>0</v>
      </c>
      <c r="G11" s="33" t="b">
        <v>0</v>
      </c>
      <c r="H11" s="33" t="b">
        <v>0</v>
      </c>
    </row>
    <row r="12" spans="1:8" ht="15.75" thickBot="1" x14ac:dyDescent="0.3">
      <c r="A12" s="31" t="s">
        <v>26</v>
      </c>
      <c r="B12" s="32">
        <v>2</v>
      </c>
      <c r="C12" s="33" t="b">
        <v>0</v>
      </c>
      <c r="D12" s="33" t="b">
        <v>1</v>
      </c>
      <c r="E12" s="33" t="b">
        <v>0</v>
      </c>
      <c r="F12" s="33" t="b">
        <v>0</v>
      </c>
      <c r="G12" s="33" t="b">
        <v>0</v>
      </c>
      <c r="H12" s="33" t="b">
        <v>0</v>
      </c>
    </row>
    <row r="13" spans="1:8" ht="15.75" thickBot="1" x14ac:dyDescent="0.3">
      <c r="A13" s="31" t="s">
        <v>27</v>
      </c>
      <c r="B13" s="32">
        <v>5</v>
      </c>
      <c r="C13" s="33" t="b">
        <v>1</v>
      </c>
      <c r="D13" s="33" t="b">
        <v>0</v>
      </c>
      <c r="E13" s="33" t="b">
        <v>0</v>
      </c>
      <c r="F13" s="33" t="b">
        <v>0</v>
      </c>
      <c r="G13" s="33" t="b">
        <v>0</v>
      </c>
      <c r="H13" s="33" t="b">
        <v>0</v>
      </c>
    </row>
    <row r="14" spans="1:8" ht="15.75" thickBot="1" x14ac:dyDescent="0.3">
      <c r="A14" s="31" t="s">
        <v>28</v>
      </c>
      <c r="B14" s="32">
        <v>5</v>
      </c>
      <c r="C14" s="33" t="b">
        <v>0</v>
      </c>
      <c r="D14" s="33" t="b">
        <v>1</v>
      </c>
      <c r="E14" s="33" t="b">
        <v>0</v>
      </c>
      <c r="F14" s="33" t="b">
        <v>0</v>
      </c>
      <c r="G14" s="33" t="b">
        <v>0</v>
      </c>
      <c r="H14" s="33" t="b">
        <v>0</v>
      </c>
    </row>
    <row r="15" spans="1:8" ht="15.75" thickBot="1" x14ac:dyDescent="0.3">
      <c r="A15" s="31" t="s">
        <v>29</v>
      </c>
      <c r="B15" s="32">
        <v>5</v>
      </c>
      <c r="C15" s="33" t="b">
        <v>0</v>
      </c>
      <c r="D15" s="33" t="b">
        <v>1</v>
      </c>
      <c r="E15" s="33" t="b">
        <v>0</v>
      </c>
      <c r="F15" s="33" t="b">
        <v>0</v>
      </c>
      <c r="G15" s="33" t="b">
        <v>0</v>
      </c>
      <c r="H15" s="33" t="b">
        <v>0</v>
      </c>
    </row>
    <row r="16" spans="1:8" ht="15.75" thickBot="1" x14ac:dyDescent="0.3">
      <c r="A16" s="31" t="s">
        <v>30</v>
      </c>
      <c r="B16" s="32">
        <v>5</v>
      </c>
      <c r="C16" s="33" t="b">
        <v>0</v>
      </c>
      <c r="D16" s="33" t="b">
        <v>0</v>
      </c>
      <c r="E16" s="33" t="b">
        <v>1</v>
      </c>
      <c r="F16" s="33" t="b">
        <v>0</v>
      </c>
      <c r="G16" s="33" t="b">
        <v>0</v>
      </c>
      <c r="H16" s="33" t="b">
        <v>0</v>
      </c>
    </row>
    <row r="17" spans="1:8" ht="15.75" thickBot="1" x14ac:dyDescent="0.3">
      <c r="A17" s="31" t="s">
        <v>31</v>
      </c>
      <c r="B17" s="32">
        <v>5</v>
      </c>
      <c r="C17" s="33" t="b">
        <v>1</v>
      </c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</row>
    <row r="18" spans="1:8" ht="15.75" thickBot="1" x14ac:dyDescent="0.3">
      <c r="A18" s="31" t="s">
        <v>32</v>
      </c>
      <c r="B18" s="32">
        <v>5</v>
      </c>
      <c r="C18" s="33" t="b">
        <v>0</v>
      </c>
      <c r="D18" s="33" t="b">
        <v>0</v>
      </c>
      <c r="E18" s="33" t="b">
        <v>1</v>
      </c>
      <c r="F18" s="33" t="b">
        <v>0</v>
      </c>
      <c r="G18" s="33" t="b">
        <v>0</v>
      </c>
      <c r="H18" s="33" t="b">
        <v>0</v>
      </c>
    </row>
    <row r="19" spans="1:8" ht="15.75" thickBot="1" x14ac:dyDescent="0.3">
      <c r="A19" s="31" t="s">
        <v>33</v>
      </c>
      <c r="B19" s="32">
        <v>10</v>
      </c>
      <c r="C19" s="33" t="b">
        <v>0</v>
      </c>
      <c r="D19" s="33" t="b">
        <v>0</v>
      </c>
      <c r="E19" s="33" t="b">
        <v>1</v>
      </c>
      <c r="F19" s="33" t="b">
        <v>0</v>
      </c>
      <c r="G19" s="33" t="b">
        <v>0</v>
      </c>
      <c r="H19" s="33" t="b">
        <v>0</v>
      </c>
    </row>
    <row r="20" spans="1:8" ht="15.75" thickBot="1" x14ac:dyDescent="0.3">
      <c r="A20" s="31" t="s">
        <v>34</v>
      </c>
      <c r="B20" s="32">
        <v>10</v>
      </c>
      <c r="C20" s="33" t="b">
        <v>0</v>
      </c>
      <c r="D20" s="33" t="b">
        <v>1</v>
      </c>
      <c r="E20" s="33" t="b">
        <v>0</v>
      </c>
      <c r="F20" s="33" t="b">
        <v>0</v>
      </c>
      <c r="G20" s="33" t="b">
        <v>0</v>
      </c>
      <c r="H20" s="33" t="b">
        <v>0</v>
      </c>
    </row>
    <row r="21" spans="1:8" ht="15.75" thickBot="1" x14ac:dyDescent="0.3">
      <c r="A21" s="31" t="s">
        <v>35</v>
      </c>
      <c r="B21" s="32">
        <v>10</v>
      </c>
      <c r="C21" s="33" t="b">
        <v>0</v>
      </c>
      <c r="D21" s="33" t="b">
        <v>1</v>
      </c>
      <c r="E21" s="33" t="b">
        <v>0</v>
      </c>
      <c r="F21" s="33" t="b">
        <v>0</v>
      </c>
      <c r="G21" s="33" t="b">
        <v>0</v>
      </c>
      <c r="H21" s="33" t="b">
        <v>0</v>
      </c>
    </row>
    <row r="22" spans="1:8" ht="30.75" thickBot="1" x14ac:dyDescent="0.3">
      <c r="A22" s="31" t="s">
        <v>36</v>
      </c>
      <c r="B22" s="32">
        <v>0</v>
      </c>
      <c r="C22" s="33" t="b">
        <v>0</v>
      </c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</row>
    <row r="23" spans="1:8" ht="15.75" thickBot="1" x14ac:dyDescent="0.3">
      <c r="A23" s="31" t="s">
        <v>37</v>
      </c>
      <c r="B23" s="32">
        <v>0</v>
      </c>
      <c r="C23" s="33" t="b">
        <v>0</v>
      </c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</row>
    <row r="24" spans="1:8" ht="15.75" thickBot="1" x14ac:dyDescent="0.3">
      <c r="A24" s="31" t="s">
        <v>38</v>
      </c>
      <c r="B24" s="32">
        <v>0</v>
      </c>
      <c r="C24" s="33" t="b">
        <v>0</v>
      </c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45E-24E1-4C1F-9228-B7001F86A048}">
  <dimension ref="A1:AD12"/>
  <sheetViews>
    <sheetView workbookViewId="0">
      <selection activeCell="E9" sqref="E9"/>
    </sheetView>
  </sheetViews>
  <sheetFormatPr defaultRowHeight="15" x14ac:dyDescent="0.25"/>
  <cols>
    <col min="1" max="1" width="5.5703125" style="5" bestFit="1" customWidth="1"/>
    <col min="2" max="2" width="23.28515625" style="5" bestFit="1" customWidth="1"/>
    <col min="3" max="3" width="27.140625" style="5" bestFit="1" customWidth="1"/>
    <col min="4" max="4" width="12" style="5" bestFit="1" customWidth="1"/>
    <col min="5" max="5" width="22.28515625" style="5" bestFit="1" customWidth="1"/>
    <col min="6" max="7" width="3.140625" style="5" bestFit="1" customWidth="1"/>
    <col min="8" max="8" width="3" style="5" bestFit="1" customWidth="1"/>
    <col min="9" max="9" width="3.140625" style="5" bestFit="1" customWidth="1"/>
    <col min="10" max="10" width="3" style="5" bestFit="1" customWidth="1"/>
    <col min="11" max="18" width="3.42578125" style="5" bestFit="1" customWidth="1"/>
    <col min="19" max="25" width="4.42578125" style="5" bestFit="1" customWidth="1"/>
    <col min="26" max="26" width="11.28515625" style="5" bestFit="1" customWidth="1"/>
    <col min="27" max="28" width="4.140625" style="5" bestFit="1" customWidth="1"/>
    <col min="29" max="29" width="11.28515625" style="5" bestFit="1" customWidth="1"/>
    <col min="30" max="30" width="10.5703125" style="5" bestFit="1" customWidth="1"/>
    <col min="31" max="16384" width="9.140625" style="5"/>
  </cols>
  <sheetData>
    <row r="1" spans="1:30" x14ac:dyDescent="0.25">
      <c r="A1" s="34" t="s">
        <v>39</v>
      </c>
      <c r="B1" s="34" t="s">
        <v>40</v>
      </c>
      <c r="C1" s="34" t="s">
        <v>41</v>
      </c>
      <c r="D1" s="34" t="s">
        <v>42</v>
      </c>
      <c r="E1" s="34" t="s">
        <v>43</v>
      </c>
      <c r="F1" s="34" t="str">
        <f t="array" ref="F1:AB1">TRANSPOSE('[1]ETE Question Map'!A2:A24)</f>
        <v>1a</v>
      </c>
      <c r="G1" s="34" t="str">
        <v>1b</v>
      </c>
      <c r="H1" s="34" t="str">
        <v>1c</v>
      </c>
      <c r="I1" s="34" t="str">
        <v>1d</v>
      </c>
      <c r="J1" s="34" t="str">
        <v>1e</v>
      </c>
      <c r="K1" s="34" t="str">
        <v>Q2</v>
      </c>
      <c r="L1" s="34" t="str">
        <v>Q3</v>
      </c>
      <c r="M1" s="34" t="str">
        <v>Q4</v>
      </c>
      <c r="N1" s="34" t="str">
        <v>Q5</v>
      </c>
      <c r="O1" s="34" t="str">
        <v>Q6</v>
      </c>
      <c r="P1" s="34" t="str">
        <v>Q7</v>
      </c>
      <c r="Q1" s="34" t="str">
        <v>Q8</v>
      </c>
      <c r="R1" s="34" t="str">
        <v>Q9</v>
      </c>
      <c r="S1" s="34" t="str">
        <v>Q10</v>
      </c>
      <c r="T1" s="34" t="str">
        <v>Q11</v>
      </c>
      <c r="U1" s="34" t="str">
        <v>Q12</v>
      </c>
      <c r="V1" s="34" t="str">
        <v>Q13</v>
      </c>
      <c r="W1" s="34" t="str">
        <v>Q14</v>
      </c>
      <c r="X1" s="34" t="str">
        <v>Q15</v>
      </c>
      <c r="Y1" s="34" t="str">
        <v>Q16</v>
      </c>
      <c r="Z1" s="34" t="str">
        <v>Assignment</v>
      </c>
      <c r="AA1" s="34" t="str">
        <v>FA1</v>
      </c>
      <c r="AB1" s="34" t="str">
        <v>FA2</v>
      </c>
      <c r="AC1" s="34" t="s">
        <v>44</v>
      </c>
      <c r="AD1" s="34" t="s">
        <v>45</v>
      </c>
    </row>
    <row r="2" spans="1:30" x14ac:dyDescent="0.25">
      <c r="A2" s="18">
        <v>1</v>
      </c>
      <c r="B2" s="18">
        <v>2010990089</v>
      </c>
      <c r="C2" s="18" t="s">
        <v>46</v>
      </c>
      <c r="D2" s="18" t="s">
        <v>47</v>
      </c>
      <c r="E2" s="18" t="s">
        <v>62</v>
      </c>
      <c r="F2" s="18">
        <v>1</v>
      </c>
      <c r="G2" s="18">
        <v>1</v>
      </c>
      <c r="H2" s="18">
        <v>1</v>
      </c>
      <c r="I2" s="18">
        <v>1</v>
      </c>
      <c r="J2" s="18">
        <v>1</v>
      </c>
      <c r="K2" s="18">
        <v>0</v>
      </c>
      <c r="L2" s="18">
        <v>0</v>
      </c>
      <c r="M2" s="18">
        <v>2</v>
      </c>
      <c r="N2" s="18">
        <v>2</v>
      </c>
      <c r="O2" s="18">
        <v>2</v>
      </c>
      <c r="P2" s="18">
        <v>2</v>
      </c>
      <c r="Q2" s="18">
        <v>5</v>
      </c>
      <c r="R2" s="18" t="s">
        <v>49</v>
      </c>
      <c r="S2" s="18" t="s">
        <v>49</v>
      </c>
      <c r="T2" s="18" t="s">
        <v>49</v>
      </c>
      <c r="U2" s="18" t="s">
        <v>49</v>
      </c>
      <c r="V2" s="18" t="s">
        <v>49</v>
      </c>
      <c r="W2" s="18" t="s">
        <v>49</v>
      </c>
      <c r="X2" s="18" t="s">
        <v>49</v>
      </c>
      <c r="Y2" s="18">
        <v>2</v>
      </c>
      <c r="Z2" s="18" t="s">
        <v>49</v>
      </c>
      <c r="AA2" s="18" t="s">
        <v>49</v>
      </c>
      <c r="AB2" s="18" t="s">
        <v>49</v>
      </c>
      <c r="AC2" s="18">
        <v>20</v>
      </c>
      <c r="AD2" s="18">
        <v>60</v>
      </c>
    </row>
    <row r="3" spans="1:30" x14ac:dyDescent="0.25">
      <c r="A3" s="18">
        <v>2</v>
      </c>
      <c r="B3" s="18">
        <v>2010992002</v>
      </c>
      <c r="C3" s="18" t="s">
        <v>50</v>
      </c>
      <c r="D3" s="18" t="s">
        <v>47</v>
      </c>
      <c r="E3" s="18" t="s">
        <v>62</v>
      </c>
      <c r="F3" s="18">
        <v>1</v>
      </c>
      <c r="G3" s="18">
        <v>1</v>
      </c>
      <c r="H3" s="18">
        <v>1</v>
      </c>
      <c r="I3" s="18">
        <v>1</v>
      </c>
      <c r="J3" s="18">
        <v>1</v>
      </c>
      <c r="K3" s="18">
        <v>0</v>
      </c>
      <c r="L3" s="18">
        <v>2</v>
      </c>
      <c r="M3" s="18">
        <v>2</v>
      </c>
      <c r="N3" s="18">
        <v>2</v>
      </c>
      <c r="O3" s="18">
        <v>2</v>
      </c>
      <c r="P3" s="18" t="s">
        <v>49</v>
      </c>
      <c r="Q3" s="18">
        <v>5</v>
      </c>
      <c r="R3" s="18" t="s">
        <v>49</v>
      </c>
      <c r="S3" s="18">
        <v>5</v>
      </c>
      <c r="T3" s="18">
        <v>5</v>
      </c>
      <c r="U3" s="18">
        <v>5</v>
      </c>
      <c r="V3" s="18">
        <v>5</v>
      </c>
      <c r="W3" s="18" t="s">
        <v>49</v>
      </c>
      <c r="X3" s="18">
        <v>2</v>
      </c>
      <c r="Y3" s="18">
        <v>4</v>
      </c>
      <c r="Z3" s="18" t="s">
        <v>49</v>
      </c>
      <c r="AA3" s="18" t="s">
        <v>49</v>
      </c>
      <c r="AB3" s="18" t="s">
        <v>49</v>
      </c>
      <c r="AC3" s="18">
        <v>44</v>
      </c>
      <c r="AD3" s="18">
        <v>60</v>
      </c>
    </row>
    <row r="4" spans="1:30" x14ac:dyDescent="0.25">
      <c r="A4" s="18">
        <v>3</v>
      </c>
      <c r="B4" s="18">
        <v>2010992006</v>
      </c>
      <c r="C4" s="18" t="s">
        <v>51</v>
      </c>
      <c r="D4" s="18" t="s">
        <v>47</v>
      </c>
      <c r="E4" s="18" t="s">
        <v>62</v>
      </c>
      <c r="F4" s="18" t="s">
        <v>49</v>
      </c>
      <c r="G4" s="18" t="s">
        <v>49</v>
      </c>
      <c r="H4" s="18" t="s">
        <v>49</v>
      </c>
      <c r="I4" s="18" t="s">
        <v>49</v>
      </c>
      <c r="J4" s="18" t="s">
        <v>49</v>
      </c>
      <c r="K4" s="18" t="s">
        <v>49</v>
      </c>
      <c r="L4" s="18" t="s">
        <v>49</v>
      </c>
      <c r="M4" s="18" t="s">
        <v>49</v>
      </c>
      <c r="N4" s="18" t="s">
        <v>49</v>
      </c>
      <c r="O4" s="18" t="s">
        <v>49</v>
      </c>
      <c r="P4" s="18" t="s">
        <v>49</v>
      </c>
      <c r="Q4" s="18" t="s">
        <v>49</v>
      </c>
      <c r="R4" s="18" t="s">
        <v>49</v>
      </c>
      <c r="S4" s="18" t="s">
        <v>49</v>
      </c>
      <c r="T4" s="18" t="s">
        <v>49</v>
      </c>
      <c r="U4" s="18" t="s">
        <v>49</v>
      </c>
      <c r="V4" s="18" t="s">
        <v>49</v>
      </c>
      <c r="W4" s="18" t="s">
        <v>49</v>
      </c>
      <c r="X4" s="18" t="s">
        <v>49</v>
      </c>
      <c r="Y4" s="18" t="s">
        <v>49</v>
      </c>
      <c r="Z4" s="18" t="s">
        <v>49</v>
      </c>
      <c r="AA4" s="18" t="s">
        <v>49</v>
      </c>
      <c r="AB4" s="18" t="s">
        <v>49</v>
      </c>
      <c r="AC4" s="18" t="s">
        <v>49</v>
      </c>
      <c r="AD4" s="18">
        <v>60</v>
      </c>
    </row>
    <row r="5" spans="1:30" x14ac:dyDescent="0.25">
      <c r="A5" s="18">
        <v>4</v>
      </c>
      <c r="B5" s="18">
        <v>2010992008</v>
      </c>
      <c r="C5" s="18" t="s">
        <v>52</v>
      </c>
      <c r="D5" s="18" t="s">
        <v>47</v>
      </c>
      <c r="E5" s="18" t="s">
        <v>62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2</v>
      </c>
      <c r="L5" s="18">
        <v>2</v>
      </c>
      <c r="M5" s="18">
        <v>2</v>
      </c>
      <c r="N5" s="18">
        <v>2</v>
      </c>
      <c r="O5" s="18" t="s">
        <v>49</v>
      </c>
      <c r="P5" s="18" t="s">
        <v>49</v>
      </c>
      <c r="Q5" s="18" t="s">
        <v>49</v>
      </c>
      <c r="R5" s="18">
        <v>2</v>
      </c>
      <c r="S5" s="18" t="s">
        <v>49</v>
      </c>
      <c r="T5" s="18" t="s">
        <v>49</v>
      </c>
      <c r="U5" s="18">
        <v>5</v>
      </c>
      <c r="V5" s="18" t="s">
        <v>49</v>
      </c>
      <c r="W5" s="18" t="s">
        <v>49</v>
      </c>
      <c r="X5" s="18" t="s">
        <v>49</v>
      </c>
      <c r="Y5" s="18">
        <v>2</v>
      </c>
      <c r="Z5" s="18" t="s">
        <v>49</v>
      </c>
      <c r="AA5" s="18" t="s">
        <v>49</v>
      </c>
      <c r="AB5" s="18" t="s">
        <v>49</v>
      </c>
      <c r="AC5" s="18">
        <v>22</v>
      </c>
      <c r="AD5" s="18">
        <v>60</v>
      </c>
    </row>
    <row r="6" spans="1:30" x14ac:dyDescent="0.25">
      <c r="A6" s="18">
        <v>5</v>
      </c>
      <c r="B6" s="18">
        <v>2010992009</v>
      </c>
      <c r="C6" s="18" t="s">
        <v>53</v>
      </c>
      <c r="D6" s="18" t="s">
        <v>47</v>
      </c>
      <c r="E6" s="18" t="s">
        <v>62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18">
        <v>2</v>
      </c>
      <c r="L6" s="18">
        <v>2</v>
      </c>
      <c r="M6" s="18">
        <v>2</v>
      </c>
      <c r="N6" s="18" t="s">
        <v>49</v>
      </c>
      <c r="O6" s="18" t="s">
        <v>49</v>
      </c>
      <c r="P6" s="18">
        <v>2</v>
      </c>
      <c r="Q6" s="18">
        <v>5</v>
      </c>
      <c r="R6" s="18">
        <v>5</v>
      </c>
      <c r="S6" s="18">
        <v>5</v>
      </c>
      <c r="T6" s="18">
        <v>5</v>
      </c>
      <c r="U6" s="18">
        <v>0</v>
      </c>
      <c r="V6" s="18">
        <v>5</v>
      </c>
      <c r="W6" s="18" t="s">
        <v>49</v>
      </c>
      <c r="X6" s="18" t="s">
        <v>49</v>
      </c>
      <c r="Y6" s="18">
        <v>2</v>
      </c>
      <c r="Z6" s="18" t="s">
        <v>49</v>
      </c>
      <c r="AA6" s="18" t="s">
        <v>49</v>
      </c>
      <c r="AB6" s="18" t="s">
        <v>49</v>
      </c>
      <c r="AC6" s="18">
        <v>40</v>
      </c>
      <c r="AD6" s="18">
        <v>60</v>
      </c>
    </row>
    <row r="7" spans="1:30" x14ac:dyDescent="0.25">
      <c r="A7" s="18">
        <v>6</v>
      </c>
      <c r="B7" s="18">
        <v>2010992011</v>
      </c>
      <c r="C7" s="18" t="s">
        <v>54</v>
      </c>
      <c r="D7" s="18" t="s">
        <v>47</v>
      </c>
      <c r="E7" s="18" t="s">
        <v>62</v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 t="s">
        <v>49</v>
      </c>
      <c r="L7" s="18">
        <v>2</v>
      </c>
      <c r="M7" s="18">
        <v>2</v>
      </c>
      <c r="N7" s="18">
        <v>2</v>
      </c>
      <c r="O7" s="18" t="s">
        <v>49</v>
      </c>
      <c r="P7" s="18">
        <v>2</v>
      </c>
      <c r="Q7" s="18" t="s">
        <v>49</v>
      </c>
      <c r="R7" s="18" t="s">
        <v>49</v>
      </c>
      <c r="S7" s="18">
        <v>5</v>
      </c>
      <c r="T7" s="18">
        <v>5</v>
      </c>
      <c r="U7" s="18" t="s">
        <v>49</v>
      </c>
      <c r="V7" s="18" t="s">
        <v>49</v>
      </c>
      <c r="W7" s="18" t="s">
        <v>49</v>
      </c>
      <c r="X7" s="18">
        <v>2</v>
      </c>
      <c r="Y7" s="18" t="s">
        <v>49</v>
      </c>
      <c r="Z7" s="18" t="s">
        <v>49</v>
      </c>
      <c r="AA7" s="18" t="s">
        <v>49</v>
      </c>
      <c r="AB7" s="18" t="s">
        <v>49</v>
      </c>
      <c r="AC7" s="18">
        <v>25</v>
      </c>
      <c r="AD7" s="18">
        <v>60</v>
      </c>
    </row>
    <row r="8" spans="1:30" x14ac:dyDescent="0.25">
      <c r="A8" s="18">
        <v>7</v>
      </c>
      <c r="B8" s="18">
        <v>2010992014</v>
      </c>
      <c r="C8" s="18" t="s">
        <v>55</v>
      </c>
      <c r="D8" s="18" t="s">
        <v>47</v>
      </c>
      <c r="E8" s="18" t="s">
        <v>62</v>
      </c>
      <c r="F8" s="18">
        <v>1</v>
      </c>
      <c r="G8" s="18">
        <v>1</v>
      </c>
      <c r="H8" s="18">
        <v>1</v>
      </c>
      <c r="I8" s="18">
        <v>1</v>
      </c>
      <c r="J8" s="18">
        <v>1</v>
      </c>
      <c r="K8" s="18">
        <v>2</v>
      </c>
      <c r="L8" s="18">
        <v>2</v>
      </c>
      <c r="M8" s="18">
        <v>2</v>
      </c>
      <c r="N8" s="18">
        <v>2</v>
      </c>
      <c r="O8" s="18" t="s">
        <v>49</v>
      </c>
      <c r="P8" s="18" t="s">
        <v>49</v>
      </c>
      <c r="Q8" s="18">
        <v>5</v>
      </c>
      <c r="R8" s="18">
        <v>1</v>
      </c>
      <c r="S8" s="18" t="s">
        <v>49</v>
      </c>
      <c r="T8" s="18" t="s">
        <v>49</v>
      </c>
      <c r="U8" s="18" t="s">
        <v>49</v>
      </c>
      <c r="V8" s="18" t="s">
        <v>49</v>
      </c>
      <c r="W8" s="18" t="s">
        <v>49</v>
      </c>
      <c r="X8" s="18" t="s">
        <v>49</v>
      </c>
      <c r="Y8" s="18">
        <v>2</v>
      </c>
      <c r="Z8" s="18" t="s">
        <v>49</v>
      </c>
      <c r="AA8" s="18" t="s">
        <v>49</v>
      </c>
      <c r="AB8" s="18" t="s">
        <v>49</v>
      </c>
      <c r="AC8" s="18">
        <v>21</v>
      </c>
      <c r="AD8" s="18">
        <v>60</v>
      </c>
    </row>
    <row r="9" spans="1:30" x14ac:dyDescent="0.25">
      <c r="A9" s="18">
        <v>8</v>
      </c>
      <c r="B9" s="18">
        <v>2010992016</v>
      </c>
      <c r="C9" s="18" t="s">
        <v>56</v>
      </c>
      <c r="D9" s="18" t="s">
        <v>47</v>
      </c>
      <c r="E9" s="18" t="s">
        <v>62</v>
      </c>
      <c r="F9" s="18">
        <v>1</v>
      </c>
      <c r="G9" s="18">
        <v>1</v>
      </c>
      <c r="H9" s="18">
        <v>1</v>
      </c>
      <c r="I9" s="18">
        <v>1</v>
      </c>
      <c r="J9" s="18">
        <v>1</v>
      </c>
      <c r="K9" s="18">
        <v>2</v>
      </c>
      <c r="L9" s="18">
        <v>2</v>
      </c>
      <c r="M9" s="18">
        <v>2</v>
      </c>
      <c r="N9" s="18" t="s">
        <v>49</v>
      </c>
      <c r="O9" s="18" t="s">
        <v>49</v>
      </c>
      <c r="P9" s="18">
        <v>2</v>
      </c>
      <c r="Q9" s="18">
        <v>5</v>
      </c>
      <c r="R9" s="18">
        <v>5</v>
      </c>
      <c r="S9" s="18">
        <v>5</v>
      </c>
      <c r="T9" s="18">
        <v>5</v>
      </c>
      <c r="U9" s="18" t="s">
        <v>49</v>
      </c>
      <c r="V9" s="18" t="s">
        <v>49</v>
      </c>
      <c r="W9" s="18" t="s">
        <v>49</v>
      </c>
      <c r="X9" s="18">
        <v>2</v>
      </c>
      <c r="Y9" s="18" t="s">
        <v>49</v>
      </c>
      <c r="Z9" s="18" t="s">
        <v>49</v>
      </c>
      <c r="AA9" s="18" t="s">
        <v>49</v>
      </c>
      <c r="AB9" s="18" t="s">
        <v>49</v>
      </c>
      <c r="AC9" s="18">
        <v>35</v>
      </c>
      <c r="AD9" s="18">
        <v>60</v>
      </c>
    </row>
    <row r="10" spans="1:30" x14ac:dyDescent="0.25">
      <c r="A10" s="18">
        <v>9</v>
      </c>
      <c r="B10" s="18">
        <v>2010992018</v>
      </c>
      <c r="C10" s="18" t="s">
        <v>57</v>
      </c>
      <c r="D10" s="18" t="s">
        <v>47</v>
      </c>
      <c r="E10" s="18" t="s">
        <v>62</v>
      </c>
      <c r="F10" s="18">
        <v>1</v>
      </c>
      <c r="G10" s="18">
        <v>1</v>
      </c>
      <c r="H10" s="18">
        <v>1</v>
      </c>
      <c r="I10" s="18">
        <v>1</v>
      </c>
      <c r="J10" s="18">
        <v>1</v>
      </c>
      <c r="K10" s="18">
        <v>2</v>
      </c>
      <c r="L10" s="18" t="s">
        <v>49</v>
      </c>
      <c r="M10" s="18">
        <v>2</v>
      </c>
      <c r="N10" s="18" t="s">
        <v>49</v>
      </c>
      <c r="O10" s="18">
        <v>2</v>
      </c>
      <c r="P10" s="18">
        <v>2</v>
      </c>
      <c r="Q10" s="18" t="s">
        <v>49</v>
      </c>
      <c r="R10" s="18">
        <v>5</v>
      </c>
      <c r="S10" s="18">
        <v>5</v>
      </c>
      <c r="T10" s="18">
        <v>5</v>
      </c>
      <c r="U10" s="18">
        <v>5</v>
      </c>
      <c r="V10" s="18">
        <v>5</v>
      </c>
      <c r="W10" s="18" t="s">
        <v>49</v>
      </c>
      <c r="X10" s="18">
        <v>2</v>
      </c>
      <c r="Y10" s="18" t="s">
        <v>49</v>
      </c>
      <c r="Z10" s="18" t="s">
        <v>49</v>
      </c>
      <c r="AA10" s="18" t="s">
        <v>49</v>
      </c>
      <c r="AB10" s="18" t="s">
        <v>49</v>
      </c>
      <c r="AC10" s="18">
        <v>40</v>
      </c>
      <c r="AD10" s="18">
        <v>60</v>
      </c>
    </row>
    <row r="11" spans="1:30" x14ac:dyDescent="0.25">
      <c r="A11" s="18">
        <v>10</v>
      </c>
      <c r="B11" s="18">
        <v>2010992163</v>
      </c>
      <c r="C11" s="18" t="s">
        <v>58</v>
      </c>
      <c r="D11" s="18" t="s">
        <v>47</v>
      </c>
      <c r="E11" s="18" t="s">
        <v>62</v>
      </c>
      <c r="F11" s="18">
        <v>1</v>
      </c>
      <c r="G11" s="18">
        <v>1</v>
      </c>
      <c r="H11" s="18">
        <v>1</v>
      </c>
      <c r="I11" s="18">
        <v>1</v>
      </c>
      <c r="J11" s="18">
        <v>1</v>
      </c>
      <c r="K11" s="18">
        <v>2</v>
      </c>
      <c r="L11" s="18">
        <v>2</v>
      </c>
      <c r="M11" s="18">
        <v>2</v>
      </c>
      <c r="N11" s="18">
        <v>2</v>
      </c>
      <c r="O11" s="18" t="s">
        <v>49</v>
      </c>
      <c r="P11" s="18" t="s">
        <v>49</v>
      </c>
      <c r="Q11" s="18">
        <v>5</v>
      </c>
      <c r="R11" s="18">
        <v>5</v>
      </c>
      <c r="S11" s="18" t="s">
        <v>49</v>
      </c>
      <c r="T11" s="18">
        <v>5</v>
      </c>
      <c r="U11" s="18">
        <v>5</v>
      </c>
      <c r="V11" s="18" t="s">
        <v>49</v>
      </c>
      <c r="W11" s="18" t="s">
        <v>49</v>
      </c>
      <c r="X11" s="18" t="s">
        <v>49</v>
      </c>
      <c r="Y11" s="18">
        <v>2</v>
      </c>
      <c r="Z11" s="18" t="s">
        <v>49</v>
      </c>
      <c r="AA11" s="18" t="s">
        <v>49</v>
      </c>
      <c r="AB11" s="18" t="s">
        <v>49</v>
      </c>
      <c r="AC11" s="18">
        <v>35</v>
      </c>
      <c r="AD11" s="18">
        <v>60</v>
      </c>
    </row>
    <row r="12" spans="1:30" x14ac:dyDescent="0.25">
      <c r="A12" s="18">
        <v>11</v>
      </c>
      <c r="B12" s="18">
        <v>2010992203</v>
      </c>
      <c r="C12" s="18" t="s">
        <v>59</v>
      </c>
      <c r="D12" s="18" t="s">
        <v>47</v>
      </c>
      <c r="E12" s="18" t="s">
        <v>62</v>
      </c>
      <c r="F12" s="18" t="s">
        <v>49</v>
      </c>
      <c r="G12" s="18" t="s">
        <v>49</v>
      </c>
      <c r="H12" s="18" t="s">
        <v>49</v>
      </c>
      <c r="I12" s="18" t="s">
        <v>49</v>
      </c>
      <c r="J12" s="18" t="s">
        <v>49</v>
      </c>
      <c r="K12" s="18" t="s">
        <v>49</v>
      </c>
      <c r="L12" s="18" t="s">
        <v>49</v>
      </c>
      <c r="M12" s="18" t="s">
        <v>49</v>
      </c>
      <c r="N12" s="18" t="s">
        <v>49</v>
      </c>
      <c r="O12" s="18" t="s">
        <v>49</v>
      </c>
      <c r="P12" s="18" t="s">
        <v>49</v>
      </c>
      <c r="Q12" s="18" t="s">
        <v>49</v>
      </c>
      <c r="R12" s="18" t="s">
        <v>49</v>
      </c>
      <c r="S12" s="18" t="s">
        <v>49</v>
      </c>
      <c r="T12" s="18" t="s">
        <v>49</v>
      </c>
      <c r="U12" s="18" t="s">
        <v>49</v>
      </c>
      <c r="V12" s="18" t="s">
        <v>49</v>
      </c>
      <c r="W12" s="18" t="s">
        <v>49</v>
      </c>
      <c r="X12" s="18" t="s">
        <v>49</v>
      </c>
      <c r="Y12" s="18" t="s">
        <v>49</v>
      </c>
      <c r="Z12" s="18" t="s">
        <v>49</v>
      </c>
      <c r="AA12" s="18" t="s">
        <v>49</v>
      </c>
      <c r="AB12" s="18" t="s">
        <v>49</v>
      </c>
      <c r="AC12" s="18" t="s">
        <v>49</v>
      </c>
      <c r="AD12" s="1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OBE Details</vt:lpstr>
      <vt:lpstr>ST1 Ques Mapping</vt:lpstr>
      <vt:lpstr>ST1 Result</vt:lpstr>
      <vt:lpstr>ST2 Ques Mapping</vt:lpstr>
      <vt:lpstr>ST2 Result</vt:lpstr>
      <vt:lpstr>ST3 Ques Mapping</vt:lpstr>
      <vt:lpstr>ST3 Result</vt:lpstr>
      <vt:lpstr>ETE Ques Mapping</vt:lpstr>
      <vt:lpstr>ETE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Singh</dc:creator>
  <cp:lastModifiedBy>Prateek Singh</cp:lastModifiedBy>
  <dcterms:created xsi:type="dcterms:W3CDTF">2026-02-28T07:44:02Z</dcterms:created>
  <dcterms:modified xsi:type="dcterms:W3CDTF">2026-02-28T07:58:27Z</dcterms:modified>
</cp:coreProperties>
</file>