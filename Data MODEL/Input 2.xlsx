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MODEL\"/>
    </mc:Choice>
  </mc:AlternateContent>
  <xr:revisionPtr revIDLastSave="0" documentId="13_ncr:1_{CACE4A12-3A5F-4B43-BC91-72FE06D72262}" xr6:coauthVersionLast="47" xr6:coauthVersionMax="47" xr10:uidLastSave="{00000000-0000-0000-0000-000000000000}"/>
  <bookViews>
    <workbookView xWindow="-120" yWindow="-120" windowWidth="29040" windowHeight="15720" activeTab="6" xr2:uid="{B1E4A8B4-03E1-4452-B829-205B05F0277B}"/>
  </bookViews>
  <sheets>
    <sheet name="OBE Details" sheetId="1" r:id="rId1"/>
    <sheet name="ST1 Ques Mapping" sheetId="2" r:id="rId2"/>
    <sheet name="ST1 Result" sheetId="3" r:id="rId3"/>
    <sheet name="ST2 Ques Mapping" sheetId="4" r:id="rId4"/>
    <sheet name="ST2 Result" sheetId="7" r:id="rId5"/>
    <sheet name="ETE Ques Mapping" sheetId="6" r:id="rId6"/>
    <sheet name="ETE Result" sheetId="9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9" i="9" l="1"/>
  <c r="AC18" i="9"/>
  <c r="AC17" i="9"/>
  <c r="AC16" i="9"/>
  <c r="AC15" i="9"/>
  <c r="AC14" i="9"/>
  <c r="AC13" i="9"/>
  <c r="AC12" i="9"/>
  <c r="AC11" i="9"/>
  <c r="AC10" i="9"/>
  <c r="AC9" i="9"/>
  <c r="AC8" i="9"/>
  <c r="AC7" i="9"/>
  <c r="AC6" i="9"/>
  <c r="AC5" i="9"/>
  <c r="AC4" i="9"/>
  <c r="AC3" i="9"/>
  <c r="AC2" i="9"/>
  <c r="F1" i="9" a="1"/>
  <c r="N1" i="9" s="1"/>
  <c r="U19" i="7"/>
  <c r="U18" i="7"/>
  <c r="U17" i="7"/>
  <c r="U16" i="7"/>
  <c r="U15" i="7"/>
  <c r="U14" i="7"/>
  <c r="U13" i="7"/>
  <c r="U12" i="7"/>
  <c r="U11" i="7"/>
  <c r="U10" i="7"/>
  <c r="U9" i="7"/>
  <c r="U8" i="7"/>
  <c r="U7" i="7"/>
  <c r="U6" i="7"/>
  <c r="U5" i="7"/>
  <c r="U4" i="7"/>
  <c r="U3" i="7"/>
  <c r="U2" i="7"/>
  <c r="Z19" i="3"/>
  <c r="Z18" i="3"/>
  <c r="Z17" i="3"/>
  <c r="Z16" i="3"/>
  <c r="Z15" i="3"/>
  <c r="Z14" i="3"/>
  <c r="Z13" i="3"/>
  <c r="Z12" i="3"/>
  <c r="Z11" i="3"/>
  <c r="Z10" i="3"/>
  <c r="Z9" i="3"/>
  <c r="Z8" i="3"/>
  <c r="Z7" i="3"/>
  <c r="Z6" i="3"/>
  <c r="Z5" i="3"/>
  <c r="Z4" i="3"/>
  <c r="Z3" i="3"/>
  <c r="Z2" i="3"/>
  <c r="T1" i="9" l="1"/>
  <c r="Q1" i="9"/>
  <c r="P1" i="9"/>
  <c r="S1" i="9"/>
  <c r="H1" i="9"/>
  <c r="L1" i="9"/>
  <c r="AB1" i="9"/>
  <c r="U1" i="9"/>
  <c r="F1" i="9"/>
  <c r="V1" i="9"/>
  <c r="W1" i="9"/>
  <c r="X1" i="9"/>
  <c r="I1" i="9"/>
  <c r="Y1" i="9"/>
  <c r="J1" i="9"/>
  <c r="Z1" i="9"/>
  <c r="K1" i="9"/>
  <c r="M1" i="9"/>
  <c r="O1" i="9"/>
  <c r="R1" i="9"/>
  <c r="G1" i="9"/>
  <c r="AA1" i="9"/>
</calcChain>
</file>

<file path=xl/sharedStrings.xml><?xml version="1.0" encoding="utf-8"?>
<sst xmlns="http://schemas.openxmlformats.org/spreadsheetml/2006/main" count="805" uniqueCount="87">
  <si>
    <t>CO Score</t>
  </si>
  <si>
    <t>Percentage of Co attained</t>
  </si>
  <si>
    <t>Threshold</t>
  </si>
  <si>
    <t>Types</t>
  </si>
  <si>
    <t>Weightages</t>
  </si>
  <si>
    <t>Internal (Avg of ST1,ST2,ST3)</t>
  </si>
  <si>
    <t>External(ETE)</t>
  </si>
  <si>
    <t>Perecntage of students attaining Target</t>
  </si>
  <si>
    <t>Q_Id</t>
  </si>
  <si>
    <t>Max Marks</t>
  </si>
  <si>
    <t>CO1</t>
  </si>
  <si>
    <t>CO2</t>
  </si>
  <si>
    <t>CO3</t>
  </si>
  <si>
    <t>CO4</t>
  </si>
  <si>
    <t>CO5</t>
  </si>
  <si>
    <t>CO6</t>
  </si>
  <si>
    <t>1a</t>
  </si>
  <si>
    <t>1b</t>
  </si>
  <si>
    <t>1c</t>
  </si>
  <si>
    <t>1d</t>
  </si>
  <si>
    <t>1e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</si>
  <si>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</si>
  <si>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</si>
  <si>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</si>
  <si>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</si>
  <si>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</si>
  <si>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</si>
  <si>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</si>
  <si>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</si>
  <si>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</si>
  <si>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</si>
  <si>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</si>
  <si>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</si>
  <si>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</si>
  <si>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</si>
  <si>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</si>
  <si>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Assignment</t>
  </si>
  <si>
    <t>FA1</t>
  </si>
  <si>
    <t>FA2</t>
  </si>
  <si>
    <t>Sr.no</t>
  </si>
  <si>
    <t>Admission No. (Roll No.)</t>
  </si>
  <si>
    <t>Name of Student</t>
  </si>
  <si>
    <t>Course Code</t>
  </si>
  <si>
    <t>Exam Name (ETE/ST/FA)</t>
  </si>
  <si>
    <t>Total Marks</t>
  </si>
  <si>
    <t>max Marks</t>
  </si>
  <si>
    <t>ST1</t>
  </si>
  <si>
    <t>U</t>
  </si>
  <si>
    <t>Khan</t>
  </si>
  <si>
    <t>ST2</t>
  </si>
  <si>
    <t>ETE</t>
  </si>
  <si>
    <t>2010990089 </t>
  </si>
  <si>
    <t>ANSH GARG </t>
  </si>
  <si>
    <t>EC114</t>
  </si>
  <si>
    <t>2010992002 </t>
  </si>
  <si>
    <t>PANSY VERMA </t>
  </si>
  <si>
    <t>2010992004 </t>
  </si>
  <si>
    <t>UTKARSH BHATT </t>
  </si>
  <si>
    <t>2010992005 </t>
  </si>
  <si>
    <t>RATANABH SHARMA </t>
  </si>
  <si>
    <t>2010992006 </t>
  </si>
  <si>
    <t>AYUSH SHARMA </t>
  </si>
  <si>
    <t>2010992008 </t>
  </si>
  <si>
    <t>NAVDEEP SINGH </t>
  </si>
  <si>
    <t>2010992009 </t>
  </si>
  <si>
    <t>RIYA  </t>
  </si>
  <si>
    <t>2010992010 </t>
  </si>
  <si>
    <t>RISHABH TANDON </t>
  </si>
  <si>
    <t>2010992011 </t>
  </si>
  <si>
    <t>HEERENDRA SINGH CHAUHAN </t>
  </si>
  <si>
    <t>2010992012 </t>
  </si>
  <si>
    <t>AKSHAT  </t>
  </si>
  <si>
    <t>2010992014 </t>
  </si>
  <si>
    <t>HARSHIT CHAHAL </t>
  </si>
  <si>
    <t>2010992015 </t>
  </si>
  <si>
    <t>URVANSH NAHATA </t>
  </si>
  <si>
    <t>2010992016 </t>
  </si>
  <si>
    <t>VARUN  </t>
  </si>
  <si>
    <t>2010992017 </t>
  </si>
  <si>
    <t>MRIDUL AGGARWAL </t>
  </si>
  <si>
    <t>2010992018 </t>
  </si>
  <si>
    <t>SHAKSHI SINGH </t>
  </si>
  <si>
    <t>2010992163 </t>
  </si>
  <si>
    <t>TAMANA SIAG </t>
  </si>
  <si>
    <t>2010992202 </t>
  </si>
  <si>
    <t>EKAMJOT SINGH MAINGI </t>
  </si>
  <si>
    <t>2010992203 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</si>
</sst>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theme="1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2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3" xfId="0" applyFont="1" applyBorder="1" applyAlignment="1">
      <alignment horizontal="right" wrapText="1"/>
    </xf>
    <xf numFmtId="0" fontId="1" fillId="0" borderId="1" xfId="0" applyFont="1" applyBorder="1"/>
    <xf numFmtId="0" fontId="1" fillId="0" borderId="3" xfId="0" applyFont="1" applyBorder="1"/>
    <xf numFmtId="0" fontId="2" fillId="0" borderId="4" xfId="0" applyFont="1" applyBorder="1" applyAlignment="1">
      <alignment horizontal="right"/>
    </xf>
    <xf numFmtId="0" fontId="3" fillId="0" borderId="5" xfId="0" applyFont="1" applyBorder="1"/>
    <xf numFmtId="0" fontId="3" fillId="0" borderId="6" xfId="0" applyFont="1" applyBorder="1"/>
    <xf numFmtId="0" fontId="1" fillId="0" borderId="4" xfId="0" applyFont="1" applyBorder="1"/>
    <xf numFmtId="9" fontId="2" fillId="0" borderId="4" xfId="0" applyNumberFormat="1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right" wrapText="1"/>
    </xf>
    <xf numFmtId="0" fontId="2" fillId="0" borderId="7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" xfId="0" applyFont="1" applyBorder="1" applyAlignment="1">
      <alignment vertical="top" wrapText="1"/>
    </xf>
    <xf numFmtId="0" fontId="2" fillId="0" borderId="8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center" vertical="top" wrapText="1"/>
    </xf>
    <xf numFmtId="0" fontId="5" fillId="0" borderId="7" xfId="0" applyFont="1" applyBorder="1"/>
    <xf numFmtId="0" fontId="5" fillId="0" borderId="7" xfId="0" applyFont="1" applyBorder="1" applyAlignment="1">
      <alignment horizontal="left"/>
    </xf>
    <xf numFmtId="0" fontId="4" fillId="0" borderId="7" xfId="0" applyFont="1" applyBorder="1"/>
    <xf numFmtId="0" fontId="4" fillId="0" borderId="9" xfId="0" applyFont="1" applyBorder="1" applyAlignment="1">
      <alignment wrapText="1"/>
    </xf>
    <xf numFmtId="0" fontId="4" fillId="0" borderId="9" xfId="0" applyFont="1" applyBorder="1"/>
    <xf numFmtId="0" fontId="4" fillId="0" borderId="9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7" xfId="0" applyFont="1" applyBorder="1" applyAlignment="1">
      <alignment wrapTex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Other%20computers\USB%20and%20External%20Devices\Gambhir%2064\ECE%20Dep\EC114-Microelectronic%20Circuits\Teacher%20Input%20Sheet.xlsx" TargetMode="External"/><Relationship Id="rId1" Type="http://schemas.openxmlformats.org/officeDocument/2006/relationships/externalLinkPath" Target="file:///G:\Other%20computers\USB%20and%20External%20Devices\Gambhir%2064\ECE%20Dep\EC114-Microelectronic%20Circuits\Teacher%20Input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E Details"/>
      <sheetName val="ST1 Question Map"/>
      <sheetName val="ST1 Result"/>
      <sheetName val="ST2 Question Map"/>
      <sheetName val="ST2 Result"/>
      <sheetName val="ST3 Question Map"/>
      <sheetName val="ST3 Result"/>
      <sheetName val="ETE Question Map"/>
      <sheetName val="ETE Resu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1a</v>
          </cell>
        </row>
        <row r="3">
          <cell r="A3" t="str">
            <v>1b</v>
          </cell>
        </row>
        <row r="4">
          <cell r="A4" t="str">
            <v>1c</v>
          </cell>
        </row>
        <row r="5">
          <cell r="A5" t="str">
            <v>1d</v>
          </cell>
        </row>
        <row r="6">
          <cell r="A6" t="str">
            <v>1e</v>
          </cell>
        </row>
        <row r="7">
          <cell r="A7" t="str">
            <v>Q2</v>
          </cell>
        </row>
        <row r="8">
          <cell r="A8" t="str">
            <v>Q3</v>
          </cell>
        </row>
        <row r="9">
          <cell r="A9" t="str">
            <v>Q4</v>
          </cell>
        </row>
        <row r="10">
          <cell r="A10" t="str">
            <v>Q5</v>
          </cell>
        </row>
        <row r="11">
          <cell r="A11" t="str">
            <v>Q6</v>
          </cell>
        </row>
        <row r="12">
          <cell r="A12" t="str">
            <v>Q7</v>
          </cell>
        </row>
        <row r="13">
          <cell r="A13" t="str">
            <v>Q8</v>
          </cell>
        </row>
        <row r="14">
          <cell r="A14" t="str">
            <v>Q9</v>
          </cell>
        </row>
        <row r="15">
          <cell r="A15" t="str">
            <v>Q10</v>
          </cell>
        </row>
        <row r="16">
          <cell r="A16" t="str">
            <v>Q11</v>
          </cell>
        </row>
        <row r="17">
          <cell r="A17" t="str">
            <v>Q12</v>
          </cell>
        </row>
        <row r="18">
          <cell r="A18" t="str">
            <v>Q13</v>
          </cell>
        </row>
        <row r="19">
          <cell r="A19" t="str">
            <v>Q14</v>
          </cell>
        </row>
        <row r="20">
          <cell r="A20" t="str">
            <v>Q15</v>
          </cell>
        </row>
        <row r="21">
          <cell r="A21" t="str">
            <v>Q16</v>
          </cell>
        </row>
        <row r="22">
          <cell r="A22" t="str">
            <v>Assignment</v>
          </cell>
        </row>
        <row r="23">
          <cell r="A23" t="str">
            <v>FA1</v>
          </cell>
        </row>
        <row r="24">
          <cell r="A24" t="str">
            <v>FA2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A65C-456D-42EE-841C-F5A347A45114}">
  <dimension ref="A1:B12"/>
  <sheetViews>
    <sheetView workbookViewId="0">
      <selection activeCell="B2" sqref="B2"/>
    </sheetView>
  </sheetViews>
  <sheetFormatPr defaultRowHeight="15" x14ac:dyDescent="0.25"/>
  <cols>
    <col min="1" max="1" width="26.85546875" bestFit="1" customWidth="1"/>
    <col min="2" max="2" width="37" bestFit="1" customWidth="1"/>
  </cols>
  <sheetData>
    <row r="1" spans="1:2" ht="15.75" thickBot="1" x14ac:dyDescent="0.3">
      <c r="A1" s="4" t="s">
        <v>0</v>
      </c>
      <c r="B1" s="1" t="s">
        <v>1</v>
      </c>
    </row>
    <row r="2" spans="1:2" ht="15.75" thickBot="1" x14ac:dyDescent="0.3">
      <c r="A2" s="5" t="s">
        <v>2</v>
      </c>
      <c r="B2" s="6">
        <v>60</v>
      </c>
    </row>
    <row r="3" spans="1:2" ht="15.75" thickBot="1" x14ac:dyDescent="0.3">
      <c r="A3" s="7"/>
      <c r="B3" s="7"/>
    </row>
    <row r="4" spans="1:2" ht="15.75" thickBot="1" x14ac:dyDescent="0.3">
      <c r="A4" s="8"/>
      <c r="B4" s="8"/>
    </row>
    <row r="5" spans="1:2" ht="15.75" thickBot="1" x14ac:dyDescent="0.3">
      <c r="A5" s="5" t="s">
        <v>3</v>
      </c>
      <c r="B5" s="9" t="s">
        <v>4</v>
      </c>
    </row>
    <row r="6" spans="1:2" ht="15.75" thickBot="1" x14ac:dyDescent="0.3">
      <c r="A6" s="5" t="s">
        <v>5</v>
      </c>
      <c r="B6" s="10">
        <v>0.4</v>
      </c>
    </row>
    <row r="7" spans="1:2" ht="15.75" thickBot="1" x14ac:dyDescent="0.3">
      <c r="A7" s="5" t="s">
        <v>6</v>
      </c>
      <c r="B7" s="10">
        <v>0.6</v>
      </c>
    </row>
    <row r="8" spans="1:2" ht="15.75" thickBot="1" x14ac:dyDescent="0.3">
      <c r="A8" s="8"/>
      <c r="B8" s="8"/>
    </row>
    <row r="9" spans="1:2" ht="15.75" thickBot="1" x14ac:dyDescent="0.3">
      <c r="A9" s="5" t="s">
        <v>0</v>
      </c>
      <c r="B9" s="2" t="s">
        <v>7</v>
      </c>
    </row>
    <row r="10" spans="1:2" ht="15.75" thickBot="1" x14ac:dyDescent="0.3">
      <c r="A10" s="11">
        <v>3</v>
      </c>
      <c r="B10" s="10">
        <v>0.8</v>
      </c>
    </row>
    <row r="11" spans="1:2" ht="15.75" thickBot="1" x14ac:dyDescent="0.3">
      <c r="A11" s="11">
        <v>2</v>
      </c>
      <c r="B11" s="10">
        <v>0.7</v>
      </c>
    </row>
    <row r="12" spans="1:2" ht="15.75" thickBot="1" x14ac:dyDescent="0.3">
      <c r="A12" s="11">
        <v>1</v>
      </c>
      <c r="B12" s="10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BA6D-A731-4491-BED9-7DC5085D106F}">
  <dimension ref="A1:E21"/>
  <sheetViews>
    <sheetView workbookViewId="0">
      <selection activeCell="E11" sqref="E11"/>
    </sheetView>
  </sheetViews>
  <sheetFormatPr defaultRowHeight="15" x14ac:dyDescent="0.25"/>
  <sheetData>
    <row r="1" spans="1:5" x14ac:dyDescent="0.25">
      <c r="A1" s="12" t="s">
        <v>8</v>
      </c>
      <c r="B1" s="12" t="s">
        <v>9</v>
      </c>
      <c r="C1" s="12" t="s">
        <v>10</v>
      </c>
      <c r="D1" s="12" t="s">
        <v>11</v>
      </c>
      <c r="E1" s="12" t="s">
        <v>12</v>
      </c>
    </row>
    <row r="2" spans="1:5" x14ac:dyDescent="0.25">
      <c r="A2" s="12">
        <v>1</v>
      </c>
      <c r="B2" s="13">
        <v>1</v>
      </c>
      <c r="C2" s="12" t="b">
        <v>1</v>
      </c>
      <c r="D2" s="12" t="b">
        <v>0</v>
      </c>
      <c r="E2" s="12" t="b">
        <v>0</v>
      </c>
    </row>
    <row r="3" spans="1:5" x14ac:dyDescent="0.25">
      <c r="A3" s="12">
        <v>2</v>
      </c>
      <c r="B3" s="13">
        <v>1</v>
      </c>
      <c r="C3" s="12" t="b">
        <v>1</v>
      </c>
      <c r="D3" s="12" t="b">
        <v>0</v>
      </c>
      <c r="E3" s="12" t="b">
        <v>0</v>
      </c>
    </row>
    <row r="4" spans="1:5" x14ac:dyDescent="0.25">
      <c r="A4" s="12">
        <v>3</v>
      </c>
      <c r="B4" s="13">
        <v>1</v>
      </c>
      <c r="C4" s="12" t="b">
        <v>1</v>
      </c>
      <c r="D4" s="12" t="b">
        <v>0</v>
      </c>
      <c r="E4" s="12" t="b">
        <v>0</v>
      </c>
    </row>
    <row r="5" spans="1:5" x14ac:dyDescent="0.25">
      <c r="A5" s="12">
        <v>4</v>
      </c>
      <c r="B5" s="13">
        <v>1</v>
      </c>
      <c r="C5" s="12" t="b">
        <v>1</v>
      </c>
      <c r="D5" s="12" t="b">
        <v>0</v>
      </c>
      <c r="E5" s="12" t="b">
        <v>0</v>
      </c>
    </row>
    <row r="6" spans="1:5" x14ac:dyDescent="0.25">
      <c r="A6" s="12">
        <v>5</v>
      </c>
      <c r="B6" s="13">
        <v>1</v>
      </c>
      <c r="C6" s="12" t="b">
        <v>1</v>
      </c>
      <c r="D6" s="12" t="b">
        <v>0</v>
      </c>
      <c r="E6" s="12" t="b">
        <v>0</v>
      </c>
    </row>
    <row r="7" spans="1:5" x14ac:dyDescent="0.25">
      <c r="A7" s="12">
        <v>6</v>
      </c>
      <c r="B7" s="13">
        <v>2</v>
      </c>
      <c r="C7" s="12" t="b">
        <v>1</v>
      </c>
      <c r="D7" s="12" t="b">
        <v>0</v>
      </c>
      <c r="E7" s="12" t="b">
        <v>0</v>
      </c>
    </row>
    <row r="8" spans="1:5" x14ac:dyDescent="0.25">
      <c r="A8" s="12">
        <v>7</v>
      </c>
      <c r="B8" s="13">
        <v>2</v>
      </c>
      <c r="C8" s="12" t="b">
        <v>1</v>
      </c>
      <c r="D8" s="12" t="b">
        <v>0</v>
      </c>
      <c r="E8" s="12" t="b">
        <v>0</v>
      </c>
    </row>
    <row r="9" spans="1:5" x14ac:dyDescent="0.25">
      <c r="A9" s="12">
        <v>8</v>
      </c>
      <c r="B9" s="13">
        <v>2</v>
      </c>
      <c r="C9" s="12" t="b">
        <v>1</v>
      </c>
      <c r="D9" s="12" t="b">
        <v>0</v>
      </c>
      <c r="E9" s="12" t="b">
        <v>0</v>
      </c>
    </row>
    <row r="10" spans="1:5" x14ac:dyDescent="0.25">
      <c r="A10" s="12">
        <v>9</v>
      </c>
      <c r="B10" s="13">
        <v>2</v>
      </c>
      <c r="C10" s="12" t="b">
        <v>1</v>
      </c>
      <c r="D10" s="12" t="b">
        <v>0</v>
      </c>
      <c r="E10" s="12" t="b">
        <v>0</v>
      </c>
    </row>
    <row r="11" spans="1:5" x14ac:dyDescent="0.25">
      <c r="A11" s="12">
        <v>10</v>
      </c>
      <c r="B11" s="13">
        <v>2</v>
      </c>
      <c r="C11" s="12" t="b">
        <v>0</v>
      </c>
      <c r="D11" s="12" t="b">
        <v>1</v>
      </c>
      <c r="E11" s="12" t="b">
        <v>0</v>
      </c>
    </row>
    <row r="12" spans="1:5" x14ac:dyDescent="0.25">
      <c r="A12" s="12">
        <v>11</v>
      </c>
      <c r="B12" s="13">
        <v>2</v>
      </c>
      <c r="C12" s="12" t="b">
        <v>0</v>
      </c>
      <c r="D12" s="12" t="b">
        <v>1</v>
      </c>
      <c r="E12" s="12" t="b">
        <v>0</v>
      </c>
    </row>
    <row r="13" spans="1:5" x14ac:dyDescent="0.25">
      <c r="A13" s="12">
        <v>12</v>
      </c>
      <c r="B13" s="13">
        <v>5</v>
      </c>
      <c r="C13" s="12" t="b">
        <v>0</v>
      </c>
      <c r="D13" s="12" t="b">
        <v>1</v>
      </c>
      <c r="E13" s="12" t="b">
        <v>0</v>
      </c>
    </row>
    <row r="14" spans="1:5" x14ac:dyDescent="0.25">
      <c r="A14" s="12">
        <v>13</v>
      </c>
      <c r="B14" s="13">
        <v>5</v>
      </c>
      <c r="C14" s="12" t="b">
        <v>0</v>
      </c>
      <c r="D14" s="12" t="b">
        <v>1</v>
      </c>
      <c r="E14" s="12" t="b">
        <v>0</v>
      </c>
    </row>
    <row r="15" spans="1:5" x14ac:dyDescent="0.25">
      <c r="A15" s="12">
        <v>14</v>
      </c>
      <c r="B15" s="13">
        <v>5</v>
      </c>
      <c r="C15" s="12" t="b">
        <v>1</v>
      </c>
      <c r="D15" s="12" t="b">
        <v>0</v>
      </c>
      <c r="E15" s="12" t="b">
        <v>0</v>
      </c>
    </row>
    <row r="16" spans="1:5" x14ac:dyDescent="0.25">
      <c r="A16" s="12">
        <v>15</v>
      </c>
      <c r="B16" s="13">
        <v>5</v>
      </c>
      <c r="C16" s="12" t="b">
        <v>1</v>
      </c>
      <c r="D16" s="12" t="b">
        <v>0</v>
      </c>
      <c r="E16" s="12" t="b">
        <v>0</v>
      </c>
    </row>
    <row r="17" spans="1:5" x14ac:dyDescent="0.25">
      <c r="A17" s="12">
        <v>16</v>
      </c>
      <c r="B17" s="13">
        <v>10</v>
      </c>
      <c r="C17" s="12" t="b">
        <v>0</v>
      </c>
      <c r="D17" s="12" t="b">
        <v>1</v>
      </c>
      <c r="E17" s="12" t="b">
        <v>0</v>
      </c>
    </row>
    <row r="18" spans="1:5" x14ac:dyDescent="0.25">
      <c r="A18" s="12">
        <v>17</v>
      </c>
      <c r="B18" s="13">
        <v>10</v>
      </c>
      <c r="C18" s="12" t="b">
        <v>0</v>
      </c>
      <c r="D18" s="12" t="b">
        <v>1</v>
      </c>
      <c r="E18" s="12" t="b">
        <v>0</v>
      </c>
    </row>
    <row r="19" spans="1:5" x14ac:dyDescent="0.25">
      <c r="A19" s="12">
        <v>18</v>
      </c>
      <c r="B19" s="13">
        <v>0</v>
      </c>
      <c r="C19" s="14" t="b">
        <v>0</v>
      </c>
      <c r="D19" s="14" t="b">
        <v>0</v>
      </c>
      <c r="E19" s="14" t="b">
        <v>0</v>
      </c>
    </row>
    <row r="20" spans="1:5" x14ac:dyDescent="0.25">
      <c r="A20" s="12">
        <v>19</v>
      </c>
      <c r="B20" s="13">
        <v>0</v>
      </c>
      <c r="C20" s="14" t="b">
        <v>0</v>
      </c>
      <c r="D20" s="14" t="b">
        <v>0</v>
      </c>
      <c r="E20" s="14" t="b">
        <v>0</v>
      </c>
    </row>
    <row r="21" spans="1:5" x14ac:dyDescent="0.25">
      <c r="A21" s="12">
        <v>20</v>
      </c>
      <c r="B21" s="13">
        <v>0</v>
      </c>
      <c r="C21" s="14" t="b">
        <v>0</v>
      </c>
      <c r="D21" s="14" t="b">
        <v>0</v>
      </c>
      <c r="E21" s="1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25BF5-5BE5-4D5C-ABCB-5EE01C4D804C}">
  <dimension ref="A1:AA1000"/>
  <sheetViews>
    <sheetView workbookViewId="0">
      <selection activeCell="X2" sqref="X2"/>
    </sheetView>
  </sheetViews>
  <sheetFormatPr defaultColWidth="12.5703125" defaultRowHeight="15" x14ac:dyDescent="0.25"/>
  <cols>
    <col min="1" max="1" width="8.7109375" customWidth="1"/>
    <col min="2" max="2" width="14.85546875" customWidth="1"/>
    <col min="3" max="3" width="28" customWidth="1"/>
    <col min="4" max="27" width="8.7109375" customWidth="1"/>
  </cols>
  <sheetData>
    <row r="1" spans="1:27" x14ac:dyDescent="0.25">
      <c r="A1" s="24" t="s">
        <v>39</v>
      </c>
      <c r="B1" s="24" t="s">
        <v>40</v>
      </c>
      <c r="C1" s="24" t="s">
        <v>41</v>
      </c>
      <c r="D1" s="24" t="s">
        <v>42</v>
      </c>
      <c r="E1" s="25" t="s">
        <v>43</v>
      </c>
      <c r="F1" s="25">
        <v>1</v>
      </c>
      <c r="G1" s="25">
        <v>2</v>
      </c>
      <c r="H1" s="25">
        <v>3</v>
      </c>
      <c r="I1" s="25">
        <v>4</v>
      </c>
      <c r="J1" s="25">
        <v>5</v>
      </c>
      <c r="K1" s="25">
        <v>6</v>
      </c>
      <c r="L1" s="25">
        <v>7</v>
      </c>
      <c r="M1" s="25">
        <v>8</v>
      </c>
      <c r="N1" s="25">
        <v>9</v>
      </c>
      <c r="O1" s="25">
        <v>10</v>
      </c>
      <c r="P1" s="25">
        <v>11</v>
      </c>
      <c r="Q1" s="25">
        <v>12</v>
      </c>
      <c r="R1" s="25">
        <v>13</v>
      </c>
      <c r="S1" s="25">
        <v>14</v>
      </c>
      <c r="T1" s="25">
        <v>15</v>
      </c>
      <c r="U1" s="25">
        <v>16</v>
      </c>
      <c r="V1" s="25">
        <v>17</v>
      </c>
      <c r="W1" s="25">
        <v>18</v>
      </c>
      <c r="X1" s="25">
        <v>19</v>
      </c>
      <c r="Y1" s="25">
        <v>20</v>
      </c>
      <c r="Z1" s="25" t="s">
        <v>44</v>
      </c>
      <c r="AA1" s="25" t="s">
        <v>9</v>
      </c>
    </row>
    <row r="2" spans="1:27" x14ac:dyDescent="0.25">
      <c r="A2" s="26">
        <v>1</v>
      </c>
      <c r="B2" s="27" t="s">
        <v>51</v>
      </c>
      <c r="C2" s="28" t="s">
        <v>52</v>
      </c>
      <c r="D2" s="28" t="s">
        <v>53</v>
      </c>
      <c r="E2" s="29" t="s">
        <v>46</v>
      </c>
      <c r="F2" s="30">
        <v>1</v>
      </c>
      <c r="G2" s="30">
        <v>1</v>
      </c>
      <c r="H2" s="30">
        <v>1</v>
      </c>
      <c r="I2" s="30">
        <v>1</v>
      </c>
      <c r="J2" s="30">
        <v>1</v>
      </c>
      <c r="K2" s="30">
        <v>2</v>
      </c>
      <c r="L2" s="30">
        <v>2</v>
      </c>
      <c r="M2" s="30" t="s">
        <v>47</v>
      </c>
      <c r="N2" s="30">
        <v>2</v>
      </c>
      <c r="O2" s="30">
        <v>2</v>
      </c>
      <c r="P2" s="30">
        <v>2</v>
      </c>
      <c r="Q2" s="30">
        <v>5</v>
      </c>
      <c r="R2" s="30" t="s">
        <v>47</v>
      </c>
      <c r="S2" s="30">
        <v>5</v>
      </c>
      <c r="T2" s="30">
        <v>5</v>
      </c>
      <c r="U2" s="30" t="s">
        <v>47</v>
      </c>
      <c r="V2" s="30">
        <v>4</v>
      </c>
      <c r="W2" s="29" t="s">
        <v>47</v>
      </c>
      <c r="X2" s="29" t="s">
        <v>47</v>
      </c>
      <c r="Y2" s="29" t="s">
        <v>47</v>
      </c>
      <c r="Z2" s="29">
        <f t="shared" ref="Z2:Z19" si="0">SUM(F2:Y2)</f>
        <v>34</v>
      </c>
      <c r="AA2" s="29">
        <v>50</v>
      </c>
    </row>
    <row r="3" spans="1:27" x14ac:dyDescent="0.25">
      <c r="A3" s="26">
        <v>2</v>
      </c>
      <c r="B3" s="31" t="s">
        <v>54</v>
      </c>
      <c r="C3" s="26" t="s">
        <v>55</v>
      </c>
      <c r="D3" s="28" t="s">
        <v>53</v>
      </c>
      <c r="E3" s="30" t="s">
        <v>46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2</v>
      </c>
      <c r="L3" s="30" t="s">
        <v>47</v>
      </c>
      <c r="M3" s="30">
        <v>2</v>
      </c>
      <c r="N3" s="30">
        <v>2</v>
      </c>
      <c r="O3" s="30">
        <v>2</v>
      </c>
      <c r="P3" s="30">
        <v>2</v>
      </c>
      <c r="Q3" s="30">
        <v>5</v>
      </c>
      <c r="R3" s="30">
        <v>5</v>
      </c>
      <c r="S3" s="30">
        <v>5</v>
      </c>
      <c r="T3" s="30" t="s">
        <v>47</v>
      </c>
      <c r="U3" s="30" t="s">
        <v>47</v>
      </c>
      <c r="V3" s="30">
        <v>10</v>
      </c>
      <c r="W3" s="30" t="s">
        <v>47</v>
      </c>
      <c r="X3" s="30" t="s">
        <v>47</v>
      </c>
      <c r="Y3" s="30" t="s">
        <v>47</v>
      </c>
      <c r="Z3" s="30">
        <f t="shared" si="0"/>
        <v>40</v>
      </c>
      <c r="AA3" s="30">
        <v>50</v>
      </c>
    </row>
    <row r="4" spans="1:27" x14ac:dyDescent="0.25">
      <c r="A4" s="26">
        <v>3</v>
      </c>
      <c r="B4" s="31" t="s">
        <v>56</v>
      </c>
      <c r="C4" s="26" t="s">
        <v>57</v>
      </c>
      <c r="D4" s="28" t="s">
        <v>53</v>
      </c>
      <c r="E4" s="30" t="s">
        <v>46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2</v>
      </c>
      <c r="L4" s="30">
        <v>2</v>
      </c>
      <c r="M4" s="30">
        <v>2</v>
      </c>
      <c r="N4" s="30">
        <v>2</v>
      </c>
      <c r="O4" s="30">
        <v>2</v>
      </c>
      <c r="P4" s="30" t="s">
        <v>47</v>
      </c>
      <c r="Q4" s="30">
        <v>5</v>
      </c>
      <c r="R4" s="30" t="s">
        <v>47</v>
      </c>
      <c r="S4" s="30">
        <v>5</v>
      </c>
      <c r="T4" s="30">
        <v>5</v>
      </c>
      <c r="U4" s="30">
        <v>6</v>
      </c>
      <c r="V4" s="30" t="s">
        <v>47</v>
      </c>
      <c r="W4" s="30" t="s">
        <v>47</v>
      </c>
      <c r="X4" s="30" t="s">
        <v>47</v>
      </c>
      <c r="Y4" s="30" t="s">
        <v>47</v>
      </c>
      <c r="Z4" s="30">
        <f t="shared" si="0"/>
        <v>36</v>
      </c>
      <c r="AA4" s="30">
        <v>50</v>
      </c>
    </row>
    <row r="5" spans="1:27" x14ac:dyDescent="0.25">
      <c r="A5" s="26">
        <v>4</v>
      </c>
      <c r="B5" s="31" t="s">
        <v>58</v>
      </c>
      <c r="C5" s="26" t="s">
        <v>59</v>
      </c>
      <c r="D5" s="28" t="s">
        <v>53</v>
      </c>
      <c r="E5" s="30" t="s">
        <v>46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2</v>
      </c>
      <c r="M5" s="30">
        <v>2</v>
      </c>
      <c r="N5" s="30" t="s">
        <v>47</v>
      </c>
      <c r="O5" s="30">
        <v>2</v>
      </c>
      <c r="P5" s="30" t="s">
        <v>47</v>
      </c>
      <c r="Q5" s="30" t="s">
        <v>47</v>
      </c>
      <c r="R5" s="30" t="s">
        <v>47</v>
      </c>
      <c r="S5" s="30" t="s">
        <v>47</v>
      </c>
      <c r="T5" s="30" t="s">
        <v>47</v>
      </c>
      <c r="U5" s="30">
        <v>1</v>
      </c>
      <c r="V5" s="30" t="s">
        <v>47</v>
      </c>
      <c r="W5" s="30" t="s">
        <v>47</v>
      </c>
      <c r="X5" s="30" t="s">
        <v>47</v>
      </c>
      <c r="Y5" s="30" t="s">
        <v>47</v>
      </c>
      <c r="Z5" s="30">
        <f t="shared" si="0"/>
        <v>13</v>
      </c>
      <c r="AA5" s="30">
        <v>50</v>
      </c>
    </row>
    <row r="6" spans="1:27" ht="15" customHeight="1" x14ac:dyDescent="0.25">
      <c r="A6" s="26">
        <v>5</v>
      </c>
      <c r="B6" s="31" t="s">
        <v>60</v>
      </c>
      <c r="C6" s="26" t="s">
        <v>61</v>
      </c>
      <c r="D6" s="28" t="s">
        <v>53</v>
      </c>
      <c r="E6" s="30" t="s">
        <v>46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2</v>
      </c>
      <c r="L6" s="30">
        <v>2</v>
      </c>
      <c r="M6" s="30">
        <v>2</v>
      </c>
      <c r="N6" s="30" t="s">
        <v>47</v>
      </c>
      <c r="O6" s="30">
        <v>2</v>
      </c>
      <c r="P6" s="30">
        <v>2</v>
      </c>
      <c r="Q6" s="30">
        <v>2</v>
      </c>
      <c r="R6" s="30">
        <v>5</v>
      </c>
      <c r="S6" s="30">
        <v>5</v>
      </c>
      <c r="T6" s="30" t="s">
        <v>47</v>
      </c>
      <c r="U6" s="30">
        <v>1</v>
      </c>
      <c r="V6" s="30" t="s">
        <v>47</v>
      </c>
      <c r="W6" s="30" t="s">
        <v>47</v>
      </c>
      <c r="X6" s="30" t="s">
        <v>47</v>
      </c>
      <c r="Y6" s="30" t="s">
        <v>47</v>
      </c>
      <c r="Z6" s="30">
        <f t="shared" si="0"/>
        <v>28</v>
      </c>
      <c r="AA6" s="30">
        <v>50</v>
      </c>
    </row>
    <row r="7" spans="1:27" ht="15" customHeight="1" x14ac:dyDescent="0.25">
      <c r="A7" s="26">
        <v>6</v>
      </c>
      <c r="B7" s="31" t="s">
        <v>62</v>
      </c>
      <c r="C7" s="26" t="s">
        <v>63</v>
      </c>
      <c r="D7" s="28" t="s">
        <v>53</v>
      </c>
      <c r="E7" s="30" t="s">
        <v>46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2</v>
      </c>
      <c r="L7" s="30" t="s">
        <v>47</v>
      </c>
      <c r="M7" s="30">
        <v>2</v>
      </c>
      <c r="N7" s="30">
        <v>2</v>
      </c>
      <c r="O7" s="30">
        <v>2</v>
      </c>
      <c r="P7" s="30">
        <v>2</v>
      </c>
      <c r="Q7" s="30">
        <v>4</v>
      </c>
      <c r="R7" s="30">
        <v>5</v>
      </c>
      <c r="S7" s="30">
        <v>5</v>
      </c>
      <c r="T7" s="30" t="s">
        <v>47</v>
      </c>
      <c r="U7" s="30" t="s">
        <v>47</v>
      </c>
      <c r="V7" s="30">
        <v>1</v>
      </c>
      <c r="W7" s="30" t="s">
        <v>47</v>
      </c>
      <c r="X7" s="30" t="s">
        <v>47</v>
      </c>
      <c r="Y7" s="30" t="s">
        <v>47</v>
      </c>
      <c r="Z7" s="30">
        <f t="shared" si="0"/>
        <v>30</v>
      </c>
      <c r="AA7" s="30">
        <v>50</v>
      </c>
    </row>
    <row r="8" spans="1:27" ht="15" customHeight="1" x14ac:dyDescent="0.25">
      <c r="A8" s="26">
        <v>7</v>
      </c>
      <c r="B8" s="31" t="s">
        <v>64</v>
      </c>
      <c r="C8" s="26" t="s">
        <v>65</v>
      </c>
      <c r="D8" s="28" t="s">
        <v>53</v>
      </c>
      <c r="E8" s="30" t="s">
        <v>46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2</v>
      </c>
      <c r="L8" s="30">
        <v>2</v>
      </c>
      <c r="M8" s="30">
        <v>2</v>
      </c>
      <c r="N8" s="30" t="s">
        <v>47</v>
      </c>
      <c r="O8" s="30">
        <v>2</v>
      </c>
      <c r="P8" s="30">
        <v>2</v>
      </c>
      <c r="Q8" s="30">
        <v>2</v>
      </c>
      <c r="R8" s="30">
        <v>5</v>
      </c>
      <c r="S8" s="30">
        <v>5</v>
      </c>
      <c r="T8" s="30" t="s">
        <v>47</v>
      </c>
      <c r="U8" s="30" t="s">
        <v>47</v>
      </c>
      <c r="V8" s="30">
        <v>1</v>
      </c>
      <c r="W8" s="30" t="s">
        <v>47</v>
      </c>
      <c r="X8" s="30" t="s">
        <v>47</v>
      </c>
      <c r="Y8" s="30" t="s">
        <v>47</v>
      </c>
      <c r="Z8" s="30">
        <f t="shared" si="0"/>
        <v>28</v>
      </c>
      <c r="AA8" s="30">
        <v>50</v>
      </c>
    </row>
    <row r="9" spans="1:27" ht="15" customHeight="1" x14ac:dyDescent="0.25">
      <c r="A9" s="26">
        <v>8</v>
      </c>
      <c r="B9" s="31" t="s">
        <v>66</v>
      </c>
      <c r="C9" s="26" t="s">
        <v>67</v>
      </c>
      <c r="D9" s="28" t="s">
        <v>53</v>
      </c>
      <c r="E9" s="30" t="s">
        <v>46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 t="s">
        <v>47</v>
      </c>
      <c r="L9" s="30">
        <v>2</v>
      </c>
      <c r="M9" s="30">
        <v>2</v>
      </c>
      <c r="N9" s="30">
        <v>2</v>
      </c>
      <c r="O9" s="30">
        <v>2</v>
      </c>
      <c r="P9" s="30">
        <v>2</v>
      </c>
      <c r="Q9" s="30">
        <v>5</v>
      </c>
      <c r="R9" s="30" t="s">
        <v>47</v>
      </c>
      <c r="S9" s="30">
        <v>5</v>
      </c>
      <c r="T9" s="30">
        <v>5</v>
      </c>
      <c r="U9" s="30" t="s">
        <v>47</v>
      </c>
      <c r="V9" s="30">
        <v>4</v>
      </c>
      <c r="W9" s="30" t="s">
        <v>47</v>
      </c>
      <c r="X9" s="30" t="s">
        <v>47</v>
      </c>
      <c r="Y9" s="30" t="s">
        <v>47</v>
      </c>
      <c r="Z9" s="30">
        <f t="shared" si="0"/>
        <v>34</v>
      </c>
      <c r="AA9" s="30">
        <v>50</v>
      </c>
    </row>
    <row r="10" spans="1:27" ht="15" customHeight="1" x14ac:dyDescent="0.25">
      <c r="A10" s="26">
        <v>9</v>
      </c>
      <c r="B10" s="31" t="s">
        <v>68</v>
      </c>
      <c r="C10" s="26" t="s">
        <v>69</v>
      </c>
      <c r="D10" s="28" t="s">
        <v>53</v>
      </c>
      <c r="E10" s="30" t="s">
        <v>46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 t="s">
        <v>47</v>
      </c>
      <c r="L10" s="30">
        <v>2</v>
      </c>
      <c r="M10" s="30">
        <v>2</v>
      </c>
      <c r="N10" s="30">
        <v>2</v>
      </c>
      <c r="O10" s="30">
        <v>2</v>
      </c>
      <c r="P10" s="30">
        <v>2</v>
      </c>
      <c r="Q10" s="30">
        <v>5</v>
      </c>
      <c r="R10" s="30">
        <v>5</v>
      </c>
      <c r="S10" s="30">
        <v>5</v>
      </c>
      <c r="T10" s="30" t="s">
        <v>47</v>
      </c>
      <c r="U10" s="30" t="s">
        <v>47</v>
      </c>
      <c r="V10" s="30">
        <v>6</v>
      </c>
      <c r="W10" s="30" t="s">
        <v>47</v>
      </c>
      <c r="X10" s="30" t="s">
        <v>47</v>
      </c>
      <c r="Y10" s="30" t="s">
        <v>47</v>
      </c>
      <c r="Z10" s="30">
        <f t="shared" si="0"/>
        <v>36</v>
      </c>
      <c r="AA10" s="30">
        <v>50</v>
      </c>
    </row>
    <row r="11" spans="1:27" ht="15" customHeight="1" x14ac:dyDescent="0.25">
      <c r="A11" s="26">
        <v>10</v>
      </c>
      <c r="B11" s="31" t="s">
        <v>70</v>
      </c>
      <c r="C11" s="26" t="s">
        <v>71</v>
      </c>
      <c r="D11" s="28" t="s">
        <v>53</v>
      </c>
      <c r="E11" s="30" t="s">
        <v>46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2</v>
      </c>
      <c r="M11" s="30" t="s">
        <v>47</v>
      </c>
      <c r="N11" s="30">
        <v>2</v>
      </c>
      <c r="O11" s="30">
        <v>2</v>
      </c>
      <c r="P11" s="30">
        <v>2</v>
      </c>
      <c r="Q11" s="30" t="s">
        <v>47</v>
      </c>
      <c r="R11" s="30" t="s">
        <v>47</v>
      </c>
      <c r="S11" s="30">
        <v>1</v>
      </c>
      <c r="T11" s="30" t="s">
        <v>47</v>
      </c>
      <c r="U11" s="30">
        <v>1</v>
      </c>
      <c r="V11" s="30" t="s">
        <v>47</v>
      </c>
      <c r="W11" s="30" t="s">
        <v>47</v>
      </c>
      <c r="X11" s="30" t="s">
        <v>47</v>
      </c>
      <c r="Y11" s="30" t="s">
        <v>47</v>
      </c>
      <c r="Z11" s="30">
        <f t="shared" si="0"/>
        <v>16</v>
      </c>
      <c r="AA11" s="30">
        <v>50</v>
      </c>
    </row>
    <row r="12" spans="1:27" ht="15" customHeight="1" x14ac:dyDescent="0.25">
      <c r="A12" s="26">
        <v>11</v>
      </c>
      <c r="B12" s="31" t="s">
        <v>72</v>
      </c>
      <c r="C12" s="26" t="s">
        <v>73</v>
      </c>
      <c r="D12" s="28" t="s">
        <v>53</v>
      </c>
      <c r="E12" s="30" t="s">
        <v>46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 t="s">
        <v>47</v>
      </c>
      <c r="L12" s="30">
        <v>2</v>
      </c>
      <c r="M12" s="30">
        <v>2</v>
      </c>
      <c r="N12" s="30">
        <v>2</v>
      </c>
      <c r="O12" s="30">
        <v>2</v>
      </c>
      <c r="P12" s="30">
        <v>2</v>
      </c>
      <c r="Q12" s="30">
        <v>4</v>
      </c>
      <c r="R12" s="30">
        <v>5</v>
      </c>
      <c r="S12" s="30" t="s">
        <v>47</v>
      </c>
      <c r="T12" s="30">
        <v>5</v>
      </c>
      <c r="U12" s="30">
        <v>1</v>
      </c>
      <c r="V12" s="30" t="s">
        <v>47</v>
      </c>
      <c r="W12" s="30" t="s">
        <v>47</v>
      </c>
      <c r="X12" s="30" t="s">
        <v>47</v>
      </c>
      <c r="Y12" s="30" t="s">
        <v>47</v>
      </c>
      <c r="Z12" s="30">
        <f t="shared" si="0"/>
        <v>30</v>
      </c>
      <c r="AA12" s="30">
        <v>50</v>
      </c>
    </row>
    <row r="13" spans="1:27" ht="15" customHeight="1" x14ac:dyDescent="0.25">
      <c r="A13" s="26">
        <v>12</v>
      </c>
      <c r="B13" s="31" t="s">
        <v>74</v>
      </c>
      <c r="C13" s="26" t="s">
        <v>75</v>
      </c>
      <c r="D13" s="28" t="s">
        <v>53</v>
      </c>
      <c r="E13" s="30" t="s">
        <v>46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2</v>
      </c>
      <c r="L13" s="30">
        <v>2</v>
      </c>
      <c r="M13" s="30" t="s">
        <v>47</v>
      </c>
      <c r="N13" s="30">
        <v>2</v>
      </c>
      <c r="O13" s="30">
        <v>2</v>
      </c>
      <c r="P13" s="30">
        <v>2</v>
      </c>
      <c r="Q13" s="30">
        <v>4</v>
      </c>
      <c r="R13" s="30" t="s">
        <v>47</v>
      </c>
      <c r="S13" s="30" t="s">
        <v>47</v>
      </c>
      <c r="T13" s="30" t="s">
        <v>47</v>
      </c>
      <c r="U13" s="30" t="s">
        <v>47</v>
      </c>
      <c r="V13" s="30">
        <v>1</v>
      </c>
      <c r="W13" s="30" t="s">
        <v>47</v>
      </c>
      <c r="X13" s="30" t="s">
        <v>47</v>
      </c>
      <c r="Y13" s="30" t="s">
        <v>47</v>
      </c>
      <c r="Z13" s="30">
        <f t="shared" si="0"/>
        <v>20</v>
      </c>
      <c r="AA13" s="30">
        <v>50</v>
      </c>
    </row>
    <row r="14" spans="1:27" ht="15" customHeight="1" x14ac:dyDescent="0.25">
      <c r="A14" s="26">
        <v>13</v>
      </c>
      <c r="B14" s="31" t="s">
        <v>76</v>
      </c>
      <c r="C14" s="26" t="s">
        <v>77</v>
      </c>
      <c r="D14" s="28" t="s">
        <v>53</v>
      </c>
      <c r="E14" s="30" t="s">
        <v>46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2</v>
      </c>
      <c r="L14" s="30">
        <v>2</v>
      </c>
      <c r="M14" s="30">
        <v>2</v>
      </c>
      <c r="N14" s="30" t="s">
        <v>47</v>
      </c>
      <c r="O14" s="30">
        <v>2</v>
      </c>
      <c r="P14" s="30">
        <v>2</v>
      </c>
      <c r="Q14" s="30">
        <v>5</v>
      </c>
      <c r="R14" s="30">
        <v>5</v>
      </c>
      <c r="S14" s="30" t="s">
        <v>47</v>
      </c>
      <c r="T14" s="30">
        <v>5</v>
      </c>
      <c r="U14" s="30" t="s">
        <v>47</v>
      </c>
      <c r="V14" s="30">
        <v>6</v>
      </c>
      <c r="W14" s="30" t="s">
        <v>47</v>
      </c>
      <c r="X14" s="30" t="s">
        <v>47</v>
      </c>
      <c r="Y14" s="30" t="s">
        <v>47</v>
      </c>
      <c r="Z14" s="30">
        <f t="shared" si="0"/>
        <v>36</v>
      </c>
      <c r="AA14" s="30">
        <v>50</v>
      </c>
    </row>
    <row r="15" spans="1:27" ht="15" customHeight="1" x14ac:dyDescent="0.25">
      <c r="A15" s="26">
        <v>14</v>
      </c>
      <c r="B15" s="31" t="s">
        <v>78</v>
      </c>
      <c r="C15" s="26" t="s">
        <v>79</v>
      </c>
      <c r="D15" s="28" t="s">
        <v>53</v>
      </c>
      <c r="E15" s="30" t="s">
        <v>46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2</v>
      </c>
      <c r="L15" s="30">
        <v>2</v>
      </c>
      <c r="M15" s="30" t="s">
        <v>47</v>
      </c>
      <c r="N15" s="30">
        <v>2</v>
      </c>
      <c r="O15" s="30">
        <v>2</v>
      </c>
      <c r="P15" s="30">
        <v>2</v>
      </c>
      <c r="Q15" s="30">
        <v>1</v>
      </c>
      <c r="R15" s="30" t="s">
        <v>47</v>
      </c>
      <c r="S15" s="30">
        <v>4</v>
      </c>
      <c r="T15" s="30">
        <v>5</v>
      </c>
      <c r="U15" s="30" t="s">
        <v>47</v>
      </c>
      <c r="V15" s="30">
        <v>1</v>
      </c>
      <c r="W15" s="30" t="s">
        <v>47</v>
      </c>
      <c r="X15" s="30" t="s">
        <v>47</v>
      </c>
      <c r="Y15" s="30" t="s">
        <v>47</v>
      </c>
      <c r="Z15" s="30">
        <f t="shared" si="0"/>
        <v>26</v>
      </c>
      <c r="AA15" s="30">
        <v>50</v>
      </c>
    </row>
    <row r="16" spans="1:27" ht="15" customHeight="1" x14ac:dyDescent="0.25">
      <c r="A16" s="26">
        <v>15</v>
      </c>
      <c r="B16" s="31" t="s">
        <v>80</v>
      </c>
      <c r="C16" s="26" t="s">
        <v>81</v>
      </c>
      <c r="D16" s="28" t="s">
        <v>53</v>
      </c>
      <c r="E16" s="30" t="s">
        <v>46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 t="s">
        <v>47</v>
      </c>
      <c r="L16" s="30">
        <v>2</v>
      </c>
      <c r="M16" s="30">
        <v>2</v>
      </c>
      <c r="N16" s="30">
        <v>2</v>
      </c>
      <c r="O16" s="30">
        <v>2</v>
      </c>
      <c r="P16" s="30">
        <v>2</v>
      </c>
      <c r="Q16" s="30">
        <v>5</v>
      </c>
      <c r="R16" s="30" t="s">
        <v>47</v>
      </c>
      <c r="S16" s="30">
        <v>5</v>
      </c>
      <c r="T16" s="30">
        <v>5</v>
      </c>
      <c r="U16" s="30">
        <v>4</v>
      </c>
      <c r="V16" s="30" t="s">
        <v>47</v>
      </c>
      <c r="W16" s="30" t="s">
        <v>47</v>
      </c>
      <c r="X16" s="30" t="s">
        <v>47</v>
      </c>
      <c r="Y16" s="30" t="s">
        <v>47</v>
      </c>
      <c r="Z16" s="30">
        <f t="shared" si="0"/>
        <v>34</v>
      </c>
      <c r="AA16" s="30">
        <v>50</v>
      </c>
    </row>
    <row r="17" spans="1:27" ht="15" customHeight="1" x14ac:dyDescent="0.25">
      <c r="A17" s="26">
        <v>16</v>
      </c>
      <c r="B17" s="31" t="s">
        <v>82</v>
      </c>
      <c r="C17" s="26" t="s">
        <v>83</v>
      </c>
      <c r="D17" s="28" t="s">
        <v>53</v>
      </c>
      <c r="E17" s="30" t="s">
        <v>46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2</v>
      </c>
      <c r="L17" s="30">
        <v>2</v>
      </c>
      <c r="M17" s="30">
        <v>2</v>
      </c>
      <c r="N17" s="30">
        <v>2</v>
      </c>
      <c r="O17" s="30">
        <v>2</v>
      </c>
      <c r="P17" s="30" t="s">
        <v>47</v>
      </c>
      <c r="Q17" s="30">
        <v>5</v>
      </c>
      <c r="R17" s="30" t="s">
        <v>47</v>
      </c>
      <c r="S17" s="30">
        <v>5</v>
      </c>
      <c r="T17" s="30">
        <v>5</v>
      </c>
      <c r="U17" s="30">
        <v>6</v>
      </c>
      <c r="V17" s="30" t="s">
        <v>47</v>
      </c>
      <c r="W17" s="30" t="s">
        <v>47</v>
      </c>
      <c r="X17" s="30" t="s">
        <v>47</v>
      </c>
      <c r="Y17" s="30" t="s">
        <v>47</v>
      </c>
      <c r="Z17" s="30">
        <f t="shared" si="0"/>
        <v>36</v>
      </c>
      <c r="AA17" s="30">
        <v>50</v>
      </c>
    </row>
    <row r="18" spans="1:27" ht="15" customHeight="1" x14ac:dyDescent="0.25">
      <c r="A18" s="26">
        <v>17</v>
      </c>
      <c r="B18" s="31" t="s">
        <v>84</v>
      </c>
      <c r="C18" s="26" t="s">
        <v>85</v>
      </c>
      <c r="D18" s="28" t="s">
        <v>53</v>
      </c>
      <c r="E18" s="30" t="s">
        <v>46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2</v>
      </c>
      <c r="L18" s="30" t="s">
        <v>47</v>
      </c>
      <c r="M18" s="30">
        <v>2</v>
      </c>
      <c r="N18" s="30">
        <v>2</v>
      </c>
      <c r="O18" s="30">
        <v>2</v>
      </c>
      <c r="P18" s="30">
        <v>2</v>
      </c>
      <c r="Q18" s="30">
        <v>4</v>
      </c>
      <c r="R18" s="30" t="s">
        <v>47</v>
      </c>
      <c r="S18" s="30" t="s">
        <v>47</v>
      </c>
      <c r="T18" s="30" t="s">
        <v>47</v>
      </c>
      <c r="U18" s="30">
        <v>1</v>
      </c>
      <c r="V18" s="30" t="s">
        <v>47</v>
      </c>
      <c r="W18" s="30" t="s">
        <v>47</v>
      </c>
      <c r="X18" s="30" t="s">
        <v>47</v>
      </c>
      <c r="Y18" s="30" t="s">
        <v>47</v>
      </c>
      <c r="Z18" s="30">
        <f t="shared" si="0"/>
        <v>20</v>
      </c>
      <c r="AA18" s="30">
        <v>50</v>
      </c>
    </row>
    <row r="19" spans="1:27" ht="15" customHeight="1" x14ac:dyDescent="0.25">
      <c r="A19" s="26">
        <v>18</v>
      </c>
      <c r="B19" s="31" t="s">
        <v>86</v>
      </c>
      <c r="C19" s="26" t="s">
        <v>48</v>
      </c>
      <c r="D19" s="28" t="s">
        <v>53</v>
      </c>
      <c r="E19" s="30" t="s">
        <v>46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2</v>
      </c>
      <c r="L19" s="30">
        <v>2</v>
      </c>
      <c r="M19" s="30">
        <v>2</v>
      </c>
      <c r="N19" s="30" t="s">
        <v>47</v>
      </c>
      <c r="O19" s="30">
        <v>2</v>
      </c>
      <c r="P19" s="30">
        <v>2</v>
      </c>
      <c r="Q19" s="30" t="s">
        <v>47</v>
      </c>
      <c r="R19" s="30">
        <v>5</v>
      </c>
      <c r="S19" s="30">
        <v>5</v>
      </c>
      <c r="T19" s="30">
        <v>5</v>
      </c>
      <c r="U19" s="30">
        <v>6</v>
      </c>
      <c r="V19" s="30" t="s">
        <v>47</v>
      </c>
      <c r="W19" s="30" t="s">
        <v>47</v>
      </c>
      <c r="X19" s="30" t="s">
        <v>47</v>
      </c>
      <c r="Y19" s="30" t="s">
        <v>47</v>
      </c>
      <c r="Z19" s="30">
        <f t="shared" si="0"/>
        <v>36</v>
      </c>
      <c r="AA19" s="30">
        <v>50</v>
      </c>
    </row>
    <row r="20" spans="1:27" x14ac:dyDescent="0.25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ht="15.75" customHeight="1" x14ac:dyDescent="0.25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ht="15.75" customHeight="1" x14ac:dyDescent="0.25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ht="15.75" customHeight="1" x14ac:dyDescent="0.2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ht="15.75" customHeight="1" x14ac:dyDescent="0.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27" ht="15.75" customHeight="1" x14ac:dyDescent="0.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27" ht="15.75" customHeight="1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:27" ht="15.75" customHeight="1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:27" ht="15.75" customHeight="1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27" ht="15.75" customHeight="1" x14ac:dyDescent="0.2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27" ht="15.75" customHeight="1" x14ac:dyDescent="0.2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27" ht="15.75" customHeight="1" x14ac:dyDescent="0.25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27" ht="15.75" customHeight="1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 ht="15.75" customHeight="1" x14ac:dyDescent="0.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 ht="15.75" customHeight="1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 ht="15.75" customHeight="1" x14ac:dyDescent="0.2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 ht="15.75" customHeight="1" x14ac:dyDescent="0.25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 ht="15.75" customHeight="1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 spans="1:27" ht="15.75" customHeight="1" x14ac:dyDescent="0.25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spans="1:27" ht="15.75" customHeight="1" x14ac:dyDescent="0.25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 spans="1:27" ht="15.75" customHeight="1" x14ac:dyDescent="0.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1:27" ht="15.75" customHeight="1" x14ac:dyDescent="0.25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</row>
    <row r="42" spans="1:27" ht="15.75" customHeight="1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</row>
    <row r="43" spans="1:27" ht="15.75" customHeight="1" x14ac:dyDescent="0.2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</row>
    <row r="44" spans="1:27" ht="15.75" customHeight="1" x14ac:dyDescent="0.25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45" spans="1:27" ht="15.75" customHeight="1" x14ac:dyDescent="0.2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 spans="1:27" ht="15.75" customHeight="1" x14ac:dyDescent="0.25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 spans="1:27" ht="15.75" customHeight="1" x14ac:dyDescent="0.25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 spans="1:27" ht="15.75" customHeight="1" x14ac:dyDescent="0.25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 spans="1:27" ht="15.75" customHeight="1" x14ac:dyDescent="0.2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 spans="1:27" ht="15.75" customHeight="1" x14ac:dyDescent="0.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 spans="1:27" ht="15.75" customHeight="1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 spans="1:27" ht="15.75" customHeight="1" x14ac:dyDescent="0.25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 spans="1:27" ht="15.75" customHeight="1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 spans="1:27" ht="15.7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1:27" ht="15.75" customHeight="1" x14ac:dyDescent="0.2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 spans="1:27" ht="15.75" customHeight="1" x14ac:dyDescent="0.25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 spans="1:27" ht="15.75" customHeight="1" x14ac:dyDescent="0.25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 spans="1:27" ht="15.75" customHeight="1" x14ac:dyDescent="0.25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 spans="1:27" ht="15.75" customHeight="1" x14ac:dyDescent="0.25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 spans="1:27" ht="15.75" customHeight="1" x14ac:dyDescent="0.25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 spans="1:27" ht="15.75" customHeight="1" x14ac:dyDescent="0.25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 spans="1:27" ht="15.75" customHeight="1" x14ac:dyDescent="0.25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 spans="1:27" ht="15.75" customHeight="1" x14ac:dyDescent="0.25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1:27" ht="15.75" customHeight="1" x14ac:dyDescent="0.25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 spans="1:27" ht="15.75" customHeight="1" x14ac:dyDescent="0.2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 spans="1:27" ht="15.75" customHeight="1" x14ac:dyDescent="0.25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 spans="1:27" ht="15.75" customHeight="1" x14ac:dyDescent="0.25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 spans="1:27" ht="15.75" customHeight="1" x14ac:dyDescent="0.25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 spans="1:27" ht="15.75" customHeight="1" x14ac:dyDescent="0.25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 spans="1:27" ht="15.75" customHeight="1" x14ac:dyDescent="0.25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spans="1:27" ht="15.75" customHeight="1" x14ac:dyDescent="0.25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 spans="1:27" ht="15.75" customHeight="1" x14ac:dyDescent="0.25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 spans="1:27" ht="15.75" customHeight="1" x14ac:dyDescent="0.25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 spans="1:27" ht="15.75" customHeight="1" x14ac:dyDescent="0.25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 spans="1:27" ht="15.75" customHeight="1" x14ac:dyDescent="0.2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 spans="1:27" ht="15.75" customHeight="1" x14ac:dyDescent="0.25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 spans="1:27" ht="15.75" customHeight="1" x14ac:dyDescent="0.25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 spans="1:27" ht="15.75" customHeight="1" x14ac:dyDescent="0.25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 spans="1:27" ht="15.75" customHeight="1" x14ac:dyDescent="0.25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 spans="1:27" ht="15.75" customHeight="1" x14ac:dyDescent="0.25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 spans="1:27" ht="15.75" customHeight="1" x14ac:dyDescent="0.25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 spans="1:27" ht="15.75" customHeight="1" x14ac:dyDescent="0.25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 spans="1:27" ht="15.75" customHeight="1" x14ac:dyDescent="0.25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 spans="1:27" ht="15.75" customHeight="1" x14ac:dyDescent="0.25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 spans="1:27" ht="15.75" customHeight="1" x14ac:dyDescent="0.2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 spans="1:27" ht="15.75" customHeight="1" x14ac:dyDescent="0.25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 spans="1:27" ht="15.75" customHeight="1" x14ac:dyDescent="0.25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 spans="1:27" ht="15.75" customHeight="1" x14ac:dyDescent="0.25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</row>
    <row r="89" spans="1:27" ht="15.75" customHeight="1" x14ac:dyDescent="0.25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 spans="1:27" ht="15.75" customHeight="1" x14ac:dyDescent="0.25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 spans="1:27" ht="15.75" customHeight="1" x14ac:dyDescent="0.25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 spans="1:27" ht="15.75" customHeight="1" x14ac:dyDescent="0.25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 spans="1:27" ht="15.75" customHeight="1" x14ac:dyDescent="0.25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 spans="1:27" ht="15.75" customHeight="1" x14ac:dyDescent="0.25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 spans="1:27" ht="15.75" customHeight="1" x14ac:dyDescent="0.2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 spans="1:27" ht="15.75" customHeight="1" x14ac:dyDescent="0.25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 spans="1:27" ht="15.75" customHeight="1" x14ac:dyDescent="0.25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 spans="1:27" ht="15.75" customHeight="1" x14ac:dyDescent="0.25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 spans="1:27" ht="15.75" customHeight="1" x14ac:dyDescent="0.25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 spans="1:27" ht="15.75" customHeight="1" x14ac:dyDescent="0.25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 spans="1:27" ht="15.75" customHeight="1" x14ac:dyDescent="0.25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 spans="1:27" ht="15.75" customHeight="1" x14ac:dyDescent="0.25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 spans="1:27" ht="15.75" customHeight="1" x14ac:dyDescent="0.25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 spans="1:27" ht="15.75" customHeight="1" x14ac:dyDescent="0.25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 spans="1:27" ht="15.75" customHeight="1" x14ac:dyDescent="0.2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 spans="1:27" ht="15.75" customHeight="1" x14ac:dyDescent="0.25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 spans="1:27" ht="15.75" customHeight="1" x14ac:dyDescent="0.25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 spans="1:27" ht="15.75" customHeight="1" x14ac:dyDescent="0.25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 spans="1:27" ht="15.75" customHeight="1" x14ac:dyDescent="0.25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 spans="1:27" ht="15.75" customHeight="1" x14ac:dyDescent="0.25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 spans="1:27" ht="15.75" customHeight="1" x14ac:dyDescent="0.25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 spans="1:27" ht="15.75" customHeight="1" x14ac:dyDescent="0.25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 spans="1:27" ht="15.75" customHeight="1" x14ac:dyDescent="0.25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 spans="1:27" ht="15.75" customHeight="1" x14ac:dyDescent="0.25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 spans="1:27" ht="15.75" customHeight="1" x14ac:dyDescent="0.2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 spans="1:27" ht="15.75" customHeight="1" x14ac:dyDescent="0.25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 spans="1:27" ht="15.75" customHeight="1" x14ac:dyDescent="0.25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 spans="1:27" ht="15.75" customHeight="1" x14ac:dyDescent="0.25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 spans="1:27" ht="15.75" customHeight="1" x14ac:dyDescent="0.25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 spans="1:27" ht="15.75" customHeight="1" x14ac:dyDescent="0.25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 spans="1:27" ht="15.75" customHeight="1" x14ac:dyDescent="0.25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 spans="1:27" ht="15.75" customHeight="1" x14ac:dyDescent="0.25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 spans="1:27" ht="15.75" customHeight="1" x14ac:dyDescent="0.25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 spans="1:27" ht="15.75" customHeight="1" x14ac:dyDescent="0.25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 spans="1:27" ht="15.75" customHeight="1" x14ac:dyDescent="0.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 spans="1:27" ht="15.75" customHeight="1" x14ac:dyDescent="0.25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 spans="1:27" ht="15.75" customHeight="1" x14ac:dyDescent="0.25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 spans="1:27" ht="15.75" customHeight="1" x14ac:dyDescent="0.25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 spans="1:27" ht="15.75" customHeight="1" x14ac:dyDescent="0.25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 spans="1:27" ht="15.75" customHeight="1" x14ac:dyDescent="0.25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 spans="1:27" ht="15.75" customHeight="1" x14ac:dyDescent="0.25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 spans="1:27" ht="15.75" customHeight="1" x14ac:dyDescent="0.25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 spans="1:27" ht="15.75" customHeight="1" x14ac:dyDescent="0.25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 spans="1:27" ht="15.75" customHeight="1" x14ac:dyDescent="0.25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 spans="1:27" ht="15.75" customHeight="1" x14ac:dyDescent="0.2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 spans="1:27" ht="15.75" customHeight="1" x14ac:dyDescent="0.25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 spans="1:27" ht="15.75" customHeight="1" x14ac:dyDescent="0.25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 spans="1:27" ht="15.75" customHeight="1" x14ac:dyDescent="0.25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 spans="1:27" ht="15.75" customHeight="1" x14ac:dyDescent="0.25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</row>
    <row r="140" spans="1:27" ht="15.75" customHeight="1" x14ac:dyDescent="0.25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</row>
    <row r="141" spans="1:27" ht="15.75" customHeight="1" x14ac:dyDescent="0.25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</row>
    <row r="142" spans="1:27" ht="15.75" customHeight="1" x14ac:dyDescent="0.25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</row>
    <row r="143" spans="1:27" ht="15.75" customHeight="1" x14ac:dyDescent="0.25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</row>
    <row r="144" spans="1:27" ht="15.75" customHeight="1" x14ac:dyDescent="0.25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</row>
    <row r="145" spans="1:27" ht="15.75" customHeight="1" x14ac:dyDescent="0.2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</row>
    <row r="146" spans="1:27" ht="15.75" customHeight="1" x14ac:dyDescent="0.25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</row>
    <row r="147" spans="1:27" ht="15.75" customHeight="1" x14ac:dyDescent="0.25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</row>
    <row r="148" spans="1:27" ht="15.75" customHeight="1" x14ac:dyDescent="0.25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</row>
    <row r="149" spans="1:27" ht="15.75" customHeight="1" x14ac:dyDescent="0.25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 spans="1:27" ht="15.75" customHeight="1" x14ac:dyDescent="0.25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 spans="1:27" ht="15.75" customHeight="1" x14ac:dyDescent="0.25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 spans="1:27" ht="15.75" customHeight="1" x14ac:dyDescent="0.25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 spans="1:27" ht="15.75" customHeight="1" x14ac:dyDescent="0.25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 spans="1:27" ht="15.75" customHeight="1" x14ac:dyDescent="0.25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 spans="1:27" ht="15.75" customHeight="1" x14ac:dyDescent="0.2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 spans="1:27" ht="15.75" customHeight="1" x14ac:dyDescent="0.25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 spans="1:27" ht="15.75" customHeight="1" x14ac:dyDescent="0.25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 spans="1:27" ht="15.75" customHeight="1" x14ac:dyDescent="0.25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 spans="1:27" ht="15.75" customHeight="1" x14ac:dyDescent="0.25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</row>
    <row r="160" spans="1:27" ht="15.75" customHeight="1" x14ac:dyDescent="0.2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</row>
    <row r="161" spans="1:27" ht="15.75" customHeight="1" x14ac:dyDescent="0.25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</row>
    <row r="162" spans="1:27" ht="15.75" customHeight="1" x14ac:dyDescent="0.25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</row>
    <row r="163" spans="1:27" ht="15.75" customHeight="1" x14ac:dyDescent="0.25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</row>
    <row r="164" spans="1:27" ht="15.75" customHeight="1" x14ac:dyDescent="0.25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</row>
    <row r="165" spans="1:27" ht="15.75" customHeight="1" x14ac:dyDescent="0.2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</row>
    <row r="166" spans="1:27" ht="15.75" customHeight="1" x14ac:dyDescent="0.25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</row>
    <row r="167" spans="1:27" ht="15.75" customHeight="1" x14ac:dyDescent="0.25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</row>
    <row r="168" spans="1:27" ht="15.75" customHeight="1" x14ac:dyDescent="0.25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</row>
    <row r="169" spans="1:27" ht="15.75" customHeight="1" x14ac:dyDescent="0.25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</row>
    <row r="170" spans="1:27" ht="15.75" customHeight="1" x14ac:dyDescent="0.25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</row>
    <row r="171" spans="1:27" ht="15.75" customHeight="1" x14ac:dyDescent="0.25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</row>
    <row r="172" spans="1:27" ht="15.75" customHeight="1" x14ac:dyDescent="0.25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</row>
    <row r="173" spans="1:27" ht="15.75" customHeight="1" x14ac:dyDescent="0.25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74" spans="1:27" ht="15.75" customHeight="1" x14ac:dyDescent="0.25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</row>
    <row r="175" spans="1:27" ht="15.75" customHeight="1" x14ac:dyDescent="0.2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</row>
    <row r="176" spans="1:27" ht="15.75" customHeight="1" x14ac:dyDescent="0.25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</row>
    <row r="177" spans="1:27" ht="15.75" customHeight="1" x14ac:dyDescent="0.25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</row>
    <row r="178" spans="1:27" ht="15.75" customHeight="1" x14ac:dyDescent="0.25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</row>
    <row r="179" spans="1:27" ht="15.75" customHeight="1" x14ac:dyDescent="0.25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</row>
    <row r="180" spans="1:27" ht="15.75" customHeight="1" x14ac:dyDescent="0.25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</row>
    <row r="181" spans="1:27" ht="15.75" customHeight="1" x14ac:dyDescent="0.25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</row>
    <row r="182" spans="1:27" ht="15.75" customHeight="1" x14ac:dyDescent="0.25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</row>
    <row r="183" spans="1:27" ht="15.75" customHeight="1" x14ac:dyDescent="0.25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</row>
    <row r="184" spans="1:27" ht="15.75" customHeight="1" x14ac:dyDescent="0.25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</row>
    <row r="185" spans="1:27" ht="15.75" customHeight="1" x14ac:dyDescent="0.2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</row>
    <row r="186" spans="1:27" ht="15.75" customHeight="1" x14ac:dyDescent="0.25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</row>
    <row r="187" spans="1:27" ht="15.75" customHeight="1" x14ac:dyDescent="0.25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</row>
    <row r="188" spans="1:27" ht="15.75" customHeight="1" x14ac:dyDescent="0.25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</row>
    <row r="189" spans="1:27" ht="15.75" customHeight="1" x14ac:dyDescent="0.25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</row>
    <row r="190" spans="1:27" ht="15.75" customHeight="1" x14ac:dyDescent="0.25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</row>
    <row r="191" spans="1:27" ht="15.75" customHeight="1" x14ac:dyDescent="0.25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</row>
    <row r="192" spans="1:27" ht="15.75" customHeight="1" x14ac:dyDescent="0.25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</row>
    <row r="193" spans="1:27" ht="15.75" customHeight="1" x14ac:dyDescent="0.25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</row>
    <row r="194" spans="1:27" ht="15.75" customHeight="1" x14ac:dyDescent="0.25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</row>
    <row r="195" spans="1:27" ht="15.75" customHeight="1" x14ac:dyDescent="0.2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</row>
    <row r="196" spans="1:27" ht="15.75" customHeight="1" x14ac:dyDescent="0.25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</row>
    <row r="197" spans="1:27" ht="15.75" customHeight="1" x14ac:dyDescent="0.25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</row>
    <row r="198" spans="1:27" ht="15.75" customHeight="1" x14ac:dyDescent="0.25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</row>
    <row r="199" spans="1:27" ht="15.75" customHeight="1" x14ac:dyDescent="0.25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</row>
    <row r="200" spans="1:27" ht="15.75" customHeight="1" x14ac:dyDescent="0.25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</row>
    <row r="201" spans="1:27" ht="15.75" customHeight="1" x14ac:dyDescent="0.25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</row>
    <row r="202" spans="1:27" ht="15.75" customHeight="1" x14ac:dyDescent="0.25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</row>
    <row r="203" spans="1:27" ht="15.75" customHeight="1" x14ac:dyDescent="0.25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</row>
    <row r="204" spans="1:27" ht="15.75" customHeight="1" x14ac:dyDescent="0.25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</row>
    <row r="205" spans="1:27" ht="15.75" customHeight="1" x14ac:dyDescent="0.2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</row>
    <row r="206" spans="1:27" ht="15.75" customHeight="1" x14ac:dyDescent="0.25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</row>
    <row r="207" spans="1:27" ht="15.75" customHeight="1" x14ac:dyDescent="0.25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</row>
    <row r="208" spans="1:27" ht="15.75" customHeight="1" x14ac:dyDescent="0.25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</row>
    <row r="209" spans="1:27" ht="15.75" customHeight="1" x14ac:dyDescent="0.25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</row>
    <row r="210" spans="1:27" ht="15.75" customHeight="1" x14ac:dyDescent="0.25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 spans="1:27" ht="15.75" customHeight="1" x14ac:dyDescent="0.25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 spans="1:27" ht="15.75" customHeight="1" x14ac:dyDescent="0.25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</row>
    <row r="213" spans="1:27" ht="15.75" customHeight="1" x14ac:dyDescent="0.25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</row>
    <row r="214" spans="1:27" ht="15.75" customHeight="1" x14ac:dyDescent="0.25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 spans="1:27" ht="15.75" customHeight="1" x14ac:dyDescent="0.2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</row>
    <row r="216" spans="1:27" ht="15.75" customHeight="1" x14ac:dyDescent="0.25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</row>
    <row r="217" spans="1:27" ht="15.75" customHeight="1" x14ac:dyDescent="0.25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</row>
    <row r="218" spans="1:27" ht="15.75" customHeight="1" x14ac:dyDescent="0.25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</row>
    <row r="219" spans="1:27" ht="15.75" customHeight="1" x14ac:dyDescent="0.25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20" spans="1:27" ht="15.75" customHeight="1" x14ac:dyDescent="0.25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</row>
    <row r="221" spans="1:27" ht="15.75" customHeight="1" x14ac:dyDescent="0.25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</row>
    <row r="222" spans="1:27" ht="15.75" customHeight="1" x14ac:dyDescent="0.25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</row>
    <row r="223" spans="1:27" ht="15.75" customHeight="1" x14ac:dyDescent="0.25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</row>
    <row r="224" spans="1:27" ht="15.75" customHeight="1" x14ac:dyDescent="0.25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</row>
    <row r="225" spans="1:27" ht="15.75" customHeight="1" x14ac:dyDescent="0.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</row>
    <row r="226" spans="1:27" ht="15.75" customHeight="1" x14ac:dyDescent="0.25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</row>
    <row r="227" spans="1:27" ht="15.75" customHeight="1" x14ac:dyDescent="0.25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</row>
    <row r="228" spans="1:27" ht="15.75" customHeight="1" x14ac:dyDescent="0.25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</row>
    <row r="229" spans="1:27" ht="15.75" customHeight="1" x14ac:dyDescent="0.25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</row>
    <row r="230" spans="1:27" ht="15.75" customHeight="1" x14ac:dyDescent="0.25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</row>
    <row r="231" spans="1:27" ht="15.75" customHeight="1" x14ac:dyDescent="0.25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</row>
    <row r="232" spans="1:27" ht="15.75" customHeight="1" x14ac:dyDescent="0.25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</row>
    <row r="233" spans="1:27" ht="15.75" customHeight="1" x14ac:dyDescent="0.25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</row>
    <row r="234" spans="1:27" ht="15.75" customHeight="1" x14ac:dyDescent="0.25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</row>
    <row r="235" spans="1:27" ht="15.75" customHeight="1" x14ac:dyDescent="0.2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</row>
    <row r="236" spans="1:27" ht="15.75" customHeight="1" x14ac:dyDescent="0.25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</row>
    <row r="237" spans="1:27" ht="15.75" customHeight="1" x14ac:dyDescent="0.25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</row>
    <row r="238" spans="1:27" ht="15.75" customHeight="1" x14ac:dyDescent="0.25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</row>
    <row r="239" spans="1:27" ht="15.75" customHeight="1" x14ac:dyDescent="0.25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</row>
    <row r="240" spans="1:27" ht="15.75" customHeight="1" x14ac:dyDescent="0.25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 spans="1:27" ht="15.75" customHeight="1" x14ac:dyDescent="0.25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 spans="1:27" ht="15.75" customHeight="1" x14ac:dyDescent="0.25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 spans="1:27" ht="15.75" customHeight="1" x14ac:dyDescent="0.25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 spans="1:27" ht="15.75" customHeight="1" x14ac:dyDescent="0.25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 spans="1:27" ht="15.75" customHeight="1" x14ac:dyDescent="0.2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 spans="1:27" ht="15.75" customHeight="1" x14ac:dyDescent="0.25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 spans="1:27" ht="15.75" customHeight="1" x14ac:dyDescent="0.25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 spans="1:27" ht="15.75" customHeight="1" x14ac:dyDescent="0.25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 spans="1:27" ht="15.75" customHeight="1" x14ac:dyDescent="0.25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 spans="1:27" ht="15.75" customHeight="1" x14ac:dyDescent="0.25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 spans="1:27" ht="15.75" customHeight="1" x14ac:dyDescent="0.25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 spans="1:27" ht="15.75" customHeight="1" x14ac:dyDescent="0.25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 spans="1:27" ht="15.75" customHeight="1" x14ac:dyDescent="0.25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 spans="1:27" ht="15.75" customHeight="1" x14ac:dyDescent="0.25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 spans="1:27" ht="15.75" customHeight="1" x14ac:dyDescent="0.2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 spans="1:27" ht="15.75" customHeight="1" x14ac:dyDescent="0.25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 spans="1:27" ht="15.75" customHeight="1" x14ac:dyDescent="0.25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 spans="1:27" ht="15.75" customHeight="1" x14ac:dyDescent="0.25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 spans="1:27" ht="15.75" customHeight="1" x14ac:dyDescent="0.25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 spans="1:27" ht="15.75" customHeight="1" x14ac:dyDescent="0.25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 spans="1:27" ht="15.75" customHeight="1" x14ac:dyDescent="0.25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 spans="1:27" ht="15.75" customHeight="1" x14ac:dyDescent="0.25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 spans="1:27" ht="15.75" customHeight="1" x14ac:dyDescent="0.25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 spans="1:27" ht="15.75" customHeight="1" x14ac:dyDescent="0.25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 spans="1:27" ht="15.75" customHeight="1" x14ac:dyDescent="0.2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 spans="1:27" ht="15.75" customHeight="1" x14ac:dyDescent="0.25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 spans="1:27" ht="15.75" customHeight="1" x14ac:dyDescent="0.25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 spans="1:27" ht="15.75" customHeight="1" x14ac:dyDescent="0.25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 spans="1:27" ht="15.75" customHeight="1" x14ac:dyDescent="0.25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 spans="1:27" ht="15.75" customHeight="1" x14ac:dyDescent="0.25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 spans="1:27" ht="15.75" customHeight="1" x14ac:dyDescent="0.25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 spans="1:27" ht="15.75" customHeight="1" x14ac:dyDescent="0.25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 spans="1:27" ht="15.75" customHeight="1" x14ac:dyDescent="0.25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 spans="1:27" ht="15.75" customHeight="1" x14ac:dyDescent="0.25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 spans="1:27" ht="15.75" customHeight="1" x14ac:dyDescent="0.2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 spans="1:27" ht="15.75" customHeight="1" x14ac:dyDescent="0.25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 spans="1:27" ht="15.75" customHeight="1" x14ac:dyDescent="0.25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 spans="1:27" ht="15.75" customHeight="1" x14ac:dyDescent="0.25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 spans="1:27" ht="15.75" customHeight="1" x14ac:dyDescent="0.25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 spans="1:27" ht="15.75" customHeight="1" x14ac:dyDescent="0.25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 spans="1:27" ht="15.75" customHeight="1" x14ac:dyDescent="0.25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 spans="1:27" ht="15.75" customHeight="1" x14ac:dyDescent="0.25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 spans="1:27" ht="15.75" customHeight="1" x14ac:dyDescent="0.25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 spans="1:27" ht="15.75" customHeight="1" x14ac:dyDescent="0.25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 spans="1:27" ht="15.75" customHeight="1" x14ac:dyDescent="0.2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 spans="1:27" ht="15.75" customHeight="1" x14ac:dyDescent="0.25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 spans="1:27" ht="15.75" customHeight="1" x14ac:dyDescent="0.25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 spans="1:27" ht="15.75" customHeight="1" x14ac:dyDescent="0.25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 spans="1:27" ht="15.75" customHeight="1" x14ac:dyDescent="0.25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 spans="1:27" ht="15.75" customHeight="1" x14ac:dyDescent="0.25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 spans="1:27" ht="15.75" customHeight="1" x14ac:dyDescent="0.25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 spans="1:27" ht="15.75" customHeight="1" x14ac:dyDescent="0.25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 spans="1:27" ht="15.75" customHeight="1" x14ac:dyDescent="0.25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 spans="1:27" ht="15.75" customHeight="1" x14ac:dyDescent="0.25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 spans="1:27" ht="15.75" customHeight="1" x14ac:dyDescent="0.2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 spans="1:27" ht="15.75" customHeight="1" x14ac:dyDescent="0.25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 spans="1:27" ht="15.75" customHeight="1" x14ac:dyDescent="0.25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 spans="1:27" ht="15.75" customHeight="1" x14ac:dyDescent="0.25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 spans="1:27" ht="15.75" customHeight="1" x14ac:dyDescent="0.25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 spans="1:27" ht="15.75" customHeight="1" x14ac:dyDescent="0.25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 spans="1:27" ht="15.75" customHeight="1" x14ac:dyDescent="0.25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 spans="1:27" ht="15.75" customHeight="1" x14ac:dyDescent="0.25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 spans="1:27" ht="15.75" customHeight="1" x14ac:dyDescent="0.25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 spans="1:27" ht="15.75" customHeight="1" x14ac:dyDescent="0.25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 spans="1:27" ht="15.75" customHeight="1" x14ac:dyDescent="0.2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 spans="1:27" ht="15.75" customHeight="1" x14ac:dyDescent="0.25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 spans="1:27" ht="15.75" customHeight="1" x14ac:dyDescent="0.25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 spans="1:27" ht="15.75" customHeight="1" x14ac:dyDescent="0.25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 spans="1:27" ht="15.75" customHeight="1" x14ac:dyDescent="0.25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 spans="1:27" ht="15.75" customHeight="1" x14ac:dyDescent="0.25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 spans="1:27" ht="15.75" customHeight="1" x14ac:dyDescent="0.25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 spans="1:27" ht="15.75" customHeight="1" x14ac:dyDescent="0.25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 spans="1:27" ht="15.75" customHeight="1" x14ac:dyDescent="0.25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 spans="1:27" ht="15.75" customHeight="1" x14ac:dyDescent="0.25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 spans="1:27" ht="15.75" customHeight="1" x14ac:dyDescent="0.2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 spans="1:27" ht="15.75" customHeight="1" x14ac:dyDescent="0.25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 spans="1:27" ht="15.75" customHeight="1" x14ac:dyDescent="0.25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 spans="1:27" ht="15.75" customHeight="1" x14ac:dyDescent="0.25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 spans="1:27" ht="15.75" customHeight="1" x14ac:dyDescent="0.25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 spans="1:27" ht="15.75" customHeight="1" x14ac:dyDescent="0.25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 spans="1:27" ht="15.75" customHeight="1" x14ac:dyDescent="0.25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 spans="1:27" ht="15.75" customHeight="1" x14ac:dyDescent="0.25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 spans="1:27" ht="15.75" customHeight="1" x14ac:dyDescent="0.25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 spans="1:27" ht="15.75" customHeight="1" x14ac:dyDescent="0.25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 spans="1:27" ht="15.75" customHeight="1" x14ac:dyDescent="0.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 spans="1:27" ht="15.75" customHeight="1" x14ac:dyDescent="0.25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 spans="1:27" ht="15.75" customHeight="1" x14ac:dyDescent="0.25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 spans="1:27" ht="15.75" customHeight="1" x14ac:dyDescent="0.25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 spans="1:27" ht="15.75" customHeight="1" x14ac:dyDescent="0.25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 spans="1:27" ht="15.75" customHeight="1" x14ac:dyDescent="0.25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 spans="1:27" ht="15.75" customHeight="1" x14ac:dyDescent="0.25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 spans="1:27" ht="15.75" customHeight="1" x14ac:dyDescent="0.25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 spans="1:27" ht="15.75" customHeight="1" x14ac:dyDescent="0.25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 spans="1:27" ht="15.75" customHeight="1" x14ac:dyDescent="0.25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 spans="1:27" ht="15.75" customHeight="1" x14ac:dyDescent="0.2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 spans="1:27" ht="15.75" customHeight="1" x14ac:dyDescent="0.25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 spans="1:27" ht="15.75" customHeight="1" x14ac:dyDescent="0.25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 spans="1:27" ht="15.75" customHeight="1" x14ac:dyDescent="0.25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 spans="1:27" ht="15.75" customHeight="1" x14ac:dyDescent="0.25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 spans="1:27" ht="15.75" customHeight="1" x14ac:dyDescent="0.25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 spans="1:27" ht="15.75" customHeight="1" x14ac:dyDescent="0.25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 spans="1:27" ht="15.75" customHeight="1" x14ac:dyDescent="0.25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spans="1:27" ht="15.75" customHeight="1" x14ac:dyDescent="0.25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 spans="1:27" ht="15.75" customHeight="1" x14ac:dyDescent="0.25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 spans="1:27" ht="15.75" customHeight="1" x14ac:dyDescent="0.2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 spans="1:27" ht="15.75" customHeight="1" x14ac:dyDescent="0.25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 spans="1:27" ht="15.75" customHeight="1" x14ac:dyDescent="0.25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 spans="1:27" ht="15.75" customHeight="1" x14ac:dyDescent="0.25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 spans="1:27" ht="15.75" customHeight="1" x14ac:dyDescent="0.25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 spans="1:27" ht="15.75" customHeight="1" x14ac:dyDescent="0.25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 spans="1:27" ht="15.75" customHeight="1" x14ac:dyDescent="0.25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 spans="1:27" ht="15.75" customHeight="1" x14ac:dyDescent="0.25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 spans="1:27" ht="15.75" customHeight="1" x14ac:dyDescent="0.25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 spans="1:27" ht="15.75" customHeight="1" x14ac:dyDescent="0.25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 spans="1:27" ht="15.75" customHeight="1" x14ac:dyDescent="0.2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 spans="1:27" ht="15.75" customHeight="1" x14ac:dyDescent="0.25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 spans="1:27" ht="15.75" customHeight="1" x14ac:dyDescent="0.25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 spans="1:27" ht="15.75" customHeight="1" x14ac:dyDescent="0.25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 spans="1:27" ht="15.75" customHeight="1" x14ac:dyDescent="0.25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 spans="1:27" ht="15.75" customHeight="1" x14ac:dyDescent="0.25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 spans="1:27" ht="15.75" customHeight="1" x14ac:dyDescent="0.25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 spans="1:27" ht="15.75" customHeight="1" x14ac:dyDescent="0.25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 spans="1:27" ht="15.75" customHeight="1" x14ac:dyDescent="0.25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 spans="1:27" ht="15.75" customHeight="1" x14ac:dyDescent="0.25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 spans="1:27" ht="15.75" customHeight="1" x14ac:dyDescent="0.2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 spans="1:27" ht="15.75" customHeight="1" x14ac:dyDescent="0.25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 spans="1:27" ht="15.75" customHeight="1" x14ac:dyDescent="0.25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 spans="1:27" ht="15.75" customHeight="1" x14ac:dyDescent="0.25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 spans="1:27" ht="15.75" customHeight="1" x14ac:dyDescent="0.25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 spans="1:27" ht="15.75" customHeight="1" x14ac:dyDescent="0.25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 spans="1:27" ht="15.75" customHeight="1" x14ac:dyDescent="0.25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 spans="1:27" ht="15.75" customHeight="1" x14ac:dyDescent="0.25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 spans="1:27" ht="15.75" customHeight="1" x14ac:dyDescent="0.25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 spans="1:27" ht="15.75" customHeight="1" x14ac:dyDescent="0.25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 spans="1:27" ht="15.75" customHeight="1" x14ac:dyDescent="0.2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 spans="1:27" ht="15.75" customHeight="1" x14ac:dyDescent="0.25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  <row r="377" spans="1:27" ht="15.75" customHeight="1" x14ac:dyDescent="0.25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</row>
    <row r="378" spans="1:27" ht="15.75" customHeight="1" x14ac:dyDescent="0.25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</row>
    <row r="379" spans="1:27" ht="15.75" customHeight="1" x14ac:dyDescent="0.25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</row>
    <row r="380" spans="1:27" ht="15.75" customHeight="1" x14ac:dyDescent="0.25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</row>
    <row r="381" spans="1:27" ht="15.75" customHeight="1" x14ac:dyDescent="0.25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</row>
    <row r="382" spans="1:27" ht="15.75" customHeight="1" x14ac:dyDescent="0.25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</row>
    <row r="383" spans="1:27" ht="15.75" customHeight="1" x14ac:dyDescent="0.25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</row>
    <row r="384" spans="1:27" ht="15.75" customHeight="1" x14ac:dyDescent="0.25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</row>
    <row r="385" spans="1:27" ht="15.75" customHeight="1" x14ac:dyDescent="0.2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</row>
    <row r="386" spans="1:27" ht="15.75" customHeight="1" x14ac:dyDescent="0.25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</row>
    <row r="387" spans="1:27" ht="15.75" customHeight="1" x14ac:dyDescent="0.25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 spans="1:27" ht="15.75" customHeight="1" x14ac:dyDescent="0.25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 spans="1:27" ht="15.75" customHeight="1" x14ac:dyDescent="0.25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 spans="1:27" ht="15.75" customHeight="1" x14ac:dyDescent="0.25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 spans="1:27" ht="15.75" customHeight="1" x14ac:dyDescent="0.25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 spans="1:27" ht="15.75" customHeight="1" x14ac:dyDescent="0.25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 spans="1:27" ht="15.75" customHeight="1" x14ac:dyDescent="0.25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 spans="1:27" ht="15.75" customHeight="1" x14ac:dyDescent="0.25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 spans="1:27" ht="15.75" customHeight="1" x14ac:dyDescent="0.2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 spans="1:27" ht="15.75" customHeight="1" x14ac:dyDescent="0.25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 spans="1:27" ht="15.75" customHeight="1" x14ac:dyDescent="0.25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 spans="1:27" ht="15.75" customHeight="1" x14ac:dyDescent="0.25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 spans="1:27" ht="15.75" customHeight="1" x14ac:dyDescent="0.25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 spans="1:27" ht="15.75" customHeight="1" x14ac:dyDescent="0.25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 spans="1:27" ht="15.75" customHeight="1" x14ac:dyDescent="0.25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</row>
    <row r="402" spans="1:27" ht="15.75" customHeight="1" x14ac:dyDescent="0.25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</row>
    <row r="403" spans="1:27" ht="15.75" customHeight="1" x14ac:dyDescent="0.25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</row>
    <row r="404" spans="1:27" ht="15.75" customHeight="1" x14ac:dyDescent="0.25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</row>
    <row r="405" spans="1:27" ht="15.75" customHeight="1" x14ac:dyDescent="0.2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</row>
    <row r="406" spans="1:27" ht="15.75" customHeight="1" x14ac:dyDescent="0.25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</row>
    <row r="407" spans="1:27" ht="15.75" customHeight="1" x14ac:dyDescent="0.25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</row>
    <row r="408" spans="1:27" ht="15.75" customHeight="1" x14ac:dyDescent="0.25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</row>
    <row r="409" spans="1:27" ht="15.75" customHeight="1" x14ac:dyDescent="0.25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</row>
    <row r="410" spans="1:27" ht="15.75" customHeight="1" x14ac:dyDescent="0.25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</row>
    <row r="411" spans="1:27" ht="15.75" customHeight="1" x14ac:dyDescent="0.25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 spans="1:27" ht="15.75" customHeight="1" x14ac:dyDescent="0.25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 spans="1:27" ht="15.75" customHeight="1" x14ac:dyDescent="0.25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 spans="1:27" ht="15.75" customHeight="1" x14ac:dyDescent="0.25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 spans="1:27" ht="15.75" customHeight="1" x14ac:dyDescent="0.2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 spans="1:27" ht="15.75" customHeight="1" x14ac:dyDescent="0.25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 spans="1:27" ht="15.75" customHeight="1" x14ac:dyDescent="0.25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 spans="1:27" ht="15.75" customHeight="1" x14ac:dyDescent="0.25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 spans="1:27" ht="15.75" customHeight="1" x14ac:dyDescent="0.25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 spans="1:27" ht="15.75" customHeight="1" x14ac:dyDescent="0.25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 spans="1:27" ht="15.75" customHeight="1" x14ac:dyDescent="0.25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 spans="1:27" ht="15.75" customHeight="1" x14ac:dyDescent="0.25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 spans="1:27" ht="15.75" customHeight="1" x14ac:dyDescent="0.25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 spans="1:27" ht="15.75" customHeight="1" x14ac:dyDescent="0.25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</row>
    <row r="425" spans="1:27" ht="15.75" customHeight="1" x14ac:dyDescent="0.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</row>
    <row r="426" spans="1:27" ht="15.75" customHeight="1" x14ac:dyDescent="0.25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</row>
    <row r="427" spans="1:27" ht="15.75" customHeight="1" x14ac:dyDescent="0.25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</row>
    <row r="428" spans="1:27" ht="15.75" customHeight="1" x14ac:dyDescent="0.25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</row>
    <row r="429" spans="1:27" ht="15.75" customHeight="1" x14ac:dyDescent="0.25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 spans="1:27" ht="15.75" customHeight="1" x14ac:dyDescent="0.25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</row>
    <row r="431" spans="1:27" ht="15.75" customHeight="1" x14ac:dyDescent="0.25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</row>
    <row r="432" spans="1:27" ht="15.75" customHeight="1" x14ac:dyDescent="0.25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</row>
    <row r="433" spans="1:27" ht="15.75" customHeight="1" x14ac:dyDescent="0.25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</row>
    <row r="434" spans="1:27" ht="15.75" customHeight="1" x14ac:dyDescent="0.25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</row>
    <row r="435" spans="1:27" ht="15.75" customHeight="1" x14ac:dyDescent="0.2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 spans="1:27" ht="15.75" customHeight="1" x14ac:dyDescent="0.25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 spans="1:27" ht="15.75" customHeight="1" x14ac:dyDescent="0.25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 spans="1:27" ht="15.75" customHeight="1" x14ac:dyDescent="0.25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 spans="1:27" ht="15.75" customHeight="1" x14ac:dyDescent="0.25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 spans="1:27" ht="15.75" customHeight="1" x14ac:dyDescent="0.25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 spans="1:27" ht="15.75" customHeight="1" x14ac:dyDescent="0.25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 spans="1:27" ht="15.75" customHeight="1" x14ac:dyDescent="0.25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 spans="1:27" ht="15.75" customHeight="1" x14ac:dyDescent="0.25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 spans="1:27" ht="15.75" customHeight="1" x14ac:dyDescent="0.25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 spans="1:27" ht="15.75" customHeight="1" x14ac:dyDescent="0.2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 spans="1:27" ht="15.75" customHeight="1" x14ac:dyDescent="0.25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 spans="1:27" ht="15.75" customHeight="1" x14ac:dyDescent="0.25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 spans="1:27" ht="15.75" customHeight="1" x14ac:dyDescent="0.25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</row>
    <row r="449" spans="1:27" ht="15.75" customHeight="1" x14ac:dyDescent="0.25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</row>
    <row r="450" spans="1:27" ht="15.75" customHeight="1" x14ac:dyDescent="0.25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</row>
    <row r="451" spans="1:27" ht="15.75" customHeight="1" x14ac:dyDescent="0.25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</row>
    <row r="452" spans="1:27" ht="15.75" customHeight="1" x14ac:dyDescent="0.25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</row>
    <row r="453" spans="1:27" ht="15.75" customHeight="1" x14ac:dyDescent="0.25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</row>
    <row r="454" spans="1:27" ht="15.75" customHeight="1" x14ac:dyDescent="0.25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</row>
    <row r="455" spans="1:27" ht="15.75" customHeight="1" x14ac:dyDescent="0.2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</row>
    <row r="456" spans="1:27" ht="15.75" customHeight="1" x14ac:dyDescent="0.25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</row>
    <row r="457" spans="1:27" ht="15.75" customHeight="1" x14ac:dyDescent="0.25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</row>
    <row r="458" spans="1:27" ht="15.75" customHeight="1" x14ac:dyDescent="0.25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 spans="1:27" ht="15.75" customHeight="1" x14ac:dyDescent="0.25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 spans="1:27" ht="15.75" customHeight="1" x14ac:dyDescent="0.25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 spans="1:27" ht="15.75" customHeight="1" x14ac:dyDescent="0.25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 spans="1:27" ht="15.75" customHeight="1" x14ac:dyDescent="0.25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 spans="1:27" ht="15.75" customHeight="1" x14ac:dyDescent="0.25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 spans="1:27" ht="15.75" customHeight="1" x14ac:dyDescent="0.25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 spans="1:27" ht="15.75" customHeight="1" x14ac:dyDescent="0.2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 spans="1:27" ht="15.75" customHeight="1" x14ac:dyDescent="0.25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 spans="1:27" ht="15.75" customHeight="1" x14ac:dyDescent="0.25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 spans="1:27" ht="15.75" customHeight="1" x14ac:dyDescent="0.25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 spans="1:27" ht="15.75" customHeight="1" x14ac:dyDescent="0.25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 spans="1:27" ht="15.75" customHeight="1" x14ac:dyDescent="0.25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 spans="1:27" ht="15.75" customHeight="1" x14ac:dyDescent="0.25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 spans="1:27" ht="15.75" customHeight="1" x14ac:dyDescent="0.25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</row>
    <row r="473" spans="1:27" ht="15.75" customHeight="1" x14ac:dyDescent="0.25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</row>
    <row r="474" spans="1:27" ht="15.75" customHeight="1" x14ac:dyDescent="0.25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</row>
    <row r="475" spans="1:27" ht="15.75" customHeight="1" x14ac:dyDescent="0.2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</row>
    <row r="476" spans="1:27" ht="15.75" customHeight="1" x14ac:dyDescent="0.25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</row>
    <row r="477" spans="1:27" ht="15.75" customHeight="1" x14ac:dyDescent="0.25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</row>
    <row r="478" spans="1:27" ht="15.75" customHeight="1" x14ac:dyDescent="0.25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</row>
    <row r="479" spans="1:27" ht="15.75" customHeight="1" x14ac:dyDescent="0.25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</row>
    <row r="480" spans="1:27" ht="15.75" customHeight="1" x14ac:dyDescent="0.25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</row>
    <row r="481" spans="1:27" ht="15.75" customHeight="1" x14ac:dyDescent="0.25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</row>
    <row r="482" spans="1:27" ht="15.75" customHeight="1" x14ac:dyDescent="0.25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</row>
    <row r="483" spans="1:27" ht="15.75" customHeight="1" x14ac:dyDescent="0.25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 spans="1:27" ht="15.75" customHeight="1" x14ac:dyDescent="0.25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 spans="1:27" ht="15.75" customHeight="1" x14ac:dyDescent="0.2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 spans="1:27" ht="15.75" customHeight="1" x14ac:dyDescent="0.25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 spans="1:27" ht="15.75" customHeight="1" x14ac:dyDescent="0.25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 spans="1:27" ht="15.75" customHeight="1" x14ac:dyDescent="0.25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 spans="1:27" ht="15.75" customHeight="1" x14ac:dyDescent="0.25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 spans="1:27" ht="15.75" customHeight="1" x14ac:dyDescent="0.25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 spans="1:27" ht="15.75" customHeight="1" x14ac:dyDescent="0.25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 spans="1:27" ht="15.75" customHeight="1" x14ac:dyDescent="0.25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 spans="1:27" ht="15.75" customHeight="1" x14ac:dyDescent="0.25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 spans="1:27" ht="15.75" customHeight="1" x14ac:dyDescent="0.25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 spans="1:27" ht="15.75" customHeight="1" x14ac:dyDescent="0.2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 spans="1:27" ht="15.75" customHeight="1" x14ac:dyDescent="0.25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</row>
    <row r="497" spans="1:27" ht="15.75" customHeight="1" x14ac:dyDescent="0.25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</row>
    <row r="498" spans="1:27" ht="15.75" customHeight="1" x14ac:dyDescent="0.25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</row>
    <row r="499" spans="1:27" ht="15.75" customHeight="1" x14ac:dyDescent="0.25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</row>
    <row r="500" spans="1:27" ht="15.75" customHeight="1" x14ac:dyDescent="0.25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</row>
    <row r="501" spans="1:27" ht="15.75" customHeight="1" x14ac:dyDescent="0.25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</row>
    <row r="502" spans="1:27" ht="15.75" customHeight="1" x14ac:dyDescent="0.25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</row>
    <row r="503" spans="1:27" ht="15.75" customHeight="1" x14ac:dyDescent="0.25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</row>
    <row r="504" spans="1:27" ht="15.75" customHeight="1" x14ac:dyDescent="0.25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</row>
    <row r="505" spans="1:27" ht="15.75" customHeight="1" x14ac:dyDescent="0.2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</row>
    <row r="506" spans="1:27" ht="15.75" customHeight="1" x14ac:dyDescent="0.25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</row>
    <row r="507" spans="1:27" ht="15.75" customHeight="1" x14ac:dyDescent="0.25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 spans="1:27" ht="15.75" customHeight="1" x14ac:dyDescent="0.25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 spans="1:27" ht="15.75" customHeight="1" x14ac:dyDescent="0.25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 spans="1:27" ht="15.75" customHeight="1" x14ac:dyDescent="0.25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 spans="1:27" ht="15.75" customHeight="1" x14ac:dyDescent="0.25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 spans="1:27" ht="15.75" customHeight="1" x14ac:dyDescent="0.25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 spans="1:27" ht="15.75" customHeight="1" x14ac:dyDescent="0.25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 spans="1:27" ht="15.75" customHeight="1" x14ac:dyDescent="0.25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 spans="1:27" ht="15.75" customHeight="1" x14ac:dyDescent="0.2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 spans="1:27" ht="15.75" customHeight="1" x14ac:dyDescent="0.25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 spans="1:27" ht="15.75" customHeight="1" x14ac:dyDescent="0.25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 spans="1:27" ht="15.75" customHeight="1" x14ac:dyDescent="0.25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 spans="1:27" ht="15.75" customHeight="1" x14ac:dyDescent="0.25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 spans="1:27" ht="15.75" customHeight="1" x14ac:dyDescent="0.25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</row>
    <row r="521" spans="1:27" ht="15.75" customHeight="1" x14ac:dyDescent="0.25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</row>
    <row r="522" spans="1:27" ht="15.75" customHeight="1" x14ac:dyDescent="0.25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</row>
    <row r="523" spans="1:27" ht="15.75" customHeight="1" x14ac:dyDescent="0.25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</row>
    <row r="524" spans="1:27" ht="15.75" customHeight="1" x14ac:dyDescent="0.25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</row>
    <row r="525" spans="1:27" ht="15.75" customHeight="1" x14ac:dyDescent="0.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</row>
    <row r="526" spans="1:27" ht="15.75" customHeight="1" x14ac:dyDescent="0.25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</row>
    <row r="527" spans="1:27" ht="15.75" customHeight="1" x14ac:dyDescent="0.25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</row>
    <row r="528" spans="1:27" ht="15.75" customHeight="1" x14ac:dyDescent="0.25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</row>
    <row r="529" spans="1:27" ht="15.75" customHeight="1" x14ac:dyDescent="0.25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</row>
    <row r="530" spans="1:27" ht="15.75" customHeight="1" x14ac:dyDescent="0.25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</row>
    <row r="531" spans="1:27" ht="15.75" customHeight="1" x14ac:dyDescent="0.25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 spans="1:27" ht="15.75" customHeight="1" x14ac:dyDescent="0.25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 spans="1:27" ht="15.75" customHeight="1" x14ac:dyDescent="0.25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 spans="1:27" ht="15.75" customHeight="1" x14ac:dyDescent="0.25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 spans="1:27" ht="15.75" customHeight="1" x14ac:dyDescent="0.2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 spans="1:27" ht="15.75" customHeight="1" x14ac:dyDescent="0.25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 spans="1:27" ht="15.75" customHeight="1" x14ac:dyDescent="0.25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 spans="1:27" ht="15.75" customHeight="1" x14ac:dyDescent="0.25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 spans="1:27" ht="15.75" customHeight="1" x14ac:dyDescent="0.25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 spans="1:27" ht="15.75" customHeight="1" x14ac:dyDescent="0.25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 spans="1:27" ht="15.75" customHeight="1" x14ac:dyDescent="0.25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 spans="1:27" ht="15.75" customHeight="1" x14ac:dyDescent="0.25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 spans="1:27" ht="15.75" customHeight="1" x14ac:dyDescent="0.25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 spans="1:27" ht="15.75" customHeight="1" x14ac:dyDescent="0.25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</row>
    <row r="545" spans="1:27" ht="15.75" customHeight="1" x14ac:dyDescent="0.2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 spans="1:27" ht="15.75" customHeight="1" x14ac:dyDescent="0.25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</row>
    <row r="547" spans="1:27" ht="15.75" customHeight="1" x14ac:dyDescent="0.25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</row>
    <row r="548" spans="1:27" ht="15.75" customHeight="1" x14ac:dyDescent="0.25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 spans="1:27" ht="15.75" customHeight="1" x14ac:dyDescent="0.25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 spans="1:27" ht="15.75" customHeight="1" x14ac:dyDescent="0.25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 spans="1:27" ht="15.75" customHeight="1" x14ac:dyDescent="0.25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 spans="1:27" ht="15.75" customHeight="1" x14ac:dyDescent="0.25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 spans="1:27" ht="15.75" customHeight="1" x14ac:dyDescent="0.25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 spans="1:27" ht="15.75" customHeight="1" x14ac:dyDescent="0.25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 spans="1:27" ht="15.75" customHeight="1" x14ac:dyDescent="0.2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 spans="1:27" ht="15.75" customHeight="1" x14ac:dyDescent="0.25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 spans="1:27" ht="15.75" customHeight="1" x14ac:dyDescent="0.25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 spans="1:27" ht="15.75" customHeight="1" x14ac:dyDescent="0.25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 spans="1:27" ht="15.75" customHeight="1" x14ac:dyDescent="0.25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 spans="1:27" ht="15.75" customHeight="1" x14ac:dyDescent="0.25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 spans="1:27" ht="15.75" customHeight="1" x14ac:dyDescent="0.25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 spans="1:27" ht="15.75" customHeight="1" x14ac:dyDescent="0.25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 spans="1:27" ht="15.75" customHeight="1" x14ac:dyDescent="0.25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 spans="1:27" ht="15.75" customHeight="1" x14ac:dyDescent="0.25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 spans="1:27" ht="15.75" customHeight="1" x14ac:dyDescent="0.2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 spans="1:27" ht="15.75" customHeight="1" x14ac:dyDescent="0.25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 spans="1:27" ht="15.75" customHeight="1" x14ac:dyDescent="0.25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 spans="1:27" ht="15.75" customHeight="1" x14ac:dyDescent="0.25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 spans="1:27" ht="15.75" customHeight="1" x14ac:dyDescent="0.25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 spans="1:27" ht="15.75" customHeight="1" x14ac:dyDescent="0.25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 spans="1:27" ht="15.75" customHeight="1" x14ac:dyDescent="0.25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 spans="1:27" ht="15.75" customHeight="1" x14ac:dyDescent="0.25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</row>
    <row r="573" spans="1:27" ht="15.75" customHeight="1" x14ac:dyDescent="0.25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</row>
    <row r="574" spans="1:27" ht="15.75" customHeight="1" x14ac:dyDescent="0.25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 spans="1:27" ht="15.75" customHeight="1" x14ac:dyDescent="0.2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</row>
    <row r="576" spans="1:27" ht="15.75" customHeight="1" x14ac:dyDescent="0.25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</row>
    <row r="577" spans="1:27" ht="15.75" customHeight="1" x14ac:dyDescent="0.25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</row>
    <row r="578" spans="1:27" ht="15.75" customHeight="1" x14ac:dyDescent="0.25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</row>
    <row r="579" spans="1:27" ht="15.75" customHeight="1" x14ac:dyDescent="0.25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 spans="1:27" ht="15.75" customHeight="1" x14ac:dyDescent="0.25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 spans="1:27" ht="15.75" customHeight="1" x14ac:dyDescent="0.25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 spans="1:27" ht="15.75" customHeight="1" x14ac:dyDescent="0.25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 spans="1:27" ht="15.75" customHeight="1" x14ac:dyDescent="0.25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 spans="1:27" ht="15.75" customHeight="1" x14ac:dyDescent="0.25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 spans="1:27" ht="15.75" customHeight="1" x14ac:dyDescent="0.2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 spans="1:27" ht="15.75" customHeight="1" x14ac:dyDescent="0.25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 spans="1:27" ht="15.75" customHeight="1" x14ac:dyDescent="0.25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 spans="1:27" ht="15.75" customHeight="1" x14ac:dyDescent="0.25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 spans="1:27" ht="15.75" customHeight="1" x14ac:dyDescent="0.25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 spans="1:27" ht="15.75" customHeight="1" x14ac:dyDescent="0.25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 spans="1:27" ht="15.75" customHeight="1" x14ac:dyDescent="0.25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 spans="1:27" ht="15.75" customHeight="1" x14ac:dyDescent="0.25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</row>
    <row r="593" spans="1:27" ht="15.75" customHeight="1" x14ac:dyDescent="0.25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</row>
    <row r="594" spans="1:27" ht="15.75" customHeight="1" x14ac:dyDescent="0.25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</row>
    <row r="595" spans="1:27" ht="15.75" customHeight="1" x14ac:dyDescent="0.2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</row>
    <row r="596" spans="1:27" ht="15.75" customHeight="1" x14ac:dyDescent="0.25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</row>
    <row r="597" spans="1:27" ht="15.75" customHeight="1" x14ac:dyDescent="0.25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</row>
    <row r="598" spans="1:27" ht="15.75" customHeight="1" x14ac:dyDescent="0.25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</row>
    <row r="599" spans="1:27" ht="15.75" customHeight="1" x14ac:dyDescent="0.25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</row>
    <row r="600" spans="1:27" ht="15.75" customHeight="1" x14ac:dyDescent="0.25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</row>
    <row r="601" spans="1:27" ht="15.75" customHeight="1" x14ac:dyDescent="0.25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</row>
    <row r="602" spans="1:27" ht="15.75" customHeight="1" x14ac:dyDescent="0.25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</row>
    <row r="603" spans="1:27" ht="15.75" customHeight="1" x14ac:dyDescent="0.25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 spans="1:27" ht="15.75" customHeight="1" x14ac:dyDescent="0.25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 spans="1:27" ht="15.75" customHeight="1" x14ac:dyDescent="0.2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 spans="1:27" ht="15.75" customHeight="1" x14ac:dyDescent="0.25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 spans="1:27" ht="15.75" customHeight="1" x14ac:dyDescent="0.25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 spans="1:27" ht="15.75" customHeight="1" x14ac:dyDescent="0.25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 spans="1:27" ht="15.75" customHeight="1" x14ac:dyDescent="0.25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 spans="1:27" ht="15.75" customHeight="1" x14ac:dyDescent="0.25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 spans="1:27" ht="15.75" customHeight="1" x14ac:dyDescent="0.25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 spans="1:27" ht="15.75" customHeight="1" x14ac:dyDescent="0.25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 spans="1:27" ht="15.75" customHeight="1" x14ac:dyDescent="0.25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 spans="1:27" ht="15.75" customHeight="1" x14ac:dyDescent="0.25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 spans="1:27" ht="15.75" customHeight="1" x14ac:dyDescent="0.2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 spans="1:27" ht="15.75" customHeight="1" x14ac:dyDescent="0.25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</row>
    <row r="617" spans="1:27" ht="15.75" customHeight="1" x14ac:dyDescent="0.25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</row>
    <row r="618" spans="1:27" ht="15.75" customHeight="1" x14ac:dyDescent="0.25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 spans="1:27" ht="15.75" customHeight="1" x14ac:dyDescent="0.25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 spans="1:27" ht="15.75" customHeight="1" x14ac:dyDescent="0.25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</row>
    <row r="621" spans="1:27" ht="15.75" customHeight="1" x14ac:dyDescent="0.25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</row>
    <row r="622" spans="1:27" ht="15.75" customHeight="1" x14ac:dyDescent="0.25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  <row r="623" spans="1:27" ht="15.75" customHeight="1" x14ac:dyDescent="0.25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</row>
    <row r="624" spans="1:27" ht="15.75" customHeight="1" x14ac:dyDescent="0.25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</row>
    <row r="625" spans="1:27" ht="15.75" customHeight="1" x14ac:dyDescent="0.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</row>
    <row r="626" spans="1:27" ht="15.75" customHeight="1" x14ac:dyDescent="0.25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</row>
    <row r="627" spans="1:27" ht="15.75" customHeight="1" x14ac:dyDescent="0.25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 spans="1:27" ht="15.75" customHeight="1" x14ac:dyDescent="0.25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 spans="1:27" ht="15.75" customHeight="1" x14ac:dyDescent="0.25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 spans="1:27" ht="15.75" customHeight="1" x14ac:dyDescent="0.25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 spans="1:27" ht="15.75" customHeight="1" x14ac:dyDescent="0.25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 spans="1:27" ht="15.75" customHeight="1" x14ac:dyDescent="0.25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 spans="1:27" ht="15.75" customHeight="1" x14ac:dyDescent="0.25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 spans="1:27" ht="15.75" customHeight="1" x14ac:dyDescent="0.25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 spans="1:27" ht="15.75" customHeight="1" x14ac:dyDescent="0.2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 spans="1:27" ht="15.75" customHeight="1" x14ac:dyDescent="0.25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 spans="1:27" ht="15.75" customHeight="1" x14ac:dyDescent="0.25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 spans="1:27" ht="15.75" customHeight="1" x14ac:dyDescent="0.25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 spans="1:27" ht="15.75" customHeight="1" x14ac:dyDescent="0.25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 spans="1:27" ht="15.75" customHeight="1" x14ac:dyDescent="0.25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</row>
    <row r="641" spans="1:27" ht="15.75" customHeight="1" x14ac:dyDescent="0.25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</row>
    <row r="642" spans="1:27" ht="15.75" customHeight="1" x14ac:dyDescent="0.25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</row>
    <row r="643" spans="1:27" ht="15.75" customHeight="1" x14ac:dyDescent="0.25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</row>
    <row r="644" spans="1:27" ht="15.75" customHeight="1" x14ac:dyDescent="0.25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</row>
    <row r="645" spans="1:27" ht="15.75" customHeight="1" x14ac:dyDescent="0.2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</row>
    <row r="646" spans="1:27" ht="15.75" customHeight="1" x14ac:dyDescent="0.25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</row>
    <row r="647" spans="1:27" ht="15.75" customHeight="1" x14ac:dyDescent="0.25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</row>
    <row r="648" spans="1:27" ht="15.75" customHeight="1" x14ac:dyDescent="0.25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</row>
    <row r="649" spans="1:27" ht="15.75" customHeight="1" x14ac:dyDescent="0.25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</row>
    <row r="650" spans="1:27" ht="15.75" customHeight="1" x14ac:dyDescent="0.25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</row>
    <row r="651" spans="1:27" ht="15.75" customHeight="1" x14ac:dyDescent="0.25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 spans="1:27" ht="15.75" customHeight="1" x14ac:dyDescent="0.25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 spans="1:27" ht="15.75" customHeight="1" x14ac:dyDescent="0.25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 spans="1:27" ht="15.75" customHeight="1" x14ac:dyDescent="0.25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 spans="1:27" ht="15.75" customHeight="1" x14ac:dyDescent="0.2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 spans="1:27" ht="15.75" customHeight="1" x14ac:dyDescent="0.25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 spans="1:27" ht="15.75" customHeight="1" x14ac:dyDescent="0.25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 spans="1:27" ht="15.75" customHeight="1" x14ac:dyDescent="0.25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 spans="1:27" ht="15.75" customHeight="1" x14ac:dyDescent="0.25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 spans="1:27" ht="15.75" customHeight="1" x14ac:dyDescent="0.25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 spans="1:27" ht="15.75" customHeight="1" x14ac:dyDescent="0.25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 spans="1:27" ht="15.75" customHeight="1" x14ac:dyDescent="0.25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 spans="1:27" ht="15.75" customHeight="1" x14ac:dyDescent="0.25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 spans="1:27" ht="15.75" customHeight="1" x14ac:dyDescent="0.25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</row>
    <row r="665" spans="1:27" ht="15.75" customHeight="1" x14ac:dyDescent="0.2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</row>
    <row r="666" spans="1:27" ht="15.75" customHeight="1" x14ac:dyDescent="0.25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</row>
    <row r="667" spans="1:27" ht="15.75" customHeight="1" x14ac:dyDescent="0.25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</row>
    <row r="668" spans="1:27" ht="15.75" customHeight="1" x14ac:dyDescent="0.25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</row>
    <row r="669" spans="1:27" ht="15.75" customHeight="1" x14ac:dyDescent="0.25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</row>
    <row r="670" spans="1:27" ht="15.75" customHeight="1" x14ac:dyDescent="0.25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</row>
    <row r="671" spans="1:27" ht="15.75" customHeight="1" x14ac:dyDescent="0.25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</row>
    <row r="672" spans="1:27" ht="15.75" customHeight="1" x14ac:dyDescent="0.25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</row>
    <row r="673" spans="1:27" ht="15.75" customHeight="1" x14ac:dyDescent="0.25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</row>
    <row r="674" spans="1:27" ht="15.75" customHeight="1" x14ac:dyDescent="0.25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</row>
    <row r="675" spans="1:27" ht="15.75" customHeight="1" x14ac:dyDescent="0.2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 spans="1:27" ht="15.75" customHeight="1" x14ac:dyDescent="0.25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 spans="1:27" ht="15.75" customHeight="1" x14ac:dyDescent="0.25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 spans="1:27" ht="15.75" customHeight="1" x14ac:dyDescent="0.25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 spans="1:27" ht="15.75" customHeight="1" x14ac:dyDescent="0.25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 spans="1:27" ht="15.75" customHeight="1" x14ac:dyDescent="0.25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 spans="1:27" ht="15.75" customHeight="1" x14ac:dyDescent="0.25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 spans="1:27" ht="15.75" customHeight="1" x14ac:dyDescent="0.25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 spans="1:27" ht="15.75" customHeight="1" x14ac:dyDescent="0.25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 spans="1:27" ht="15.75" customHeight="1" x14ac:dyDescent="0.25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 spans="1:27" ht="15.75" customHeight="1" x14ac:dyDescent="0.2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 spans="1:27" ht="15.75" customHeight="1" x14ac:dyDescent="0.25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 spans="1:27" ht="15.75" customHeight="1" x14ac:dyDescent="0.25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 spans="1:27" ht="15.75" customHeight="1" x14ac:dyDescent="0.25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</row>
    <row r="689" spans="1:27" ht="15.75" customHeight="1" x14ac:dyDescent="0.25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</row>
    <row r="690" spans="1:27" ht="15.75" customHeight="1" x14ac:dyDescent="0.25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 spans="1:27" ht="15.75" customHeight="1" x14ac:dyDescent="0.25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 spans="1:27" ht="15.75" customHeight="1" x14ac:dyDescent="0.25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</row>
    <row r="693" spans="1:27" ht="15.75" customHeight="1" x14ac:dyDescent="0.25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</row>
    <row r="694" spans="1:27" ht="15.75" customHeight="1" x14ac:dyDescent="0.25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</row>
    <row r="695" spans="1:27" ht="15.75" customHeight="1" x14ac:dyDescent="0.2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</row>
    <row r="696" spans="1:27" ht="15.75" customHeight="1" x14ac:dyDescent="0.25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</row>
    <row r="697" spans="1:27" ht="15.75" customHeight="1" x14ac:dyDescent="0.25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</row>
    <row r="698" spans="1:27" ht="15.75" customHeight="1" x14ac:dyDescent="0.25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</row>
    <row r="699" spans="1:27" ht="15.75" customHeight="1" x14ac:dyDescent="0.25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 spans="1:27" ht="15.75" customHeight="1" x14ac:dyDescent="0.25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 spans="1:27" ht="15.75" customHeight="1" x14ac:dyDescent="0.25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 spans="1:27" ht="15.75" customHeight="1" x14ac:dyDescent="0.25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 spans="1:27" ht="15.75" customHeight="1" x14ac:dyDescent="0.25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 spans="1:27" ht="15.75" customHeight="1" x14ac:dyDescent="0.25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 spans="1:27" ht="15.75" customHeight="1" x14ac:dyDescent="0.2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 spans="1:27" ht="15.75" customHeight="1" x14ac:dyDescent="0.25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 spans="1:27" ht="15.75" customHeight="1" x14ac:dyDescent="0.25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 spans="1:27" ht="15.75" customHeight="1" x14ac:dyDescent="0.25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 spans="1:27" ht="15.75" customHeight="1" x14ac:dyDescent="0.25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 spans="1:27" ht="15.75" customHeight="1" x14ac:dyDescent="0.25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 spans="1:27" ht="15.75" customHeight="1" x14ac:dyDescent="0.25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 spans="1:27" ht="15.75" customHeight="1" x14ac:dyDescent="0.25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</row>
    <row r="713" spans="1:27" ht="15.75" customHeight="1" x14ac:dyDescent="0.25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</row>
    <row r="714" spans="1:27" ht="15.75" customHeight="1" x14ac:dyDescent="0.25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</row>
    <row r="715" spans="1:27" ht="15.75" customHeight="1" x14ac:dyDescent="0.2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</row>
    <row r="716" spans="1:27" ht="15.75" customHeight="1" x14ac:dyDescent="0.25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</row>
    <row r="717" spans="1:27" ht="15.75" customHeight="1" x14ac:dyDescent="0.25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</row>
    <row r="718" spans="1:27" ht="15.75" customHeight="1" x14ac:dyDescent="0.25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</row>
    <row r="719" spans="1:27" ht="15.75" customHeight="1" x14ac:dyDescent="0.25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 spans="1:27" ht="15.75" customHeight="1" x14ac:dyDescent="0.25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</row>
    <row r="721" spans="1:27" ht="15.75" customHeight="1" x14ac:dyDescent="0.25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</row>
    <row r="722" spans="1:27" ht="15.75" customHeight="1" x14ac:dyDescent="0.25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</row>
    <row r="723" spans="1:27" ht="15.75" customHeight="1" x14ac:dyDescent="0.25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 spans="1:27" ht="15.75" customHeight="1" x14ac:dyDescent="0.25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 spans="1:27" ht="15.75" customHeight="1" x14ac:dyDescent="0.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 spans="1:27" ht="15.75" customHeight="1" x14ac:dyDescent="0.25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 spans="1:27" ht="15.75" customHeight="1" x14ac:dyDescent="0.25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 spans="1:27" ht="15.75" customHeight="1" x14ac:dyDescent="0.25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 spans="1:27" ht="15.75" customHeight="1" x14ac:dyDescent="0.25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 spans="1:27" ht="15.75" customHeight="1" x14ac:dyDescent="0.25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 spans="1:27" ht="15.75" customHeight="1" x14ac:dyDescent="0.25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 spans="1:27" ht="15.75" customHeight="1" x14ac:dyDescent="0.25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 spans="1:27" ht="15.75" customHeight="1" x14ac:dyDescent="0.25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 spans="1:27" ht="15.75" customHeight="1" x14ac:dyDescent="0.25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 spans="1:27" ht="15.75" customHeight="1" x14ac:dyDescent="0.2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 spans="1:27" ht="15.75" customHeight="1" x14ac:dyDescent="0.25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</row>
    <row r="737" spans="1:27" ht="15.75" customHeight="1" x14ac:dyDescent="0.25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</row>
    <row r="738" spans="1:27" ht="15.75" customHeight="1" x14ac:dyDescent="0.25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</row>
    <row r="739" spans="1:27" ht="15.75" customHeight="1" x14ac:dyDescent="0.25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</row>
    <row r="740" spans="1:27" ht="15.75" customHeight="1" x14ac:dyDescent="0.25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</row>
    <row r="741" spans="1:27" ht="15.75" customHeight="1" x14ac:dyDescent="0.25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</row>
    <row r="742" spans="1:27" ht="15.75" customHeight="1" x14ac:dyDescent="0.25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</row>
    <row r="743" spans="1:27" ht="15.75" customHeight="1" x14ac:dyDescent="0.25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</row>
    <row r="744" spans="1:27" ht="15.75" customHeight="1" x14ac:dyDescent="0.25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</row>
    <row r="745" spans="1:27" ht="15.75" customHeight="1" x14ac:dyDescent="0.2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</row>
    <row r="746" spans="1:27" ht="15.75" customHeight="1" x14ac:dyDescent="0.25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</row>
    <row r="747" spans="1:27" ht="15.75" customHeight="1" x14ac:dyDescent="0.25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 spans="1:27" ht="15.75" customHeight="1" x14ac:dyDescent="0.25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 spans="1:27" ht="15.75" customHeight="1" x14ac:dyDescent="0.25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 spans="1:27" ht="15.75" customHeight="1" x14ac:dyDescent="0.25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 spans="1:27" ht="15.75" customHeight="1" x14ac:dyDescent="0.25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 spans="1:27" ht="15.75" customHeight="1" x14ac:dyDescent="0.25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  <row r="753" spans="1:27" ht="15.75" customHeight="1" x14ac:dyDescent="0.25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</row>
    <row r="754" spans="1:27" ht="15.75" customHeight="1" x14ac:dyDescent="0.25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</row>
    <row r="755" spans="1:27" ht="15.75" customHeight="1" x14ac:dyDescent="0.2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</row>
    <row r="756" spans="1:27" ht="15.75" customHeight="1" x14ac:dyDescent="0.25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</row>
    <row r="757" spans="1:27" ht="15.75" customHeight="1" x14ac:dyDescent="0.25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</row>
    <row r="758" spans="1:27" ht="15.75" customHeight="1" x14ac:dyDescent="0.25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</row>
    <row r="759" spans="1:27" ht="15.75" customHeight="1" x14ac:dyDescent="0.25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</row>
    <row r="760" spans="1:27" ht="15.75" customHeight="1" x14ac:dyDescent="0.25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</row>
    <row r="761" spans="1:27" ht="15.75" customHeight="1" x14ac:dyDescent="0.25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</row>
    <row r="762" spans="1:27" ht="15.75" customHeight="1" x14ac:dyDescent="0.25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</row>
    <row r="763" spans="1:27" ht="15.75" customHeight="1" x14ac:dyDescent="0.25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</row>
    <row r="764" spans="1:27" ht="15.75" customHeight="1" x14ac:dyDescent="0.25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</row>
    <row r="765" spans="1:27" ht="15.75" customHeight="1" x14ac:dyDescent="0.2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</row>
    <row r="766" spans="1:27" ht="15.75" customHeight="1" x14ac:dyDescent="0.25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</row>
    <row r="767" spans="1:27" ht="15.75" customHeight="1" x14ac:dyDescent="0.25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</row>
    <row r="768" spans="1:27" ht="15.75" customHeight="1" x14ac:dyDescent="0.25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</row>
    <row r="769" spans="1:27" ht="15.75" customHeight="1" x14ac:dyDescent="0.25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</row>
    <row r="770" spans="1:27" ht="15.75" customHeight="1" x14ac:dyDescent="0.25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</row>
    <row r="771" spans="1:27" ht="15.75" customHeight="1" x14ac:dyDescent="0.25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</row>
    <row r="772" spans="1:27" ht="15.75" customHeight="1" x14ac:dyDescent="0.25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</row>
    <row r="773" spans="1:27" ht="15.75" customHeight="1" x14ac:dyDescent="0.25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</row>
    <row r="774" spans="1:27" ht="15.75" customHeight="1" x14ac:dyDescent="0.25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</row>
    <row r="775" spans="1:27" ht="15.75" customHeight="1" x14ac:dyDescent="0.2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</row>
    <row r="776" spans="1:27" ht="15.75" customHeight="1" x14ac:dyDescent="0.25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</row>
    <row r="777" spans="1:27" ht="15.75" customHeight="1" x14ac:dyDescent="0.25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 spans="1:27" ht="15.75" customHeight="1" x14ac:dyDescent="0.25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</row>
    <row r="779" spans="1:27" ht="15.75" customHeight="1" x14ac:dyDescent="0.25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</row>
    <row r="780" spans="1:27" ht="15.75" customHeight="1" x14ac:dyDescent="0.25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</row>
    <row r="781" spans="1:27" ht="15.75" customHeight="1" x14ac:dyDescent="0.25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</row>
    <row r="782" spans="1:27" ht="15.75" customHeight="1" x14ac:dyDescent="0.25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</row>
    <row r="783" spans="1:27" ht="15.75" customHeight="1" x14ac:dyDescent="0.25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</row>
    <row r="784" spans="1:27" ht="15.75" customHeight="1" x14ac:dyDescent="0.25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</row>
    <row r="785" spans="1:27" ht="15.75" customHeight="1" x14ac:dyDescent="0.2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</row>
    <row r="786" spans="1:27" ht="15.75" customHeight="1" x14ac:dyDescent="0.25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</row>
    <row r="787" spans="1:27" ht="15.75" customHeight="1" x14ac:dyDescent="0.25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</row>
    <row r="788" spans="1:27" ht="15.75" customHeight="1" x14ac:dyDescent="0.25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</row>
    <row r="789" spans="1:27" ht="15.75" customHeight="1" x14ac:dyDescent="0.25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</row>
    <row r="790" spans="1:27" ht="15.75" customHeight="1" x14ac:dyDescent="0.25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</row>
    <row r="791" spans="1:27" ht="15.75" customHeight="1" x14ac:dyDescent="0.25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</row>
    <row r="792" spans="1:27" ht="15.75" customHeight="1" x14ac:dyDescent="0.25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</row>
    <row r="793" spans="1:27" ht="15.75" customHeight="1" x14ac:dyDescent="0.25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</row>
    <row r="794" spans="1:27" ht="15.75" customHeight="1" x14ac:dyDescent="0.25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</row>
    <row r="795" spans="1:27" ht="15.75" customHeight="1" x14ac:dyDescent="0.2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</row>
    <row r="796" spans="1:27" ht="15.75" customHeight="1" x14ac:dyDescent="0.25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</row>
    <row r="797" spans="1:27" ht="15.75" customHeight="1" x14ac:dyDescent="0.25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</row>
    <row r="798" spans="1:27" ht="15.75" customHeight="1" x14ac:dyDescent="0.25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</row>
    <row r="799" spans="1:27" ht="15.75" customHeight="1" x14ac:dyDescent="0.25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</row>
    <row r="800" spans="1:27" ht="15.75" customHeight="1" x14ac:dyDescent="0.25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</row>
    <row r="801" spans="1:27" ht="15.75" customHeight="1" x14ac:dyDescent="0.25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</row>
    <row r="802" spans="1:27" ht="15.75" customHeight="1" x14ac:dyDescent="0.25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</row>
    <row r="803" spans="1:27" ht="15.75" customHeight="1" x14ac:dyDescent="0.25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</row>
    <row r="804" spans="1:27" ht="15.75" customHeight="1" x14ac:dyDescent="0.25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</row>
    <row r="805" spans="1:27" ht="15.75" customHeight="1" x14ac:dyDescent="0.2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</row>
    <row r="806" spans="1:27" ht="15.75" customHeight="1" x14ac:dyDescent="0.25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 spans="1:27" ht="15.75" customHeight="1" x14ac:dyDescent="0.25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</row>
    <row r="808" spans="1:27" ht="15.75" customHeight="1" x14ac:dyDescent="0.25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</row>
    <row r="809" spans="1:27" ht="15.75" customHeight="1" x14ac:dyDescent="0.25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</row>
    <row r="810" spans="1:27" ht="15.75" customHeight="1" x14ac:dyDescent="0.25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</row>
    <row r="811" spans="1:27" ht="15.75" customHeight="1" x14ac:dyDescent="0.25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</row>
    <row r="812" spans="1:27" ht="15.75" customHeight="1" x14ac:dyDescent="0.25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</row>
    <row r="813" spans="1:27" ht="15.75" customHeight="1" x14ac:dyDescent="0.25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</row>
    <row r="814" spans="1:27" ht="15.75" customHeight="1" x14ac:dyDescent="0.25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</row>
    <row r="815" spans="1:27" ht="15.75" customHeight="1" x14ac:dyDescent="0.2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</row>
    <row r="816" spans="1:27" ht="15.75" customHeight="1" x14ac:dyDescent="0.25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</row>
    <row r="817" spans="1:27" ht="15.75" customHeight="1" x14ac:dyDescent="0.25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</row>
    <row r="818" spans="1:27" ht="15.75" customHeight="1" x14ac:dyDescent="0.25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</row>
    <row r="819" spans="1:27" ht="15.75" customHeight="1" x14ac:dyDescent="0.25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</row>
    <row r="820" spans="1:27" ht="15.75" customHeight="1" x14ac:dyDescent="0.25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</row>
    <row r="821" spans="1:27" ht="15.75" customHeight="1" x14ac:dyDescent="0.25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</row>
    <row r="822" spans="1:27" ht="15.75" customHeight="1" x14ac:dyDescent="0.25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</row>
    <row r="823" spans="1:27" ht="15.75" customHeight="1" x14ac:dyDescent="0.25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</row>
    <row r="824" spans="1:27" ht="15.75" customHeight="1" x14ac:dyDescent="0.25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</row>
    <row r="825" spans="1:27" ht="15.75" customHeight="1" x14ac:dyDescent="0.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</row>
    <row r="826" spans="1:27" ht="15.75" customHeight="1" x14ac:dyDescent="0.25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</row>
    <row r="827" spans="1:27" ht="15.75" customHeight="1" x14ac:dyDescent="0.25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</row>
    <row r="828" spans="1:27" ht="15.75" customHeight="1" x14ac:dyDescent="0.25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</row>
    <row r="829" spans="1:27" ht="15.75" customHeight="1" x14ac:dyDescent="0.25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</row>
    <row r="830" spans="1:27" ht="15.75" customHeight="1" x14ac:dyDescent="0.25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</row>
    <row r="831" spans="1:27" ht="15.75" customHeight="1" x14ac:dyDescent="0.25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</row>
    <row r="832" spans="1:27" ht="15.75" customHeight="1" x14ac:dyDescent="0.25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</row>
    <row r="833" spans="1:27" ht="15.75" customHeight="1" x14ac:dyDescent="0.25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</row>
    <row r="834" spans="1:27" ht="15.75" customHeight="1" x14ac:dyDescent="0.25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</row>
    <row r="835" spans="1:27" ht="15.75" customHeight="1" x14ac:dyDescent="0.2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 spans="1:27" ht="15.75" customHeight="1" x14ac:dyDescent="0.25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</row>
    <row r="837" spans="1:27" ht="15.75" customHeight="1" x14ac:dyDescent="0.25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</row>
    <row r="838" spans="1:27" ht="15.75" customHeight="1" x14ac:dyDescent="0.25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</row>
    <row r="839" spans="1:27" ht="15.75" customHeight="1" x14ac:dyDescent="0.25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</row>
    <row r="840" spans="1:27" ht="15.75" customHeight="1" x14ac:dyDescent="0.25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</row>
    <row r="841" spans="1:27" ht="15.75" customHeight="1" x14ac:dyDescent="0.25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</row>
    <row r="842" spans="1:27" ht="15.75" customHeight="1" x14ac:dyDescent="0.25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</row>
    <row r="843" spans="1:27" ht="15.75" customHeight="1" x14ac:dyDescent="0.25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</row>
    <row r="844" spans="1:27" ht="15.75" customHeight="1" x14ac:dyDescent="0.25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</row>
    <row r="845" spans="1:27" ht="15.75" customHeight="1" x14ac:dyDescent="0.2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</row>
    <row r="846" spans="1:27" ht="15.75" customHeight="1" x14ac:dyDescent="0.25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</row>
    <row r="847" spans="1:27" ht="15.75" customHeight="1" x14ac:dyDescent="0.25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</row>
    <row r="848" spans="1:27" ht="15.75" customHeight="1" x14ac:dyDescent="0.25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</row>
    <row r="849" spans="1:27" ht="15.75" customHeight="1" x14ac:dyDescent="0.25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</row>
    <row r="850" spans="1:27" ht="15.75" customHeight="1" x14ac:dyDescent="0.25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</row>
    <row r="851" spans="1:27" ht="15.75" customHeight="1" x14ac:dyDescent="0.25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</row>
    <row r="852" spans="1:27" ht="15.75" customHeight="1" x14ac:dyDescent="0.25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</row>
    <row r="853" spans="1:27" ht="15.75" customHeight="1" x14ac:dyDescent="0.25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</row>
    <row r="854" spans="1:27" ht="15.75" customHeight="1" x14ac:dyDescent="0.25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</row>
    <row r="855" spans="1:27" ht="15.75" customHeight="1" x14ac:dyDescent="0.2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</row>
    <row r="856" spans="1:27" ht="15.75" customHeight="1" x14ac:dyDescent="0.25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</row>
    <row r="857" spans="1:27" ht="15.75" customHeight="1" x14ac:dyDescent="0.25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</row>
    <row r="858" spans="1:27" ht="15.75" customHeight="1" x14ac:dyDescent="0.25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</row>
    <row r="859" spans="1:27" ht="15.75" customHeight="1" x14ac:dyDescent="0.25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</row>
    <row r="860" spans="1:27" ht="15.75" customHeight="1" x14ac:dyDescent="0.25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</row>
    <row r="861" spans="1:27" ht="15.75" customHeight="1" x14ac:dyDescent="0.25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</row>
    <row r="862" spans="1:27" ht="15.75" customHeight="1" x14ac:dyDescent="0.25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</row>
    <row r="863" spans="1:27" ht="15.75" customHeight="1" x14ac:dyDescent="0.25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</row>
    <row r="864" spans="1:27" ht="15.75" customHeight="1" x14ac:dyDescent="0.25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 spans="1:27" ht="15.75" customHeight="1" x14ac:dyDescent="0.2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</row>
    <row r="866" spans="1:27" ht="15.75" customHeight="1" x14ac:dyDescent="0.25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</row>
    <row r="867" spans="1:27" ht="15.75" customHeight="1" x14ac:dyDescent="0.25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</row>
    <row r="868" spans="1:27" ht="15.75" customHeight="1" x14ac:dyDescent="0.25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</row>
    <row r="869" spans="1:27" ht="15.75" customHeight="1" x14ac:dyDescent="0.25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</row>
    <row r="870" spans="1:27" ht="15.75" customHeight="1" x14ac:dyDescent="0.25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</row>
    <row r="871" spans="1:27" ht="15.75" customHeight="1" x14ac:dyDescent="0.25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</row>
    <row r="872" spans="1:27" ht="15.75" customHeight="1" x14ac:dyDescent="0.25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</row>
    <row r="873" spans="1:27" ht="15.75" customHeight="1" x14ac:dyDescent="0.25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</row>
    <row r="874" spans="1:27" ht="15.75" customHeight="1" x14ac:dyDescent="0.25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</row>
    <row r="875" spans="1:27" ht="15.75" customHeight="1" x14ac:dyDescent="0.2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</row>
    <row r="876" spans="1:27" ht="15.75" customHeight="1" x14ac:dyDescent="0.25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</row>
    <row r="877" spans="1:27" ht="15.75" customHeight="1" x14ac:dyDescent="0.25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</row>
    <row r="878" spans="1:27" ht="15.75" customHeight="1" x14ac:dyDescent="0.25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</row>
    <row r="879" spans="1:27" ht="15.75" customHeight="1" x14ac:dyDescent="0.25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</row>
    <row r="880" spans="1:27" ht="15.75" customHeight="1" x14ac:dyDescent="0.25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</row>
    <row r="881" spans="1:27" ht="15.75" customHeight="1" x14ac:dyDescent="0.25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</row>
    <row r="882" spans="1:27" ht="15.75" customHeight="1" x14ac:dyDescent="0.25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</row>
    <row r="883" spans="1:27" ht="15.75" customHeight="1" x14ac:dyDescent="0.25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</row>
    <row r="884" spans="1:27" ht="15.75" customHeight="1" x14ac:dyDescent="0.25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</row>
    <row r="885" spans="1:27" ht="15.75" customHeight="1" x14ac:dyDescent="0.2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</row>
    <row r="886" spans="1:27" ht="15.75" customHeight="1" x14ac:dyDescent="0.25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</row>
    <row r="887" spans="1:27" ht="15.75" customHeight="1" x14ac:dyDescent="0.25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</row>
    <row r="888" spans="1:27" ht="15.75" customHeight="1" x14ac:dyDescent="0.25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</row>
    <row r="889" spans="1:27" ht="15.75" customHeight="1" x14ac:dyDescent="0.25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</row>
    <row r="890" spans="1:27" ht="15.75" customHeight="1" x14ac:dyDescent="0.25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</row>
    <row r="891" spans="1:27" ht="15.75" customHeight="1" x14ac:dyDescent="0.25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</row>
    <row r="892" spans="1:27" ht="15.75" customHeight="1" x14ac:dyDescent="0.25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</row>
    <row r="893" spans="1:27" ht="15.75" customHeight="1" x14ac:dyDescent="0.25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 spans="1:27" ht="15.75" customHeight="1" x14ac:dyDescent="0.25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</row>
    <row r="895" spans="1:27" ht="15.75" customHeight="1" x14ac:dyDescent="0.2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</row>
    <row r="896" spans="1:27" ht="15.75" customHeight="1" x14ac:dyDescent="0.25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</row>
    <row r="897" spans="1:27" ht="15.75" customHeight="1" x14ac:dyDescent="0.25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</row>
    <row r="898" spans="1:27" ht="15.75" customHeight="1" x14ac:dyDescent="0.25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</row>
    <row r="899" spans="1:27" ht="15.75" customHeight="1" x14ac:dyDescent="0.25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</row>
    <row r="900" spans="1:27" ht="15.75" customHeight="1" x14ac:dyDescent="0.25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</row>
    <row r="901" spans="1:27" ht="15.75" customHeight="1" x14ac:dyDescent="0.25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</row>
    <row r="902" spans="1:27" ht="15.75" customHeight="1" x14ac:dyDescent="0.25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</row>
    <row r="903" spans="1:27" ht="15.75" customHeight="1" x14ac:dyDescent="0.25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</row>
    <row r="904" spans="1:27" ht="15.75" customHeight="1" x14ac:dyDescent="0.25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</row>
    <row r="905" spans="1:27" ht="15.75" customHeight="1" x14ac:dyDescent="0.2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</row>
    <row r="906" spans="1:27" ht="15.75" customHeight="1" x14ac:dyDescent="0.25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</row>
    <row r="907" spans="1:27" ht="15.75" customHeight="1" x14ac:dyDescent="0.25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</row>
    <row r="908" spans="1:27" ht="15.75" customHeight="1" x14ac:dyDescent="0.25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</row>
    <row r="909" spans="1:27" ht="15.75" customHeight="1" x14ac:dyDescent="0.25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</row>
    <row r="910" spans="1:27" ht="15.75" customHeight="1" x14ac:dyDescent="0.25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</row>
    <row r="911" spans="1:27" ht="15.75" customHeight="1" x14ac:dyDescent="0.25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</row>
    <row r="912" spans="1:27" ht="15.75" customHeight="1" x14ac:dyDescent="0.25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</row>
    <row r="913" spans="1:27" ht="15.75" customHeight="1" x14ac:dyDescent="0.25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</row>
    <row r="914" spans="1:27" ht="15.75" customHeight="1" x14ac:dyDescent="0.25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</row>
    <row r="915" spans="1:27" ht="15.75" customHeight="1" x14ac:dyDescent="0.2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</row>
    <row r="916" spans="1:27" ht="15.75" customHeight="1" x14ac:dyDescent="0.25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</row>
    <row r="917" spans="1:27" ht="15.75" customHeight="1" x14ac:dyDescent="0.25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</row>
    <row r="918" spans="1:27" ht="15.75" customHeight="1" x14ac:dyDescent="0.25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</row>
    <row r="919" spans="1:27" ht="15.75" customHeight="1" x14ac:dyDescent="0.25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</row>
    <row r="920" spans="1:27" ht="15.75" customHeight="1" x14ac:dyDescent="0.25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</row>
    <row r="921" spans="1:27" ht="15.75" customHeight="1" x14ac:dyDescent="0.25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</row>
    <row r="922" spans="1:27" ht="15.75" customHeight="1" x14ac:dyDescent="0.25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</row>
    <row r="923" spans="1:27" ht="15.75" customHeight="1" x14ac:dyDescent="0.25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</row>
    <row r="924" spans="1:27" ht="15.75" customHeight="1" x14ac:dyDescent="0.25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</row>
    <row r="925" spans="1:27" ht="15.75" customHeight="1" x14ac:dyDescent="0.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</row>
    <row r="926" spans="1:27" ht="15.75" customHeight="1" x14ac:dyDescent="0.25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</row>
    <row r="927" spans="1:27" ht="15.75" customHeight="1" x14ac:dyDescent="0.25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</row>
    <row r="928" spans="1:27" ht="15.75" customHeight="1" x14ac:dyDescent="0.25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</row>
    <row r="929" spans="1:27" ht="15.75" customHeight="1" x14ac:dyDescent="0.25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</row>
    <row r="930" spans="1:27" ht="15.75" customHeight="1" x14ac:dyDescent="0.25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</row>
    <row r="931" spans="1:27" ht="15.75" customHeight="1" x14ac:dyDescent="0.25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</row>
    <row r="932" spans="1:27" ht="15.75" customHeight="1" x14ac:dyDescent="0.25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</row>
    <row r="933" spans="1:27" ht="15.75" customHeight="1" x14ac:dyDescent="0.25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</row>
    <row r="934" spans="1:27" ht="15.75" customHeight="1" x14ac:dyDescent="0.25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</row>
    <row r="935" spans="1:27" ht="15.75" customHeight="1" x14ac:dyDescent="0.2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</row>
    <row r="936" spans="1:27" ht="15.75" customHeight="1" x14ac:dyDescent="0.25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</row>
    <row r="937" spans="1:27" ht="15.75" customHeight="1" x14ac:dyDescent="0.25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</row>
    <row r="938" spans="1:27" ht="15.75" customHeight="1" x14ac:dyDescent="0.25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</row>
    <row r="939" spans="1:27" ht="15.75" customHeight="1" x14ac:dyDescent="0.25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</row>
    <row r="940" spans="1:27" ht="15.75" customHeight="1" x14ac:dyDescent="0.25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</row>
    <row r="941" spans="1:27" ht="15.75" customHeight="1" x14ac:dyDescent="0.25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</row>
    <row r="942" spans="1:27" ht="15.75" customHeight="1" x14ac:dyDescent="0.25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</row>
    <row r="943" spans="1:27" ht="15.75" customHeight="1" x14ac:dyDescent="0.25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</row>
    <row r="944" spans="1:27" ht="15.75" customHeight="1" x14ac:dyDescent="0.25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</row>
    <row r="945" spans="1:27" ht="15.75" customHeight="1" x14ac:dyDescent="0.2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</row>
    <row r="946" spans="1:27" ht="15.75" customHeight="1" x14ac:dyDescent="0.25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</row>
    <row r="947" spans="1:27" ht="15.75" customHeight="1" x14ac:dyDescent="0.25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</row>
    <row r="948" spans="1:27" ht="15.75" customHeight="1" x14ac:dyDescent="0.25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</row>
    <row r="949" spans="1:27" ht="15.75" customHeight="1" x14ac:dyDescent="0.25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</row>
    <row r="950" spans="1:27" ht="15.75" customHeight="1" x14ac:dyDescent="0.25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</row>
    <row r="951" spans="1:27" ht="15.75" customHeight="1" x14ac:dyDescent="0.25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</row>
    <row r="952" spans="1:27" ht="15.75" customHeight="1" x14ac:dyDescent="0.25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</row>
    <row r="953" spans="1:27" ht="15.75" customHeight="1" x14ac:dyDescent="0.25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</row>
    <row r="954" spans="1:27" ht="15.75" customHeight="1" x14ac:dyDescent="0.25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</row>
    <row r="955" spans="1:27" ht="15.75" customHeight="1" x14ac:dyDescent="0.2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</row>
    <row r="956" spans="1:27" ht="15.75" customHeight="1" x14ac:dyDescent="0.25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</row>
    <row r="957" spans="1:27" ht="15.75" customHeight="1" x14ac:dyDescent="0.25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</row>
    <row r="958" spans="1:27" ht="15.75" customHeight="1" x14ac:dyDescent="0.25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</row>
    <row r="959" spans="1:27" ht="15.75" customHeight="1" x14ac:dyDescent="0.25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</row>
    <row r="960" spans="1:27" ht="15.75" customHeight="1" x14ac:dyDescent="0.25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</row>
    <row r="961" spans="1:27" ht="15.75" customHeight="1" x14ac:dyDescent="0.25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</row>
    <row r="962" spans="1:27" ht="15.75" customHeight="1" x14ac:dyDescent="0.25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</row>
    <row r="963" spans="1:27" ht="15.75" customHeight="1" x14ac:dyDescent="0.25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</row>
    <row r="964" spans="1:27" ht="15.75" customHeight="1" x14ac:dyDescent="0.25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</row>
    <row r="965" spans="1:27" ht="15.75" customHeight="1" x14ac:dyDescent="0.2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</row>
    <row r="966" spans="1:27" ht="15.75" customHeight="1" x14ac:dyDescent="0.25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</row>
    <row r="967" spans="1:27" ht="15.75" customHeight="1" x14ac:dyDescent="0.25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</row>
    <row r="968" spans="1:27" ht="15.75" customHeight="1" x14ac:dyDescent="0.25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</row>
    <row r="969" spans="1:27" ht="15.75" customHeight="1" x14ac:dyDescent="0.25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</row>
    <row r="970" spans="1:27" ht="15.75" customHeight="1" x14ac:dyDescent="0.25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</row>
    <row r="971" spans="1:27" ht="15.75" customHeight="1" x14ac:dyDescent="0.25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</row>
    <row r="972" spans="1:27" ht="15.75" customHeight="1" x14ac:dyDescent="0.25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</row>
    <row r="973" spans="1:27" ht="15.75" customHeight="1" x14ac:dyDescent="0.25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</row>
    <row r="974" spans="1:27" ht="15.75" customHeight="1" x14ac:dyDescent="0.25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</row>
    <row r="975" spans="1:27" ht="15.75" customHeight="1" x14ac:dyDescent="0.2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</row>
    <row r="976" spans="1:27" ht="15.75" customHeight="1" x14ac:dyDescent="0.25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</row>
    <row r="977" spans="1:27" ht="15.75" customHeight="1" x14ac:dyDescent="0.25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</row>
    <row r="978" spans="1:27" ht="15.75" customHeight="1" x14ac:dyDescent="0.25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</row>
    <row r="979" spans="1:27" ht="15.75" customHeight="1" x14ac:dyDescent="0.25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</row>
    <row r="980" spans="1:27" ht="15.75" customHeight="1" x14ac:dyDescent="0.25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</row>
    <row r="981" spans="1:27" ht="15.75" customHeight="1" x14ac:dyDescent="0.25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</row>
    <row r="982" spans="1:27" ht="15.75" customHeight="1" x14ac:dyDescent="0.25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</row>
    <row r="983" spans="1:27" ht="15.75" customHeight="1" x14ac:dyDescent="0.25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</row>
    <row r="984" spans="1:27" ht="15.75" customHeight="1" x14ac:dyDescent="0.25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</row>
    <row r="985" spans="1:27" ht="15.75" customHeight="1" x14ac:dyDescent="0.2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</row>
    <row r="986" spans="1:27" ht="15.75" customHeight="1" x14ac:dyDescent="0.25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</row>
    <row r="987" spans="1:27" ht="15.75" customHeight="1" x14ac:dyDescent="0.25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</row>
    <row r="988" spans="1:27" ht="15.75" customHeight="1" x14ac:dyDescent="0.25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</row>
    <row r="989" spans="1:27" ht="15.75" customHeight="1" x14ac:dyDescent="0.25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</row>
    <row r="990" spans="1:27" ht="15.75" customHeight="1" x14ac:dyDescent="0.25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</row>
    <row r="991" spans="1:27" ht="15.75" customHeight="1" x14ac:dyDescent="0.25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</row>
    <row r="992" spans="1:27" ht="15.75" customHeight="1" x14ac:dyDescent="0.25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</row>
    <row r="993" spans="1:27" ht="15.75" customHeight="1" x14ac:dyDescent="0.25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</row>
    <row r="994" spans="1:27" ht="15.75" customHeight="1" x14ac:dyDescent="0.25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</row>
    <row r="995" spans="1:27" ht="15.75" customHeight="1" x14ac:dyDescent="0.2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</row>
    <row r="996" spans="1:27" ht="15.75" customHeight="1" x14ac:dyDescent="0.25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</row>
    <row r="997" spans="1:27" ht="15.75" customHeight="1" x14ac:dyDescent="0.25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</row>
    <row r="998" spans="1:27" ht="15.75" customHeight="1" x14ac:dyDescent="0.25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</row>
    <row r="999" spans="1:27" ht="15.75" customHeight="1" x14ac:dyDescent="0.25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</row>
    <row r="1000" spans="1:27" ht="15.75" customHeight="1" x14ac:dyDescent="0.25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E7360-3620-4A06-81D8-42B603138710}">
  <dimension ref="A1:E16"/>
  <sheetViews>
    <sheetView workbookViewId="0">
      <selection activeCell="D13" sqref="D13"/>
    </sheetView>
  </sheetViews>
  <sheetFormatPr defaultRowHeight="15" x14ac:dyDescent="0.25"/>
  <sheetData>
    <row r="1" spans="1:5" ht="15.75" thickBot="1" x14ac:dyDescent="0.3">
      <c r="A1" s="12" t="s">
        <v>8</v>
      </c>
      <c r="B1" s="12" t="s">
        <v>9</v>
      </c>
      <c r="C1" s="12" t="s">
        <v>13</v>
      </c>
      <c r="D1" s="12" t="s">
        <v>14</v>
      </c>
      <c r="E1" s="12" t="s">
        <v>15</v>
      </c>
    </row>
    <row r="2" spans="1:5" ht="15.75" thickBot="1" x14ac:dyDescent="0.3">
      <c r="A2" s="12" t="s">
        <v>16</v>
      </c>
      <c r="B2" s="15">
        <v>1</v>
      </c>
      <c r="C2" s="16" t="b">
        <v>0</v>
      </c>
      <c r="D2" s="16" t="b">
        <v>1</v>
      </c>
      <c r="E2" s="17" t="b">
        <v>0</v>
      </c>
    </row>
    <row r="3" spans="1:5" ht="15.75" thickBot="1" x14ac:dyDescent="0.3">
      <c r="A3" s="12" t="s">
        <v>17</v>
      </c>
      <c r="B3" s="3">
        <v>1</v>
      </c>
      <c r="C3" s="16" t="b">
        <v>1</v>
      </c>
      <c r="D3" s="17" t="b">
        <v>0</v>
      </c>
      <c r="E3" s="16" t="b">
        <v>1</v>
      </c>
    </row>
    <row r="4" spans="1:5" ht="15.75" thickBot="1" x14ac:dyDescent="0.3">
      <c r="A4" s="12" t="s">
        <v>18</v>
      </c>
      <c r="B4" s="3">
        <v>1</v>
      </c>
      <c r="C4" s="16" t="b">
        <v>1</v>
      </c>
      <c r="D4" s="17" t="b">
        <v>0</v>
      </c>
      <c r="E4" s="17" t="b">
        <v>0</v>
      </c>
    </row>
    <row r="5" spans="1:5" ht="15.75" thickBot="1" x14ac:dyDescent="0.3">
      <c r="A5" s="12" t="s">
        <v>19</v>
      </c>
      <c r="B5" s="3">
        <v>1</v>
      </c>
      <c r="C5" s="16" t="b">
        <v>0</v>
      </c>
      <c r="D5" s="17" t="b">
        <v>0</v>
      </c>
      <c r="E5" s="16" t="b">
        <v>1</v>
      </c>
    </row>
    <row r="6" spans="1:5" ht="15.75" thickBot="1" x14ac:dyDescent="0.3">
      <c r="A6" s="12" t="s">
        <v>20</v>
      </c>
      <c r="B6" s="3">
        <v>1</v>
      </c>
      <c r="C6" s="16" t="b">
        <v>0</v>
      </c>
      <c r="D6" s="16" t="b">
        <v>1</v>
      </c>
      <c r="E6" s="17" t="b">
        <v>0</v>
      </c>
    </row>
    <row r="7" spans="1:5" ht="15.75" thickBot="1" x14ac:dyDescent="0.3">
      <c r="A7" s="12" t="s">
        <v>21</v>
      </c>
      <c r="B7" s="3">
        <v>2</v>
      </c>
      <c r="C7" s="16" t="b">
        <v>0</v>
      </c>
      <c r="D7" s="16" t="b">
        <v>1</v>
      </c>
      <c r="E7" s="17" t="b">
        <v>0</v>
      </c>
    </row>
    <row r="8" spans="1:5" ht="15.75" thickBot="1" x14ac:dyDescent="0.3">
      <c r="A8" s="12" t="s">
        <v>22</v>
      </c>
      <c r="B8" s="3">
        <v>2</v>
      </c>
      <c r="C8" s="16" t="b">
        <v>1</v>
      </c>
      <c r="D8" s="17" t="b">
        <v>0</v>
      </c>
      <c r="E8" s="17" t="b">
        <v>0</v>
      </c>
    </row>
    <row r="9" spans="1:5" ht="15.75" thickBot="1" x14ac:dyDescent="0.3">
      <c r="A9" s="12" t="s">
        <v>23</v>
      </c>
      <c r="B9" s="3">
        <v>2</v>
      </c>
      <c r="C9" s="16" t="b">
        <v>1</v>
      </c>
      <c r="D9" s="17" t="b">
        <v>0</v>
      </c>
      <c r="E9" s="17" t="b">
        <v>0</v>
      </c>
    </row>
    <row r="10" spans="1:5" ht="15.75" thickBot="1" x14ac:dyDescent="0.3">
      <c r="A10" s="12" t="s">
        <v>24</v>
      </c>
      <c r="B10" s="3">
        <v>2</v>
      </c>
      <c r="C10" s="16" t="b">
        <v>0</v>
      </c>
      <c r="D10" s="17" t="b">
        <v>0</v>
      </c>
      <c r="E10" s="16" t="b">
        <v>1</v>
      </c>
    </row>
    <row r="11" spans="1:5" ht="15.75" thickBot="1" x14ac:dyDescent="0.3">
      <c r="A11" s="12" t="s">
        <v>25</v>
      </c>
      <c r="B11" s="3">
        <v>2</v>
      </c>
      <c r="C11" s="16" t="b">
        <v>1</v>
      </c>
      <c r="D11" s="17" t="b">
        <v>0</v>
      </c>
      <c r="E11" s="17" t="b">
        <v>0</v>
      </c>
    </row>
    <row r="12" spans="1:5" ht="15.75" thickBot="1" x14ac:dyDescent="0.3">
      <c r="A12" s="12" t="s">
        <v>26</v>
      </c>
      <c r="B12" s="3">
        <v>2</v>
      </c>
      <c r="C12" s="16" t="b">
        <v>0</v>
      </c>
      <c r="D12" s="17" t="b">
        <v>0</v>
      </c>
      <c r="E12" s="16" t="b">
        <v>1</v>
      </c>
    </row>
    <row r="13" spans="1:5" ht="15.75" thickBot="1" x14ac:dyDescent="0.3">
      <c r="A13" s="12" t="s">
        <v>27</v>
      </c>
      <c r="B13" s="3">
        <v>5</v>
      </c>
      <c r="C13" s="16" t="b">
        <v>1</v>
      </c>
      <c r="D13" s="16" t="b">
        <v>1</v>
      </c>
      <c r="E13" s="17" t="b">
        <v>0</v>
      </c>
    </row>
    <row r="14" spans="1:5" ht="15.75" thickBot="1" x14ac:dyDescent="0.3">
      <c r="A14" s="12" t="s">
        <v>28</v>
      </c>
      <c r="B14" s="3">
        <v>5</v>
      </c>
      <c r="C14" s="16" t="b">
        <v>1</v>
      </c>
      <c r="D14" s="17" t="b">
        <v>0</v>
      </c>
      <c r="E14" s="17" t="b">
        <v>0</v>
      </c>
    </row>
    <row r="15" spans="1:5" ht="15.75" thickBot="1" x14ac:dyDescent="0.3">
      <c r="A15" s="12" t="s">
        <v>29</v>
      </c>
      <c r="B15" s="3">
        <v>5</v>
      </c>
      <c r="C15" s="16" t="b">
        <v>0</v>
      </c>
      <c r="D15" s="16" t="b">
        <v>1</v>
      </c>
      <c r="E15" s="17" t="b">
        <v>0</v>
      </c>
    </row>
    <row r="16" spans="1:5" ht="15.75" thickBot="1" x14ac:dyDescent="0.3">
      <c r="A16" s="12" t="s">
        <v>30</v>
      </c>
      <c r="B16" s="3">
        <v>5</v>
      </c>
      <c r="C16" s="16" t="b">
        <v>0</v>
      </c>
      <c r="D16" s="16" t="b">
        <v>1</v>
      </c>
      <c r="E16" s="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DF50-58E1-4375-AC88-BB3745B3958A}">
  <dimension ref="A1:V19"/>
  <sheetViews>
    <sheetView workbookViewId="0">
      <selection activeCell="R11" sqref="R11"/>
    </sheetView>
  </sheetViews>
  <sheetFormatPr defaultRowHeight="15" x14ac:dyDescent="0.25"/>
  <cols>
    <col min="1" max="1" width="5.5703125" bestFit="1" customWidth="1"/>
    <col min="2" max="2" width="23.28515625" bestFit="1" customWidth="1"/>
    <col min="3" max="3" width="27.5703125" bestFit="1" customWidth="1"/>
    <col min="4" max="4" width="12" bestFit="1" customWidth="1"/>
    <col min="5" max="5" width="22.28515625" bestFit="1" customWidth="1"/>
    <col min="6" max="7" width="3.140625" bestFit="1" customWidth="1"/>
    <col min="8" max="8" width="3" bestFit="1" customWidth="1"/>
    <col min="9" max="9" width="3.140625" bestFit="1" customWidth="1"/>
    <col min="10" max="10" width="3" bestFit="1" customWidth="1"/>
    <col min="11" max="18" width="3.42578125" bestFit="1" customWidth="1"/>
    <col min="19" max="20" width="4.42578125" bestFit="1" customWidth="1"/>
    <col min="21" max="21" width="11.28515625" bestFit="1" customWidth="1"/>
    <col min="22" max="22" width="10.5703125" bestFit="1" customWidth="1"/>
  </cols>
  <sheetData>
    <row r="1" spans="1:22" x14ac:dyDescent="0.25">
      <c r="A1" s="26" t="s">
        <v>39</v>
      </c>
      <c r="B1" s="26" t="s">
        <v>40</v>
      </c>
      <c r="C1" s="26" t="s">
        <v>41</v>
      </c>
      <c r="D1" s="26" t="s">
        <v>42</v>
      </c>
      <c r="E1" s="26" t="s">
        <v>43</v>
      </c>
      <c r="F1" s="26" t="s">
        <v>16</v>
      </c>
      <c r="G1" s="26" t="s">
        <v>17</v>
      </c>
      <c r="H1" s="26" t="s">
        <v>18</v>
      </c>
      <c r="I1" s="26" t="s">
        <v>19</v>
      </c>
      <c r="J1" s="26" t="s">
        <v>20</v>
      </c>
      <c r="K1" s="26" t="s">
        <v>21</v>
      </c>
      <c r="L1" s="26" t="s">
        <v>22</v>
      </c>
      <c r="M1" s="26" t="s">
        <v>23</v>
      </c>
      <c r="N1" s="26" t="s">
        <v>24</v>
      </c>
      <c r="O1" s="26" t="s">
        <v>25</v>
      </c>
      <c r="P1" s="26" t="s">
        <v>26</v>
      </c>
      <c r="Q1" s="26" t="s">
        <v>27</v>
      </c>
      <c r="R1" s="26" t="s">
        <v>28</v>
      </c>
      <c r="S1" s="26" t="s">
        <v>29</v>
      </c>
      <c r="T1" s="26" t="s">
        <v>30</v>
      </c>
      <c r="U1" s="26" t="s">
        <v>44</v>
      </c>
      <c r="V1" s="26" t="s">
        <v>45</v>
      </c>
    </row>
    <row r="2" spans="1:22" x14ac:dyDescent="0.25">
      <c r="A2" s="26">
        <v>1</v>
      </c>
      <c r="B2" s="31" t="s">
        <v>51</v>
      </c>
      <c r="C2" s="26" t="s">
        <v>52</v>
      </c>
      <c r="D2" s="28" t="s">
        <v>53</v>
      </c>
      <c r="E2" s="26" t="s">
        <v>49</v>
      </c>
      <c r="F2" s="30" t="s">
        <v>47</v>
      </c>
      <c r="G2" s="30" t="s">
        <v>47</v>
      </c>
      <c r="H2" s="30" t="s">
        <v>47</v>
      </c>
      <c r="I2" s="30" t="s">
        <v>47</v>
      </c>
      <c r="J2" s="30" t="s">
        <v>47</v>
      </c>
      <c r="K2" s="30" t="s">
        <v>47</v>
      </c>
      <c r="L2" s="30" t="s">
        <v>47</v>
      </c>
      <c r="M2" s="30" t="s">
        <v>47</v>
      </c>
      <c r="N2" s="30" t="s">
        <v>47</v>
      </c>
      <c r="O2" s="30" t="s">
        <v>47</v>
      </c>
      <c r="P2" s="30" t="s">
        <v>47</v>
      </c>
      <c r="Q2" s="30" t="s">
        <v>47</v>
      </c>
      <c r="R2" s="30" t="s">
        <v>47</v>
      </c>
      <c r="S2" s="30" t="s">
        <v>47</v>
      </c>
      <c r="T2" s="30" t="s">
        <v>47</v>
      </c>
      <c r="U2" s="26">
        <f t="shared" ref="U2:U19" si="0">SUM(F2:T2)</f>
        <v>0</v>
      </c>
      <c r="V2" s="26">
        <v>50</v>
      </c>
    </row>
    <row r="3" spans="1:22" x14ac:dyDescent="0.25">
      <c r="A3" s="26">
        <v>2</v>
      </c>
      <c r="B3" s="31" t="s">
        <v>54</v>
      </c>
      <c r="C3" s="26" t="s">
        <v>55</v>
      </c>
      <c r="D3" s="28" t="s">
        <v>53</v>
      </c>
      <c r="E3" s="26" t="s">
        <v>49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 t="s">
        <v>47</v>
      </c>
      <c r="L3" s="30">
        <v>2</v>
      </c>
      <c r="M3" s="30">
        <v>2</v>
      </c>
      <c r="N3" s="30">
        <v>2</v>
      </c>
      <c r="O3" s="30">
        <v>2</v>
      </c>
      <c r="P3" s="30">
        <v>2</v>
      </c>
      <c r="Q3" s="30">
        <v>5</v>
      </c>
      <c r="R3" s="30" t="s">
        <v>47</v>
      </c>
      <c r="S3" s="30">
        <v>5</v>
      </c>
      <c r="T3" s="30">
        <v>5</v>
      </c>
      <c r="U3" s="26">
        <f t="shared" si="0"/>
        <v>30</v>
      </c>
      <c r="V3" s="26">
        <v>50</v>
      </c>
    </row>
    <row r="4" spans="1:22" x14ac:dyDescent="0.25">
      <c r="A4" s="26">
        <v>3</v>
      </c>
      <c r="B4" s="31" t="s">
        <v>56</v>
      </c>
      <c r="C4" s="26" t="s">
        <v>57</v>
      </c>
      <c r="D4" s="28" t="s">
        <v>53</v>
      </c>
      <c r="E4" s="26" t="s">
        <v>49</v>
      </c>
      <c r="F4" s="30" t="s">
        <v>47</v>
      </c>
      <c r="G4" s="30" t="s">
        <v>47</v>
      </c>
      <c r="H4" s="30" t="s">
        <v>47</v>
      </c>
      <c r="I4" s="30" t="s">
        <v>47</v>
      </c>
      <c r="J4" s="30" t="s">
        <v>47</v>
      </c>
      <c r="K4" s="30" t="s">
        <v>47</v>
      </c>
      <c r="L4" s="30" t="s">
        <v>47</v>
      </c>
      <c r="M4" s="30" t="s">
        <v>47</v>
      </c>
      <c r="N4" s="30" t="s">
        <v>47</v>
      </c>
      <c r="O4" s="30" t="s">
        <v>47</v>
      </c>
      <c r="P4" s="30" t="s">
        <v>47</v>
      </c>
      <c r="Q4" s="30" t="s">
        <v>47</v>
      </c>
      <c r="R4" s="30" t="s">
        <v>47</v>
      </c>
      <c r="S4" s="30" t="s">
        <v>47</v>
      </c>
      <c r="T4" s="30" t="s">
        <v>47</v>
      </c>
      <c r="U4" s="26">
        <f t="shared" si="0"/>
        <v>0</v>
      </c>
      <c r="V4" s="26">
        <v>50</v>
      </c>
    </row>
    <row r="5" spans="1:22" x14ac:dyDescent="0.25">
      <c r="A5" s="26">
        <v>4</v>
      </c>
      <c r="B5" s="31" t="s">
        <v>58</v>
      </c>
      <c r="C5" s="26" t="s">
        <v>59</v>
      </c>
      <c r="D5" s="28" t="s">
        <v>53</v>
      </c>
      <c r="E5" s="26" t="s">
        <v>49</v>
      </c>
      <c r="F5" s="30" t="s">
        <v>47</v>
      </c>
      <c r="G5" s="30">
        <v>1</v>
      </c>
      <c r="H5" s="30">
        <v>1</v>
      </c>
      <c r="I5" s="30">
        <v>1</v>
      </c>
      <c r="J5" s="30" t="s">
        <v>47</v>
      </c>
      <c r="K5" s="30" t="s">
        <v>47</v>
      </c>
      <c r="L5" s="30" t="s">
        <v>47</v>
      </c>
      <c r="M5" s="30" t="s">
        <v>47</v>
      </c>
      <c r="N5" s="30" t="s">
        <v>47</v>
      </c>
      <c r="O5" s="30" t="s">
        <v>47</v>
      </c>
      <c r="P5" s="30" t="s">
        <v>47</v>
      </c>
      <c r="Q5" s="30" t="s">
        <v>47</v>
      </c>
      <c r="R5" s="30" t="s">
        <v>47</v>
      </c>
      <c r="S5" s="30" t="s">
        <v>47</v>
      </c>
      <c r="T5" s="30" t="s">
        <v>47</v>
      </c>
      <c r="U5" s="26">
        <f t="shared" si="0"/>
        <v>3</v>
      </c>
      <c r="V5" s="26">
        <v>50</v>
      </c>
    </row>
    <row r="6" spans="1:22" x14ac:dyDescent="0.25">
      <c r="A6" s="26">
        <v>5</v>
      </c>
      <c r="B6" s="31" t="s">
        <v>60</v>
      </c>
      <c r="C6" s="26" t="s">
        <v>61</v>
      </c>
      <c r="D6" s="28" t="s">
        <v>53</v>
      </c>
      <c r="E6" s="26" t="s">
        <v>49</v>
      </c>
      <c r="F6" s="30" t="s">
        <v>47</v>
      </c>
      <c r="G6" s="30" t="s">
        <v>47</v>
      </c>
      <c r="H6" s="30" t="s">
        <v>47</v>
      </c>
      <c r="I6" s="30" t="s">
        <v>47</v>
      </c>
      <c r="J6" s="30" t="s">
        <v>47</v>
      </c>
      <c r="K6" s="30" t="s">
        <v>47</v>
      </c>
      <c r="L6" s="30" t="s">
        <v>47</v>
      </c>
      <c r="M6" s="30" t="s">
        <v>47</v>
      </c>
      <c r="N6" s="30" t="s">
        <v>47</v>
      </c>
      <c r="O6" s="30" t="s">
        <v>47</v>
      </c>
      <c r="P6" s="30" t="s">
        <v>47</v>
      </c>
      <c r="Q6" s="30" t="s">
        <v>47</v>
      </c>
      <c r="R6" s="30" t="s">
        <v>47</v>
      </c>
      <c r="S6" s="30" t="s">
        <v>47</v>
      </c>
      <c r="T6" s="30" t="s">
        <v>47</v>
      </c>
      <c r="U6" s="26">
        <f t="shared" si="0"/>
        <v>0</v>
      </c>
      <c r="V6" s="26">
        <v>50</v>
      </c>
    </row>
    <row r="7" spans="1:22" x14ac:dyDescent="0.25">
      <c r="A7" s="26">
        <v>6</v>
      </c>
      <c r="B7" s="31" t="s">
        <v>62</v>
      </c>
      <c r="C7" s="26" t="s">
        <v>63</v>
      </c>
      <c r="D7" s="28" t="s">
        <v>53</v>
      </c>
      <c r="E7" s="26" t="s">
        <v>49</v>
      </c>
      <c r="F7" s="30" t="s">
        <v>47</v>
      </c>
      <c r="G7" s="30" t="s">
        <v>47</v>
      </c>
      <c r="H7" s="30" t="s">
        <v>47</v>
      </c>
      <c r="I7" s="30" t="s">
        <v>47</v>
      </c>
      <c r="J7" s="30" t="s">
        <v>47</v>
      </c>
      <c r="K7" s="30" t="s">
        <v>47</v>
      </c>
      <c r="L7" s="30" t="s">
        <v>47</v>
      </c>
      <c r="M7" s="30" t="s">
        <v>47</v>
      </c>
      <c r="N7" s="30" t="s">
        <v>47</v>
      </c>
      <c r="O7" s="30" t="s">
        <v>47</v>
      </c>
      <c r="P7" s="30" t="s">
        <v>47</v>
      </c>
      <c r="Q7" s="30" t="s">
        <v>47</v>
      </c>
      <c r="R7" s="30" t="s">
        <v>47</v>
      </c>
      <c r="S7" s="30" t="s">
        <v>47</v>
      </c>
      <c r="T7" s="30" t="s">
        <v>47</v>
      </c>
      <c r="U7" s="26">
        <f t="shared" si="0"/>
        <v>0</v>
      </c>
      <c r="V7" s="26">
        <v>50</v>
      </c>
    </row>
    <row r="8" spans="1:22" x14ac:dyDescent="0.25">
      <c r="A8" s="26">
        <v>7</v>
      </c>
      <c r="B8" s="31" t="s">
        <v>64</v>
      </c>
      <c r="C8" s="26" t="s">
        <v>65</v>
      </c>
      <c r="D8" s="28" t="s">
        <v>53</v>
      </c>
      <c r="E8" s="26" t="s">
        <v>49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2</v>
      </c>
      <c r="L8" s="30">
        <v>2</v>
      </c>
      <c r="M8" s="30">
        <v>2</v>
      </c>
      <c r="N8" s="30" t="s">
        <v>47</v>
      </c>
      <c r="O8" s="30">
        <v>2</v>
      </c>
      <c r="P8" s="30">
        <v>2</v>
      </c>
      <c r="Q8" s="30" t="s">
        <v>47</v>
      </c>
      <c r="R8" s="30" t="s">
        <v>47</v>
      </c>
      <c r="S8" s="30">
        <v>2</v>
      </c>
      <c r="T8" s="30" t="s">
        <v>47</v>
      </c>
      <c r="U8" s="26">
        <f t="shared" si="0"/>
        <v>17</v>
      </c>
      <c r="V8" s="26">
        <v>50</v>
      </c>
    </row>
    <row r="9" spans="1:22" x14ac:dyDescent="0.25">
      <c r="A9" s="26">
        <v>8</v>
      </c>
      <c r="B9" s="31" t="s">
        <v>66</v>
      </c>
      <c r="C9" s="26" t="s">
        <v>67</v>
      </c>
      <c r="D9" s="28" t="s">
        <v>53</v>
      </c>
      <c r="E9" s="26" t="s">
        <v>49</v>
      </c>
      <c r="F9" s="30" t="s">
        <v>47</v>
      </c>
      <c r="G9" s="30" t="s">
        <v>47</v>
      </c>
      <c r="H9" s="30" t="s">
        <v>47</v>
      </c>
      <c r="I9" s="30" t="s">
        <v>47</v>
      </c>
      <c r="J9" s="30" t="s">
        <v>47</v>
      </c>
      <c r="K9" s="30" t="s">
        <v>47</v>
      </c>
      <c r="L9" s="30" t="s">
        <v>47</v>
      </c>
      <c r="M9" s="30" t="s">
        <v>47</v>
      </c>
      <c r="N9" s="30" t="s">
        <v>47</v>
      </c>
      <c r="O9" s="30" t="s">
        <v>47</v>
      </c>
      <c r="P9" s="30" t="s">
        <v>47</v>
      </c>
      <c r="Q9" s="30" t="s">
        <v>47</v>
      </c>
      <c r="R9" s="30" t="s">
        <v>47</v>
      </c>
      <c r="S9" s="30" t="s">
        <v>47</v>
      </c>
      <c r="T9" s="30" t="s">
        <v>47</v>
      </c>
      <c r="U9" s="26">
        <f t="shared" si="0"/>
        <v>0</v>
      </c>
      <c r="V9" s="26">
        <v>50</v>
      </c>
    </row>
    <row r="10" spans="1:22" x14ac:dyDescent="0.25">
      <c r="A10" s="26">
        <v>9</v>
      </c>
      <c r="B10" s="31" t="s">
        <v>68</v>
      </c>
      <c r="C10" s="26" t="s">
        <v>69</v>
      </c>
      <c r="D10" s="28" t="s">
        <v>53</v>
      </c>
      <c r="E10" s="26" t="s">
        <v>49</v>
      </c>
      <c r="F10" s="30" t="s">
        <v>47</v>
      </c>
      <c r="G10" s="30" t="s">
        <v>47</v>
      </c>
      <c r="H10" s="30" t="s">
        <v>47</v>
      </c>
      <c r="I10" s="30" t="s">
        <v>47</v>
      </c>
      <c r="J10" s="30" t="s">
        <v>47</v>
      </c>
      <c r="K10" s="30" t="s">
        <v>47</v>
      </c>
      <c r="L10" s="30" t="s">
        <v>47</v>
      </c>
      <c r="M10" s="30" t="s">
        <v>47</v>
      </c>
      <c r="N10" s="30" t="s">
        <v>47</v>
      </c>
      <c r="O10" s="30" t="s">
        <v>47</v>
      </c>
      <c r="P10" s="30" t="s">
        <v>47</v>
      </c>
      <c r="Q10" s="30" t="s">
        <v>47</v>
      </c>
      <c r="R10" s="30" t="s">
        <v>47</v>
      </c>
      <c r="S10" s="30" t="s">
        <v>47</v>
      </c>
      <c r="T10" s="30" t="s">
        <v>47</v>
      </c>
      <c r="U10" s="26">
        <f t="shared" si="0"/>
        <v>0</v>
      </c>
      <c r="V10" s="26">
        <v>50</v>
      </c>
    </row>
    <row r="11" spans="1:22" x14ac:dyDescent="0.25">
      <c r="A11" s="26">
        <v>10</v>
      </c>
      <c r="B11" s="31" t="s">
        <v>70</v>
      </c>
      <c r="C11" s="26" t="s">
        <v>71</v>
      </c>
      <c r="D11" s="28" t="s">
        <v>53</v>
      </c>
      <c r="E11" s="26" t="s">
        <v>49</v>
      </c>
      <c r="F11" s="30" t="s">
        <v>47</v>
      </c>
      <c r="G11" s="30" t="s">
        <v>47</v>
      </c>
      <c r="H11" s="30" t="s">
        <v>47</v>
      </c>
      <c r="I11" s="30" t="s">
        <v>47</v>
      </c>
      <c r="J11" s="30" t="s">
        <v>47</v>
      </c>
      <c r="K11" s="30" t="s">
        <v>47</v>
      </c>
      <c r="L11" s="30" t="s">
        <v>47</v>
      </c>
      <c r="M11" s="30" t="s">
        <v>47</v>
      </c>
      <c r="N11" s="30" t="s">
        <v>47</v>
      </c>
      <c r="O11" s="30" t="s">
        <v>47</v>
      </c>
      <c r="P11" s="30" t="s">
        <v>47</v>
      </c>
      <c r="Q11" s="30" t="s">
        <v>47</v>
      </c>
      <c r="R11" s="30" t="s">
        <v>47</v>
      </c>
      <c r="S11" s="30" t="s">
        <v>47</v>
      </c>
      <c r="T11" s="30" t="s">
        <v>47</v>
      </c>
      <c r="U11" s="26">
        <f t="shared" si="0"/>
        <v>0</v>
      </c>
      <c r="V11" s="26">
        <v>50</v>
      </c>
    </row>
    <row r="12" spans="1:22" x14ac:dyDescent="0.25">
      <c r="A12" s="26">
        <v>11</v>
      </c>
      <c r="B12" s="31" t="s">
        <v>72</v>
      </c>
      <c r="C12" s="26" t="s">
        <v>73</v>
      </c>
      <c r="D12" s="28" t="s">
        <v>53</v>
      </c>
      <c r="E12" s="26" t="s">
        <v>49</v>
      </c>
      <c r="F12" s="30" t="s">
        <v>47</v>
      </c>
      <c r="G12" s="30" t="s">
        <v>47</v>
      </c>
      <c r="H12" s="30" t="s">
        <v>47</v>
      </c>
      <c r="I12" s="30" t="s">
        <v>47</v>
      </c>
      <c r="J12" s="30" t="s">
        <v>47</v>
      </c>
      <c r="K12" s="30" t="s">
        <v>47</v>
      </c>
      <c r="L12" s="30" t="s">
        <v>47</v>
      </c>
      <c r="M12" s="30" t="s">
        <v>47</v>
      </c>
      <c r="N12" s="30" t="s">
        <v>47</v>
      </c>
      <c r="O12" s="30" t="s">
        <v>47</v>
      </c>
      <c r="P12" s="30" t="s">
        <v>47</v>
      </c>
      <c r="Q12" s="30" t="s">
        <v>47</v>
      </c>
      <c r="R12" s="30" t="s">
        <v>47</v>
      </c>
      <c r="S12" s="30" t="s">
        <v>47</v>
      </c>
      <c r="T12" s="30" t="s">
        <v>47</v>
      </c>
      <c r="U12" s="26">
        <f t="shared" si="0"/>
        <v>0</v>
      </c>
      <c r="V12" s="26">
        <v>50</v>
      </c>
    </row>
    <row r="13" spans="1:22" x14ac:dyDescent="0.25">
      <c r="A13" s="26">
        <v>12</v>
      </c>
      <c r="B13" s="31" t="s">
        <v>74</v>
      </c>
      <c r="C13" s="26" t="s">
        <v>75</v>
      </c>
      <c r="D13" s="28" t="s">
        <v>53</v>
      </c>
      <c r="E13" s="26" t="s">
        <v>49</v>
      </c>
      <c r="F13" s="30" t="s">
        <v>47</v>
      </c>
      <c r="G13" s="30" t="s">
        <v>47</v>
      </c>
      <c r="H13" s="30" t="s">
        <v>47</v>
      </c>
      <c r="I13" s="30" t="s">
        <v>47</v>
      </c>
      <c r="J13" s="30" t="s">
        <v>47</v>
      </c>
      <c r="K13" s="30" t="s">
        <v>47</v>
      </c>
      <c r="L13" s="30" t="s">
        <v>47</v>
      </c>
      <c r="M13" s="30" t="s">
        <v>47</v>
      </c>
      <c r="N13" s="30" t="s">
        <v>47</v>
      </c>
      <c r="O13" s="30" t="s">
        <v>47</v>
      </c>
      <c r="P13" s="30" t="s">
        <v>47</v>
      </c>
      <c r="Q13" s="30" t="s">
        <v>47</v>
      </c>
      <c r="R13" s="30" t="s">
        <v>47</v>
      </c>
      <c r="S13" s="30" t="s">
        <v>47</v>
      </c>
      <c r="T13" s="30" t="s">
        <v>47</v>
      </c>
      <c r="U13" s="26">
        <f t="shared" si="0"/>
        <v>0</v>
      </c>
      <c r="V13" s="26">
        <v>50</v>
      </c>
    </row>
    <row r="14" spans="1:22" x14ac:dyDescent="0.25">
      <c r="A14" s="26">
        <v>13</v>
      </c>
      <c r="B14" s="31" t="s">
        <v>76</v>
      </c>
      <c r="C14" s="26" t="s">
        <v>77</v>
      </c>
      <c r="D14" s="28" t="s">
        <v>53</v>
      </c>
      <c r="E14" s="26" t="s">
        <v>49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2</v>
      </c>
      <c r="L14" s="30">
        <v>2</v>
      </c>
      <c r="M14" s="30">
        <v>2</v>
      </c>
      <c r="N14" s="30" t="s">
        <v>47</v>
      </c>
      <c r="O14" s="30">
        <v>2</v>
      </c>
      <c r="P14" s="30">
        <v>2</v>
      </c>
      <c r="Q14" s="30">
        <v>5</v>
      </c>
      <c r="R14" s="30">
        <v>5</v>
      </c>
      <c r="S14" s="30">
        <v>5</v>
      </c>
      <c r="T14" s="30" t="s">
        <v>47</v>
      </c>
      <c r="U14" s="26">
        <f t="shared" si="0"/>
        <v>30</v>
      </c>
      <c r="V14" s="26">
        <v>50</v>
      </c>
    </row>
    <row r="15" spans="1:22" x14ac:dyDescent="0.25">
      <c r="A15" s="26">
        <v>14</v>
      </c>
      <c r="B15" s="31" t="s">
        <v>78</v>
      </c>
      <c r="C15" s="26" t="s">
        <v>79</v>
      </c>
      <c r="D15" s="28" t="s">
        <v>53</v>
      </c>
      <c r="E15" s="26" t="s">
        <v>49</v>
      </c>
      <c r="F15" s="30" t="s">
        <v>47</v>
      </c>
      <c r="G15" s="30" t="s">
        <v>47</v>
      </c>
      <c r="H15" s="30" t="s">
        <v>47</v>
      </c>
      <c r="I15" s="30" t="s">
        <v>47</v>
      </c>
      <c r="J15" s="30" t="s">
        <v>47</v>
      </c>
      <c r="K15" s="30" t="s">
        <v>47</v>
      </c>
      <c r="L15" s="30" t="s">
        <v>47</v>
      </c>
      <c r="M15" s="30" t="s">
        <v>47</v>
      </c>
      <c r="N15" s="30" t="s">
        <v>47</v>
      </c>
      <c r="O15" s="30" t="s">
        <v>47</v>
      </c>
      <c r="P15" s="30" t="s">
        <v>47</v>
      </c>
      <c r="Q15" s="30" t="s">
        <v>47</v>
      </c>
      <c r="R15" s="30" t="s">
        <v>47</v>
      </c>
      <c r="S15" s="30" t="s">
        <v>47</v>
      </c>
      <c r="T15" s="30" t="s">
        <v>47</v>
      </c>
      <c r="U15" s="26">
        <f t="shared" si="0"/>
        <v>0</v>
      </c>
      <c r="V15" s="26">
        <v>50</v>
      </c>
    </row>
    <row r="16" spans="1:22" x14ac:dyDescent="0.25">
      <c r="A16" s="26">
        <v>15</v>
      </c>
      <c r="B16" s="31" t="s">
        <v>80</v>
      </c>
      <c r="C16" s="26" t="s">
        <v>81</v>
      </c>
      <c r="D16" s="28" t="s">
        <v>53</v>
      </c>
      <c r="E16" s="26" t="s">
        <v>49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 t="s">
        <v>47</v>
      </c>
      <c r="L16" s="30">
        <v>2</v>
      </c>
      <c r="M16" s="30">
        <v>2</v>
      </c>
      <c r="N16" s="30">
        <v>2</v>
      </c>
      <c r="O16" s="30">
        <v>2</v>
      </c>
      <c r="P16" s="30">
        <v>2</v>
      </c>
      <c r="Q16" s="30">
        <v>4</v>
      </c>
      <c r="R16" s="30" t="s">
        <v>47</v>
      </c>
      <c r="S16" s="30">
        <v>2</v>
      </c>
      <c r="T16" s="30">
        <v>5</v>
      </c>
      <c r="U16" s="26">
        <f t="shared" si="0"/>
        <v>26</v>
      </c>
      <c r="V16" s="26">
        <v>50</v>
      </c>
    </row>
    <row r="17" spans="1:22" x14ac:dyDescent="0.25">
      <c r="A17" s="26">
        <v>16</v>
      </c>
      <c r="B17" s="31" t="s">
        <v>82</v>
      </c>
      <c r="C17" s="26" t="s">
        <v>83</v>
      </c>
      <c r="D17" s="28" t="s">
        <v>53</v>
      </c>
      <c r="E17" s="26" t="s">
        <v>49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2</v>
      </c>
      <c r="L17" s="30">
        <v>2</v>
      </c>
      <c r="M17" s="30">
        <v>2</v>
      </c>
      <c r="N17" s="30" t="s">
        <v>47</v>
      </c>
      <c r="O17" s="30">
        <v>2</v>
      </c>
      <c r="P17" s="30">
        <v>2</v>
      </c>
      <c r="Q17" s="30">
        <v>1</v>
      </c>
      <c r="R17" s="30" t="s">
        <v>47</v>
      </c>
      <c r="S17" s="30">
        <v>5</v>
      </c>
      <c r="T17" s="30">
        <v>5</v>
      </c>
      <c r="U17" s="26">
        <f t="shared" si="0"/>
        <v>26</v>
      </c>
      <c r="V17" s="26">
        <v>50</v>
      </c>
    </row>
    <row r="18" spans="1:22" x14ac:dyDescent="0.25">
      <c r="A18" s="26">
        <v>17</v>
      </c>
      <c r="B18" s="31" t="s">
        <v>84</v>
      </c>
      <c r="C18" s="26" t="s">
        <v>85</v>
      </c>
      <c r="D18" s="28" t="s">
        <v>53</v>
      </c>
      <c r="E18" s="26" t="s">
        <v>49</v>
      </c>
      <c r="F18" s="30" t="s">
        <v>47</v>
      </c>
      <c r="G18" s="30">
        <v>1</v>
      </c>
      <c r="H18" s="30" t="s">
        <v>47</v>
      </c>
      <c r="I18" s="30" t="s">
        <v>47</v>
      </c>
      <c r="J18" s="30" t="s">
        <v>47</v>
      </c>
      <c r="K18" s="30" t="s">
        <v>47</v>
      </c>
      <c r="L18" s="30" t="s">
        <v>47</v>
      </c>
      <c r="M18" s="30" t="s">
        <v>47</v>
      </c>
      <c r="N18" s="30" t="s">
        <v>47</v>
      </c>
      <c r="O18" s="30" t="s">
        <v>47</v>
      </c>
      <c r="P18" s="30" t="s">
        <v>47</v>
      </c>
      <c r="Q18" s="30" t="s">
        <v>47</v>
      </c>
      <c r="R18" s="30" t="s">
        <v>47</v>
      </c>
      <c r="S18" s="30" t="s">
        <v>47</v>
      </c>
      <c r="T18" s="30" t="s">
        <v>47</v>
      </c>
      <c r="U18" s="26">
        <f t="shared" si="0"/>
        <v>1</v>
      </c>
      <c r="V18" s="26">
        <v>50</v>
      </c>
    </row>
    <row r="19" spans="1:22" x14ac:dyDescent="0.25">
      <c r="A19" s="26">
        <v>18</v>
      </c>
      <c r="B19" s="31" t="s">
        <v>86</v>
      </c>
      <c r="C19" s="26" t="s">
        <v>48</v>
      </c>
      <c r="D19" s="28" t="s">
        <v>53</v>
      </c>
      <c r="E19" s="26" t="s">
        <v>49</v>
      </c>
      <c r="F19" s="30" t="s">
        <v>47</v>
      </c>
      <c r="G19" s="30">
        <v>1</v>
      </c>
      <c r="H19" s="30">
        <v>1</v>
      </c>
      <c r="I19" s="30">
        <v>1</v>
      </c>
      <c r="J19" s="30">
        <v>1</v>
      </c>
      <c r="K19" s="30" t="s">
        <v>47</v>
      </c>
      <c r="L19" s="30" t="s">
        <v>47</v>
      </c>
      <c r="M19" s="30" t="s">
        <v>47</v>
      </c>
      <c r="N19" s="30" t="s">
        <v>47</v>
      </c>
      <c r="O19" s="30" t="s">
        <v>47</v>
      </c>
      <c r="P19" s="30" t="s">
        <v>47</v>
      </c>
      <c r="Q19" s="30" t="s">
        <v>47</v>
      </c>
      <c r="R19" s="30" t="s">
        <v>47</v>
      </c>
      <c r="S19" s="30" t="s">
        <v>47</v>
      </c>
      <c r="T19" s="30" t="s">
        <v>47</v>
      </c>
      <c r="U19" s="26">
        <f t="shared" si="0"/>
        <v>4</v>
      </c>
      <c r="V19" s="26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FDAE8-2B48-4368-88DF-3D4CC7A6F547}">
  <dimension ref="A1:H24"/>
  <sheetViews>
    <sheetView workbookViewId="0">
      <selection activeCell="G10" sqref="G10"/>
    </sheetView>
  </sheetViews>
  <sheetFormatPr defaultRowHeight="15" x14ac:dyDescent="0.25"/>
  <sheetData>
    <row r="1" spans="1:8" ht="15.75" thickBot="1" x14ac:dyDescent="0.3">
      <c r="A1" s="12" t="s">
        <v>8</v>
      </c>
      <c r="B1" s="12" t="s">
        <v>9</v>
      </c>
      <c r="C1" s="12" t="s">
        <v>10</v>
      </c>
      <c r="D1" s="12" t="s">
        <v>11</v>
      </c>
      <c r="E1" s="12" t="s">
        <v>12</v>
      </c>
      <c r="F1" s="12" t="s">
        <v>13</v>
      </c>
      <c r="G1" s="12" t="s">
        <v>14</v>
      </c>
      <c r="H1" s="12" t="s">
        <v>15</v>
      </c>
    </row>
    <row r="2" spans="1:8" ht="15.75" thickBot="1" x14ac:dyDescent="0.3">
      <c r="A2" s="18" t="s">
        <v>16</v>
      </c>
      <c r="B2" s="19">
        <v>1</v>
      </c>
      <c r="C2" s="20" t="b">
        <v>1</v>
      </c>
      <c r="D2" s="20" t="b">
        <v>1</v>
      </c>
      <c r="E2" s="20" t="b">
        <v>0</v>
      </c>
      <c r="F2" s="20" t="b">
        <v>0</v>
      </c>
      <c r="G2" s="23" t="b">
        <v>1</v>
      </c>
      <c r="H2" s="20" t="b">
        <v>0</v>
      </c>
    </row>
    <row r="3" spans="1:8" ht="15.75" thickBot="1" x14ac:dyDescent="0.3">
      <c r="A3" s="21" t="s">
        <v>17</v>
      </c>
      <c r="B3" s="22">
        <v>1</v>
      </c>
      <c r="C3" s="20" t="b">
        <v>1</v>
      </c>
      <c r="D3" s="20" t="b">
        <v>1</v>
      </c>
      <c r="E3" s="20" t="b">
        <v>0</v>
      </c>
      <c r="F3" s="23" t="b">
        <v>0</v>
      </c>
      <c r="G3" s="23" t="b">
        <v>0</v>
      </c>
      <c r="H3" s="23" t="b">
        <v>1</v>
      </c>
    </row>
    <row r="4" spans="1:8" ht="15.75" thickBot="1" x14ac:dyDescent="0.3">
      <c r="A4" s="21" t="s">
        <v>18</v>
      </c>
      <c r="B4" s="22">
        <v>1</v>
      </c>
      <c r="C4" s="20" t="b">
        <v>1</v>
      </c>
      <c r="D4" s="20" t="b">
        <v>1</v>
      </c>
      <c r="E4" s="20" t="b">
        <v>0</v>
      </c>
      <c r="F4" s="23" t="b">
        <v>0</v>
      </c>
      <c r="G4" s="23" t="b">
        <v>0</v>
      </c>
      <c r="H4" s="23" t="b">
        <v>0</v>
      </c>
    </row>
    <row r="5" spans="1:8" ht="15.75" thickBot="1" x14ac:dyDescent="0.3">
      <c r="A5" s="21" t="s">
        <v>19</v>
      </c>
      <c r="B5" s="22">
        <v>1</v>
      </c>
      <c r="C5" s="20" t="b">
        <v>1</v>
      </c>
      <c r="D5" s="20" t="b">
        <v>1</v>
      </c>
      <c r="E5" s="20" t="b">
        <v>0</v>
      </c>
      <c r="F5" s="23" t="b">
        <v>1</v>
      </c>
      <c r="G5" s="23" t="b">
        <v>1</v>
      </c>
      <c r="H5" s="23" t="b">
        <v>0</v>
      </c>
    </row>
    <row r="6" spans="1:8" ht="15.75" thickBot="1" x14ac:dyDescent="0.3">
      <c r="A6" s="21" t="s">
        <v>20</v>
      </c>
      <c r="B6" s="22">
        <v>1</v>
      </c>
      <c r="C6" s="20" t="b">
        <v>1</v>
      </c>
      <c r="D6" s="20" t="b">
        <v>1</v>
      </c>
      <c r="E6" s="20" t="b">
        <v>0</v>
      </c>
      <c r="F6" s="23" t="b">
        <v>0</v>
      </c>
      <c r="G6" s="23" t="b">
        <v>0</v>
      </c>
      <c r="H6" s="23" t="b">
        <v>0</v>
      </c>
    </row>
    <row r="7" spans="1:8" ht="15.75" thickBot="1" x14ac:dyDescent="0.3">
      <c r="A7" s="21" t="s">
        <v>21</v>
      </c>
      <c r="B7" s="22">
        <v>2</v>
      </c>
      <c r="C7" s="23" t="b">
        <v>1</v>
      </c>
      <c r="D7" s="23" t="b">
        <v>0</v>
      </c>
      <c r="E7" s="23" t="b">
        <v>0</v>
      </c>
      <c r="F7" s="23" t="b">
        <v>0</v>
      </c>
      <c r="G7" s="23" t="b">
        <v>0</v>
      </c>
      <c r="H7" s="23" t="b">
        <v>0</v>
      </c>
    </row>
    <row r="8" spans="1:8" ht="15.75" thickBot="1" x14ac:dyDescent="0.3">
      <c r="A8" s="21" t="s">
        <v>22</v>
      </c>
      <c r="B8" s="22">
        <v>2</v>
      </c>
      <c r="C8" s="23" t="b">
        <v>0</v>
      </c>
      <c r="D8" s="23" t="b">
        <v>0</v>
      </c>
      <c r="E8" s="23" t="b">
        <v>1</v>
      </c>
      <c r="F8" s="23" t="b">
        <v>0</v>
      </c>
      <c r="G8" s="23" t="b">
        <v>0</v>
      </c>
      <c r="H8" s="23" t="b">
        <v>0</v>
      </c>
    </row>
    <row r="9" spans="1:8" ht="15.75" thickBot="1" x14ac:dyDescent="0.3">
      <c r="A9" s="21" t="s">
        <v>23</v>
      </c>
      <c r="B9" s="22">
        <v>2</v>
      </c>
      <c r="C9" s="23" t="b">
        <v>1</v>
      </c>
      <c r="D9" s="23" t="b">
        <v>0</v>
      </c>
      <c r="E9" s="23" t="b">
        <v>0</v>
      </c>
      <c r="F9" s="23" t="b">
        <v>0</v>
      </c>
      <c r="G9" s="23" t="b">
        <v>0</v>
      </c>
      <c r="H9" s="23" t="b">
        <v>0</v>
      </c>
    </row>
    <row r="10" spans="1:8" ht="15.75" thickBot="1" x14ac:dyDescent="0.3">
      <c r="A10" s="21" t="s">
        <v>24</v>
      </c>
      <c r="B10" s="22">
        <v>2</v>
      </c>
      <c r="C10" s="23" t="b">
        <v>0</v>
      </c>
      <c r="D10" s="23" t="b">
        <v>1</v>
      </c>
      <c r="E10" s="23" t="b">
        <v>0</v>
      </c>
      <c r="F10" s="23" t="b">
        <v>0</v>
      </c>
      <c r="G10" s="23" t="b">
        <v>1</v>
      </c>
      <c r="H10" s="23" t="b">
        <v>0</v>
      </c>
    </row>
    <row r="11" spans="1:8" ht="15.75" thickBot="1" x14ac:dyDescent="0.3">
      <c r="A11" s="21" t="s">
        <v>25</v>
      </c>
      <c r="B11" s="22">
        <v>2</v>
      </c>
      <c r="C11" s="23" t="b">
        <v>1</v>
      </c>
      <c r="D11" s="23" t="b">
        <v>0</v>
      </c>
      <c r="E11" s="23" t="b">
        <v>0</v>
      </c>
      <c r="F11" s="23" t="b">
        <v>1</v>
      </c>
      <c r="G11" s="23" t="b">
        <v>1</v>
      </c>
      <c r="H11" s="23" t="b">
        <v>0</v>
      </c>
    </row>
    <row r="12" spans="1:8" ht="15.75" thickBot="1" x14ac:dyDescent="0.3">
      <c r="A12" s="21" t="s">
        <v>26</v>
      </c>
      <c r="B12" s="22">
        <v>2</v>
      </c>
      <c r="C12" s="23" t="b">
        <v>0</v>
      </c>
      <c r="D12" s="23" t="b">
        <v>1</v>
      </c>
      <c r="E12" s="23" t="b">
        <v>0</v>
      </c>
      <c r="F12" s="23" t="b">
        <v>0</v>
      </c>
      <c r="G12" s="23" t="b">
        <v>0</v>
      </c>
      <c r="H12" s="23" t="b">
        <v>1</v>
      </c>
    </row>
    <row r="13" spans="1:8" ht="15.75" thickBot="1" x14ac:dyDescent="0.3">
      <c r="A13" s="21" t="s">
        <v>27</v>
      </c>
      <c r="B13" s="22">
        <v>5</v>
      </c>
      <c r="C13" s="23" t="b">
        <v>1</v>
      </c>
      <c r="D13" s="23" t="b">
        <v>0</v>
      </c>
      <c r="E13" s="23" t="b">
        <v>0</v>
      </c>
      <c r="F13" s="23" t="b">
        <v>0</v>
      </c>
      <c r="G13" s="23" t="b">
        <v>0</v>
      </c>
      <c r="H13" s="23" t="b">
        <v>1</v>
      </c>
    </row>
    <row r="14" spans="1:8" ht="15.75" thickBot="1" x14ac:dyDescent="0.3">
      <c r="A14" s="21" t="s">
        <v>28</v>
      </c>
      <c r="B14" s="22">
        <v>5</v>
      </c>
      <c r="C14" s="23" t="b">
        <v>0</v>
      </c>
      <c r="D14" s="23" t="b">
        <v>1</v>
      </c>
      <c r="E14" s="23" t="b">
        <v>0</v>
      </c>
      <c r="F14" s="23" t="b">
        <v>0</v>
      </c>
      <c r="G14" s="23" t="b">
        <v>0</v>
      </c>
      <c r="H14" s="23" t="b">
        <v>0</v>
      </c>
    </row>
    <row r="15" spans="1:8" ht="15.75" thickBot="1" x14ac:dyDescent="0.3">
      <c r="A15" s="21" t="s">
        <v>29</v>
      </c>
      <c r="B15" s="22">
        <v>5</v>
      </c>
      <c r="C15" s="23" t="b">
        <v>0</v>
      </c>
      <c r="D15" s="23" t="b">
        <v>1</v>
      </c>
      <c r="E15" s="23" t="b">
        <v>0</v>
      </c>
      <c r="F15" s="23" t="b">
        <v>1</v>
      </c>
      <c r="G15" s="23" t="b">
        <v>0</v>
      </c>
      <c r="H15" s="23" t="b">
        <v>0</v>
      </c>
    </row>
    <row r="16" spans="1:8" ht="15.75" thickBot="1" x14ac:dyDescent="0.3">
      <c r="A16" s="21" t="s">
        <v>30</v>
      </c>
      <c r="B16" s="22">
        <v>5</v>
      </c>
      <c r="C16" s="23" t="b">
        <v>0</v>
      </c>
      <c r="D16" s="23" t="b">
        <v>0</v>
      </c>
      <c r="E16" s="23" t="b">
        <v>1</v>
      </c>
      <c r="F16" s="23" t="b">
        <v>0</v>
      </c>
      <c r="G16" s="23" t="b">
        <v>1</v>
      </c>
      <c r="H16" s="23" t="b">
        <v>0</v>
      </c>
    </row>
    <row r="17" spans="1:8" ht="15.75" thickBot="1" x14ac:dyDescent="0.3">
      <c r="A17" s="21" t="s">
        <v>31</v>
      </c>
      <c r="B17" s="22">
        <v>5</v>
      </c>
      <c r="C17" s="23" t="b">
        <v>1</v>
      </c>
      <c r="D17" s="23" t="b">
        <v>0</v>
      </c>
      <c r="E17" s="23" t="b">
        <v>0</v>
      </c>
      <c r="F17" s="23" t="b">
        <v>0</v>
      </c>
      <c r="G17" s="23" t="b">
        <v>0</v>
      </c>
      <c r="H17" s="23" t="b">
        <v>0</v>
      </c>
    </row>
    <row r="18" spans="1:8" ht="15.75" thickBot="1" x14ac:dyDescent="0.3">
      <c r="A18" s="21" t="s">
        <v>32</v>
      </c>
      <c r="B18" s="22">
        <v>5</v>
      </c>
      <c r="C18" s="23" t="b">
        <v>0</v>
      </c>
      <c r="D18" s="23" t="b">
        <v>0</v>
      </c>
      <c r="E18" s="23" t="b">
        <v>1</v>
      </c>
      <c r="F18" s="23" t="b">
        <v>0</v>
      </c>
      <c r="G18" s="23" t="b">
        <v>0</v>
      </c>
      <c r="H18" s="23" t="b">
        <v>0</v>
      </c>
    </row>
    <row r="19" spans="1:8" ht="15.75" thickBot="1" x14ac:dyDescent="0.3">
      <c r="A19" s="21" t="s">
        <v>33</v>
      </c>
      <c r="B19" s="22">
        <v>10</v>
      </c>
      <c r="C19" s="23" t="b">
        <v>0</v>
      </c>
      <c r="D19" s="23" t="b">
        <v>0</v>
      </c>
      <c r="E19" s="23" t="b">
        <v>1</v>
      </c>
      <c r="F19" s="23" t="b">
        <v>1</v>
      </c>
      <c r="G19" s="23" t="b">
        <v>1</v>
      </c>
      <c r="H19" s="23" t="b">
        <v>1</v>
      </c>
    </row>
    <row r="20" spans="1:8" ht="15.75" thickBot="1" x14ac:dyDescent="0.3">
      <c r="A20" s="21" t="s">
        <v>34</v>
      </c>
      <c r="B20" s="22">
        <v>10</v>
      </c>
      <c r="C20" s="23" t="b">
        <v>0</v>
      </c>
      <c r="D20" s="23" t="b">
        <v>1</v>
      </c>
      <c r="E20" s="23" t="b">
        <v>0</v>
      </c>
      <c r="F20" s="23" t="b">
        <v>0</v>
      </c>
      <c r="G20" s="23" t="b">
        <v>0</v>
      </c>
      <c r="H20" s="23" t="b">
        <v>0</v>
      </c>
    </row>
    <row r="21" spans="1:8" ht="15.75" thickBot="1" x14ac:dyDescent="0.3">
      <c r="A21" s="21" t="s">
        <v>35</v>
      </c>
      <c r="B21" s="22">
        <v>10</v>
      </c>
      <c r="C21" s="23" t="b">
        <v>0</v>
      </c>
      <c r="D21" s="23" t="b">
        <v>1</v>
      </c>
      <c r="E21" s="23" t="b">
        <v>0</v>
      </c>
      <c r="F21" s="23" t="b">
        <v>0</v>
      </c>
      <c r="G21" s="23" t="b">
        <v>0</v>
      </c>
      <c r="H21" s="23" t="b">
        <v>0</v>
      </c>
    </row>
    <row r="22" spans="1:8" ht="30.75" thickBot="1" x14ac:dyDescent="0.3">
      <c r="A22" s="21" t="s">
        <v>36</v>
      </c>
      <c r="B22" s="22">
        <v>0</v>
      </c>
      <c r="C22" s="23" t="b">
        <v>0</v>
      </c>
      <c r="D22" s="23" t="b">
        <v>0</v>
      </c>
      <c r="E22" s="23" t="b">
        <v>1</v>
      </c>
      <c r="F22" s="23" t="b">
        <v>0</v>
      </c>
      <c r="G22" s="23" t="b">
        <v>1</v>
      </c>
      <c r="H22" s="23" t="b">
        <v>0</v>
      </c>
    </row>
    <row r="23" spans="1:8" ht="15.75" thickBot="1" x14ac:dyDescent="0.3">
      <c r="A23" s="21" t="s">
        <v>37</v>
      </c>
      <c r="B23" s="22">
        <v>0</v>
      </c>
      <c r="C23" s="23" t="b">
        <v>0</v>
      </c>
      <c r="D23" s="23" t="b">
        <v>0</v>
      </c>
      <c r="E23" s="23" t="b">
        <v>0</v>
      </c>
      <c r="F23" s="23" t="b">
        <v>0</v>
      </c>
      <c r="G23" s="23" t="b">
        <v>1</v>
      </c>
      <c r="H23" s="23" t="b">
        <v>0</v>
      </c>
    </row>
    <row r="24" spans="1:8" ht="15.75" thickBot="1" x14ac:dyDescent="0.3">
      <c r="A24" s="21" t="s">
        <v>38</v>
      </c>
      <c r="B24" s="22">
        <v>0</v>
      </c>
      <c r="C24" s="23" t="b">
        <v>0</v>
      </c>
      <c r="D24" s="23" t="b">
        <v>0</v>
      </c>
      <c r="E24" s="23" t="b">
        <v>0</v>
      </c>
      <c r="F24" s="23" t="b">
        <v>0</v>
      </c>
      <c r="G24" s="23" t="b">
        <v>0</v>
      </c>
      <c r="H24" s="23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9745E-24E1-4C1F-9228-B7001F86A048}">
  <dimension ref="A1:AD19"/>
  <sheetViews>
    <sheetView tabSelected="1" workbookViewId="0">
      <selection activeCell="L32" sqref="L32"/>
    </sheetView>
  </sheetViews>
  <sheetFormatPr defaultRowHeight="15" x14ac:dyDescent="0.25"/>
  <cols>
    <col min="1" max="1" width="5.5703125" bestFit="1" customWidth="1"/>
    <col min="2" max="2" width="23.28515625" bestFit="1" customWidth="1"/>
    <col min="3" max="3" width="27.140625" bestFit="1" customWidth="1"/>
    <col min="4" max="4" width="22.28515625" bestFit="1" customWidth="1"/>
    <col min="5" max="11" width="3.42578125" bestFit="1" customWidth="1"/>
    <col min="12" max="18" width="4.42578125" bestFit="1" customWidth="1"/>
    <col min="19" max="19" width="11.28515625" bestFit="1" customWidth="1"/>
    <col min="20" max="21" width="4.140625" bestFit="1" customWidth="1"/>
    <col min="22" max="22" width="11.28515625" bestFit="1" customWidth="1"/>
    <col min="23" max="23" width="10.5703125" bestFit="1" customWidth="1"/>
  </cols>
  <sheetData>
    <row r="1" spans="1:30" x14ac:dyDescent="0.25">
      <c r="A1" s="24" t="s">
        <v>39</v>
      </c>
      <c r="B1" s="24" t="s">
        <v>40</v>
      </c>
      <c r="C1" s="24" t="s">
        <v>41</v>
      </c>
      <c r="D1" s="24" t="s">
        <v>42</v>
      </c>
      <c r="E1" s="24" t="s">
        <v>43</v>
      </c>
      <c r="F1" s="24" t="str">
        <f t="array" ref="F1:AB1">TRANSPOSE('[1]ETE Question Map'!A2:A24)</f>
        <v>1a</v>
      </c>
      <c r="G1" s="24" t="str">
        <v>1b</v>
      </c>
      <c r="H1" s="24" t="str">
        <v>1c</v>
      </c>
      <c r="I1" s="24" t="str">
        <v>1d</v>
      </c>
      <c r="J1" s="24" t="str">
        <v>1e</v>
      </c>
      <c r="K1" s="24" t="str">
        <v>Q2</v>
      </c>
      <c r="L1" s="24" t="str">
        <v>Q3</v>
      </c>
      <c r="M1" s="24" t="str">
        <v>Q4</v>
      </c>
      <c r="N1" s="24" t="str">
        <v>Q5</v>
      </c>
      <c r="O1" s="24" t="str">
        <v>Q6</v>
      </c>
      <c r="P1" s="24" t="str">
        <v>Q7</v>
      </c>
      <c r="Q1" s="24" t="str">
        <v>Q8</v>
      </c>
      <c r="R1" s="24" t="str">
        <v>Q9</v>
      </c>
      <c r="S1" s="24" t="str">
        <v>Q10</v>
      </c>
      <c r="T1" s="24" t="str">
        <v>Q11</v>
      </c>
      <c r="U1" s="24" t="str">
        <v>Q12</v>
      </c>
      <c r="V1" s="24" t="str">
        <v>Q13</v>
      </c>
      <c r="W1" s="24" t="str">
        <v>Q14</v>
      </c>
      <c r="X1" s="24" t="str">
        <v>Q15</v>
      </c>
      <c r="Y1" s="24" t="str">
        <v>Q16</v>
      </c>
      <c r="Z1" s="24" t="str">
        <v>Assignment</v>
      </c>
      <c r="AA1" s="24" t="str">
        <v>FA1</v>
      </c>
      <c r="AB1" s="24" t="str">
        <v>FA2</v>
      </c>
      <c r="AC1" s="24" t="s">
        <v>44</v>
      </c>
      <c r="AD1" s="24" t="s">
        <v>45</v>
      </c>
    </row>
    <row r="2" spans="1:30" x14ac:dyDescent="0.25">
      <c r="A2" s="26">
        <v>1</v>
      </c>
      <c r="B2" s="31" t="s">
        <v>51</v>
      </c>
      <c r="C2" s="26" t="s">
        <v>52</v>
      </c>
      <c r="D2" s="28" t="s">
        <v>53</v>
      </c>
      <c r="E2" s="26" t="s">
        <v>50</v>
      </c>
      <c r="F2" s="30">
        <v>1</v>
      </c>
      <c r="G2" s="30">
        <v>1</v>
      </c>
      <c r="H2" s="30">
        <v>1</v>
      </c>
      <c r="I2" s="30">
        <v>1</v>
      </c>
      <c r="J2" s="30">
        <v>1</v>
      </c>
      <c r="K2" s="30">
        <v>2</v>
      </c>
      <c r="L2" s="30">
        <v>2</v>
      </c>
      <c r="M2" s="30" t="s">
        <v>47</v>
      </c>
      <c r="N2" s="30" t="s">
        <v>47</v>
      </c>
      <c r="O2" s="30">
        <v>2</v>
      </c>
      <c r="P2" s="30">
        <v>2</v>
      </c>
      <c r="Q2" s="30">
        <v>3</v>
      </c>
      <c r="R2" s="30" t="s">
        <v>47</v>
      </c>
      <c r="S2" s="30">
        <v>5</v>
      </c>
      <c r="T2" s="30">
        <v>5</v>
      </c>
      <c r="U2" s="30">
        <v>5</v>
      </c>
      <c r="V2" s="30" t="s">
        <v>47</v>
      </c>
      <c r="W2" s="30" t="s">
        <v>47</v>
      </c>
      <c r="X2" s="30" t="s">
        <v>47</v>
      </c>
      <c r="Y2" s="30">
        <v>2</v>
      </c>
      <c r="Z2" s="26" t="s">
        <v>47</v>
      </c>
      <c r="AA2" s="26" t="s">
        <v>47</v>
      </c>
      <c r="AB2" s="26" t="s">
        <v>47</v>
      </c>
      <c r="AC2" s="26">
        <f t="shared" ref="AC2:AC19" si="0">SUM(F2:AB2)</f>
        <v>33</v>
      </c>
      <c r="AD2" s="26">
        <v>60</v>
      </c>
    </row>
    <row r="3" spans="1:30" x14ac:dyDescent="0.25">
      <c r="A3" s="26">
        <v>2</v>
      </c>
      <c r="B3" s="31" t="s">
        <v>54</v>
      </c>
      <c r="C3" s="26" t="s">
        <v>55</v>
      </c>
      <c r="D3" s="28" t="s">
        <v>53</v>
      </c>
      <c r="E3" s="26" t="s">
        <v>50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2</v>
      </c>
      <c r="L3" s="30">
        <v>2</v>
      </c>
      <c r="M3" s="30">
        <v>2</v>
      </c>
      <c r="N3" s="30">
        <v>2</v>
      </c>
      <c r="O3" s="30" t="s">
        <v>47</v>
      </c>
      <c r="P3" s="30">
        <v>2</v>
      </c>
      <c r="Q3" s="30">
        <v>5</v>
      </c>
      <c r="R3" s="30">
        <v>5</v>
      </c>
      <c r="S3" s="30">
        <v>5</v>
      </c>
      <c r="T3" s="30">
        <v>5</v>
      </c>
      <c r="U3" s="30" t="s">
        <v>47</v>
      </c>
      <c r="V3" s="30">
        <v>5</v>
      </c>
      <c r="W3" s="30" t="s">
        <v>47</v>
      </c>
      <c r="X3" s="30">
        <v>5</v>
      </c>
      <c r="Y3" s="30">
        <v>10</v>
      </c>
      <c r="Z3" s="26" t="s">
        <v>47</v>
      </c>
      <c r="AA3" s="26" t="s">
        <v>47</v>
      </c>
      <c r="AB3" s="26" t="s">
        <v>47</v>
      </c>
      <c r="AC3" s="26">
        <f t="shared" si="0"/>
        <v>55</v>
      </c>
      <c r="AD3" s="26">
        <v>60</v>
      </c>
    </row>
    <row r="4" spans="1:30" x14ac:dyDescent="0.25">
      <c r="A4" s="26">
        <v>3</v>
      </c>
      <c r="B4" s="31" t="s">
        <v>56</v>
      </c>
      <c r="C4" s="26" t="s">
        <v>57</v>
      </c>
      <c r="D4" s="28" t="s">
        <v>53</v>
      </c>
      <c r="E4" s="26" t="s">
        <v>50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2</v>
      </c>
      <c r="L4" s="30">
        <v>2</v>
      </c>
      <c r="M4" s="30" t="s">
        <v>47</v>
      </c>
      <c r="N4" s="30" t="s">
        <v>47</v>
      </c>
      <c r="O4" s="30">
        <v>2</v>
      </c>
      <c r="P4" s="30">
        <v>2</v>
      </c>
      <c r="Q4" s="30">
        <v>4</v>
      </c>
      <c r="R4" s="30">
        <v>5</v>
      </c>
      <c r="S4" s="30" t="s">
        <v>47</v>
      </c>
      <c r="T4" s="30" t="s">
        <v>47</v>
      </c>
      <c r="U4" s="30" t="s">
        <v>47</v>
      </c>
      <c r="V4" s="30" t="s">
        <v>47</v>
      </c>
      <c r="W4" s="30" t="s">
        <v>47</v>
      </c>
      <c r="X4" s="30">
        <v>2</v>
      </c>
      <c r="Y4" s="30" t="s">
        <v>47</v>
      </c>
      <c r="Z4" s="26" t="s">
        <v>47</v>
      </c>
      <c r="AA4" s="26" t="s">
        <v>47</v>
      </c>
      <c r="AB4" s="26" t="s">
        <v>47</v>
      </c>
      <c r="AC4" s="26">
        <f t="shared" si="0"/>
        <v>24</v>
      </c>
      <c r="AD4" s="26">
        <v>60</v>
      </c>
    </row>
    <row r="5" spans="1:30" x14ac:dyDescent="0.25">
      <c r="A5" s="26">
        <v>4</v>
      </c>
      <c r="B5" s="31" t="s">
        <v>58</v>
      </c>
      <c r="C5" s="26" t="s">
        <v>59</v>
      </c>
      <c r="D5" s="28" t="s">
        <v>53</v>
      </c>
      <c r="E5" s="26" t="s">
        <v>50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 t="s">
        <v>47</v>
      </c>
      <c r="L5" s="30" t="s">
        <v>47</v>
      </c>
      <c r="M5" s="30" t="s">
        <v>47</v>
      </c>
      <c r="N5" s="30" t="s">
        <v>47</v>
      </c>
      <c r="O5" s="30" t="s">
        <v>47</v>
      </c>
      <c r="P5" s="30" t="s">
        <v>47</v>
      </c>
      <c r="Q5" s="30" t="s">
        <v>47</v>
      </c>
      <c r="R5" s="30" t="s">
        <v>47</v>
      </c>
      <c r="S5" s="30" t="s">
        <v>47</v>
      </c>
      <c r="T5" s="30" t="s">
        <v>47</v>
      </c>
      <c r="U5" s="30" t="s">
        <v>47</v>
      </c>
      <c r="V5" s="30" t="s">
        <v>47</v>
      </c>
      <c r="W5" s="30">
        <v>1</v>
      </c>
      <c r="X5" s="30" t="s">
        <v>47</v>
      </c>
      <c r="Y5" s="30" t="s">
        <v>47</v>
      </c>
      <c r="Z5" s="26" t="s">
        <v>47</v>
      </c>
      <c r="AA5" s="26" t="s">
        <v>47</v>
      </c>
      <c r="AB5" s="26" t="s">
        <v>47</v>
      </c>
      <c r="AC5" s="26">
        <f t="shared" si="0"/>
        <v>6</v>
      </c>
      <c r="AD5" s="26">
        <v>60</v>
      </c>
    </row>
    <row r="6" spans="1:30" x14ac:dyDescent="0.25">
      <c r="A6" s="26">
        <v>5</v>
      </c>
      <c r="B6" s="31" t="s">
        <v>60</v>
      </c>
      <c r="C6" s="26" t="s">
        <v>61</v>
      </c>
      <c r="D6" s="28" t="s">
        <v>53</v>
      </c>
      <c r="E6" s="26" t="s">
        <v>50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2</v>
      </c>
      <c r="L6" s="30">
        <v>2</v>
      </c>
      <c r="M6" s="30">
        <v>2</v>
      </c>
      <c r="N6" s="30">
        <v>2</v>
      </c>
      <c r="O6" s="30" t="s">
        <v>47</v>
      </c>
      <c r="P6" s="30" t="s">
        <v>47</v>
      </c>
      <c r="Q6" s="30">
        <v>5</v>
      </c>
      <c r="R6" s="30">
        <v>3</v>
      </c>
      <c r="S6" s="30" t="s">
        <v>47</v>
      </c>
      <c r="T6" s="30" t="s">
        <v>47</v>
      </c>
      <c r="U6" s="30" t="s">
        <v>47</v>
      </c>
      <c r="V6" s="30">
        <v>5</v>
      </c>
      <c r="W6" s="30">
        <v>2</v>
      </c>
      <c r="X6" s="30" t="s">
        <v>47</v>
      </c>
      <c r="Y6" s="30" t="s">
        <v>47</v>
      </c>
      <c r="Z6" s="26" t="s">
        <v>47</v>
      </c>
      <c r="AA6" s="26" t="s">
        <v>47</v>
      </c>
      <c r="AB6" s="26" t="s">
        <v>47</v>
      </c>
      <c r="AC6" s="26">
        <f t="shared" si="0"/>
        <v>28</v>
      </c>
      <c r="AD6" s="26">
        <v>60</v>
      </c>
    </row>
    <row r="7" spans="1:30" x14ac:dyDescent="0.25">
      <c r="A7" s="26">
        <v>6</v>
      </c>
      <c r="B7" s="31" t="s">
        <v>62</v>
      </c>
      <c r="C7" s="26" t="s">
        <v>63</v>
      </c>
      <c r="D7" s="28" t="s">
        <v>53</v>
      </c>
      <c r="E7" s="26" t="s">
        <v>50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2</v>
      </c>
      <c r="L7" s="30">
        <v>2</v>
      </c>
      <c r="M7" s="30">
        <v>2</v>
      </c>
      <c r="N7" s="30" t="s">
        <v>47</v>
      </c>
      <c r="O7" s="30">
        <v>2</v>
      </c>
      <c r="P7" s="30" t="s">
        <v>47</v>
      </c>
      <c r="Q7" s="30">
        <v>5</v>
      </c>
      <c r="R7" s="30" t="s">
        <v>47</v>
      </c>
      <c r="S7" s="30" t="s">
        <v>47</v>
      </c>
      <c r="T7" s="30" t="s">
        <v>47</v>
      </c>
      <c r="U7" s="30">
        <v>5</v>
      </c>
      <c r="V7" s="30" t="s">
        <v>47</v>
      </c>
      <c r="W7" s="30">
        <v>2</v>
      </c>
      <c r="X7" s="30" t="s">
        <v>47</v>
      </c>
      <c r="Y7" s="30" t="s">
        <v>47</v>
      </c>
      <c r="Z7" s="26" t="s">
        <v>47</v>
      </c>
      <c r="AA7" s="26" t="s">
        <v>47</v>
      </c>
      <c r="AB7" s="26" t="s">
        <v>47</v>
      </c>
      <c r="AC7" s="26">
        <f t="shared" si="0"/>
        <v>25</v>
      </c>
      <c r="AD7" s="26">
        <v>60</v>
      </c>
    </row>
    <row r="8" spans="1:30" x14ac:dyDescent="0.25">
      <c r="A8" s="26">
        <v>7</v>
      </c>
      <c r="B8" s="31" t="s">
        <v>64</v>
      </c>
      <c r="C8" s="26" t="s">
        <v>65</v>
      </c>
      <c r="D8" s="28" t="s">
        <v>53</v>
      </c>
      <c r="E8" s="26" t="s">
        <v>50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2</v>
      </c>
      <c r="L8" s="30">
        <v>2</v>
      </c>
      <c r="M8" s="30" t="s">
        <v>47</v>
      </c>
      <c r="N8" s="30">
        <v>2</v>
      </c>
      <c r="O8" s="30">
        <v>2</v>
      </c>
      <c r="P8" s="30">
        <v>2</v>
      </c>
      <c r="Q8" s="30">
        <v>5</v>
      </c>
      <c r="R8" s="30">
        <v>5</v>
      </c>
      <c r="S8" s="30">
        <v>5</v>
      </c>
      <c r="T8" s="30">
        <v>5</v>
      </c>
      <c r="U8" s="30">
        <v>5</v>
      </c>
      <c r="V8" s="30" t="s">
        <v>47</v>
      </c>
      <c r="W8" s="30">
        <v>7</v>
      </c>
      <c r="X8" s="30">
        <v>10</v>
      </c>
      <c r="Y8" s="30" t="s">
        <v>47</v>
      </c>
      <c r="Z8" s="26" t="s">
        <v>47</v>
      </c>
      <c r="AA8" s="26" t="s">
        <v>47</v>
      </c>
      <c r="AB8" s="26" t="s">
        <v>47</v>
      </c>
      <c r="AC8" s="26">
        <f t="shared" si="0"/>
        <v>57</v>
      </c>
      <c r="AD8" s="26">
        <v>60</v>
      </c>
    </row>
    <row r="9" spans="1:30" x14ac:dyDescent="0.25">
      <c r="A9" s="26">
        <v>8</v>
      </c>
      <c r="B9" s="31" t="s">
        <v>66</v>
      </c>
      <c r="C9" s="26" t="s">
        <v>67</v>
      </c>
      <c r="D9" s="28" t="s">
        <v>53</v>
      </c>
      <c r="E9" s="26" t="s">
        <v>50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2</v>
      </c>
      <c r="L9" s="30">
        <v>2</v>
      </c>
      <c r="M9" s="30" t="s">
        <v>47</v>
      </c>
      <c r="N9" s="30">
        <v>2</v>
      </c>
      <c r="O9" s="30" t="s">
        <v>47</v>
      </c>
      <c r="P9" s="30">
        <v>2</v>
      </c>
      <c r="Q9" s="30" t="s">
        <v>47</v>
      </c>
      <c r="R9" s="30">
        <v>4</v>
      </c>
      <c r="S9" s="30" t="s">
        <v>47</v>
      </c>
      <c r="T9" s="30" t="s">
        <v>47</v>
      </c>
      <c r="U9" s="30" t="s">
        <v>47</v>
      </c>
      <c r="V9" s="30">
        <v>5</v>
      </c>
      <c r="W9" s="30" t="s">
        <v>47</v>
      </c>
      <c r="X9" s="30" t="s">
        <v>47</v>
      </c>
      <c r="Y9" s="30">
        <v>2</v>
      </c>
      <c r="Z9" s="26" t="s">
        <v>47</v>
      </c>
      <c r="AA9" s="26" t="s">
        <v>47</v>
      </c>
      <c r="AB9" s="26" t="s">
        <v>47</v>
      </c>
      <c r="AC9" s="26">
        <f t="shared" si="0"/>
        <v>24</v>
      </c>
      <c r="AD9" s="26">
        <v>60</v>
      </c>
    </row>
    <row r="10" spans="1:30" x14ac:dyDescent="0.25">
      <c r="A10" s="26">
        <v>9</v>
      </c>
      <c r="B10" s="31" t="s">
        <v>68</v>
      </c>
      <c r="C10" s="26" t="s">
        <v>69</v>
      </c>
      <c r="D10" s="28" t="s">
        <v>53</v>
      </c>
      <c r="E10" s="26" t="s">
        <v>50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2</v>
      </c>
      <c r="L10" s="30" t="s">
        <v>47</v>
      </c>
      <c r="M10" s="30">
        <v>2</v>
      </c>
      <c r="N10" s="30" t="s">
        <v>47</v>
      </c>
      <c r="O10" s="30">
        <v>2</v>
      </c>
      <c r="P10" s="30">
        <v>2</v>
      </c>
      <c r="Q10" s="30">
        <v>3</v>
      </c>
      <c r="R10" s="30">
        <v>5</v>
      </c>
      <c r="S10" s="30">
        <v>5</v>
      </c>
      <c r="T10" s="30">
        <v>5</v>
      </c>
      <c r="U10" s="30" t="s">
        <v>47</v>
      </c>
      <c r="V10" s="30">
        <v>5</v>
      </c>
      <c r="W10" s="30" t="s">
        <v>47</v>
      </c>
      <c r="X10" s="30" t="s">
        <v>47</v>
      </c>
      <c r="Y10" s="30">
        <v>2</v>
      </c>
      <c r="Z10" s="26" t="s">
        <v>47</v>
      </c>
      <c r="AA10" s="26" t="s">
        <v>47</v>
      </c>
      <c r="AB10" s="26" t="s">
        <v>47</v>
      </c>
      <c r="AC10" s="26">
        <f t="shared" si="0"/>
        <v>38</v>
      </c>
      <c r="AD10" s="26">
        <v>60</v>
      </c>
    </row>
    <row r="11" spans="1:30" x14ac:dyDescent="0.25">
      <c r="A11" s="26">
        <v>10</v>
      </c>
      <c r="B11" s="31" t="s">
        <v>70</v>
      </c>
      <c r="C11" s="26" t="s">
        <v>71</v>
      </c>
      <c r="D11" s="28" t="s">
        <v>53</v>
      </c>
      <c r="E11" s="26" t="s">
        <v>50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2</v>
      </c>
      <c r="L11" s="30">
        <v>2</v>
      </c>
      <c r="M11" s="30">
        <v>2</v>
      </c>
      <c r="N11" s="30" t="s">
        <v>47</v>
      </c>
      <c r="O11" s="30">
        <v>2</v>
      </c>
      <c r="P11" s="30" t="s">
        <v>47</v>
      </c>
      <c r="Q11" s="30" t="s">
        <v>47</v>
      </c>
      <c r="R11" s="30" t="s">
        <v>47</v>
      </c>
      <c r="S11" s="30">
        <v>3</v>
      </c>
      <c r="T11" s="30">
        <v>5</v>
      </c>
      <c r="U11" s="30">
        <v>5</v>
      </c>
      <c r="V11" s="30">
        <v>5</v>
      </c>
      <c r="W11" s="30">
        <v>2</v>
      </c>
      <c r="X11" s="30" t="s">
        <v>47</v>
      </c>
      <c r="Y11" s="30" t="s">
        <v>47</v>
      </c>
      <c r="Z11" s="26" t="s">
        <v>47</v>
      </c>
      <c r="AA11" s="26" t="s">
        <v>47</v>
      </c>
      <c r="AB11" s="26" t="s">
        <v>47</v>
      </c>
      <c r="AC11" s="26">
        <f t="shared" si="0"/>
        <v>33</v>
      </c>
      <c r="AD11" s="26">
        <v>60</v>
      </c>
    </row>
    <row r="12" spans="1:30" x14ac:dyDescent="0.25">
      <c r="A12" s="26">
        <v>11</v>
      </c>
      <c r="B12" s="31" t="s">
        <v>72</v>
      </c>
      <c r="C12" s="26" t="s">
        <v>73</v>
      </c>
      <c r="D12" s="28" t="s">
        <v>53</v>
      </c>
      <c r="E12" s="26" t="s">
        <v>50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2</v>
      </c>
      <c r="L12" s="30">
        <v>2</v>
      </c>
      <c r="M12" s="30" t="s">
        <v>47</v>
      </c>
      <c r="N12" s="30">
        <v>2</v>
      </c>
      <c r="O12" s="30" t="s">
        <v>47</v>
      </c>
      <c r="P12" s="30" t="s">
        <v>47</v>
      </c>
      <c r="Q12" s="30" t="s">
        <v>47</v>
      </c>
      <c r="R12" s="30" t="s">
        <v>47</v>
      </c>
      <c r="S12" s="30" t="s">
        <v>47</v>
      </c>
      <c r="T12" s="30" t="s">
        <v>47</v>
      </c>
      <c r="U12" s="30" t="s">
        <v>47</v>
      </c>
      <c r="V12" s="30" t="s">
        <v>47</v>
      </c>
      <c r="W12" s="30" t="s">
        <v>47</v>
      </c>
      <c r="X12" s="30" t="s">
        <v>47</v>
      </c>
      <c r="Y12" s="30">
        <v>2</v>
      </c>
      <c r="Z12" s="26" t="s">
        <v>47</v>
      </c>
      <c r="AA12" s="26" t="s">
        <v>47</v>
      </c>
      <c r="AB12" s="26" t="s">
        <v>47</v>
      </c>
      <c r="AC12" s="26">
        <f t="shared" si="0"/>
        <v>13</v>
      </c>
      <c r="AD12" s="26">
        <v>60</v>
      </c>
    </row>
    <row r="13" spans="1:30" x14ac:dyDescent="0.25">
      <c r="A13" s="26">
        <v>12</v>
      </c>
      <c r="B13" s="31" t="s">
        <v>74</v>
      </c>
      <c r="C13" s="26" t="s">
        <v>75</v>
      </c>
      <c r="D13" s="28" t="s">
        <v>53</v>
      </c>
      <c r="E13" s="26" t="s">
        <v>50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2</v>
      </c>
      <c r="L13" s="30">
        <v>2</v>
      </c>
      <c r="M13" s="30" t="s">
        <v>47</v>
      </c>
      <c r="N13" s="30" t="s">
        <v>47</v>
      </c>
      <c r="O13" s="30">
        <v>2</v>
      </c>
      <c r="P13" s="30">
        <v>2</v>
      </c>
      <c r="Q13" s="30" t="s">
        <v>47</v>
      </c>
      <c r="R13" s="30">
        <v>5</v>
      </c>
      <c r="S13" s="30" t="s">
        <v>47</v>
      </c>
      <c r="T13" s="30">
        <v>2</v>
      </c>
      <c r="U13" s="30" t="s">
        <v>47</v>
      </c>
      <c r="V13" s="30">
        <v>5</v>
      </c>
      <c r="W13" s="30" t="s">
        <v>47</v>
      </c>
      <c r="X13" s="30">
        <v>2</v>
      </c>
      <c r="Y13" s="30" t="s">
        <v>47</v>
      </c>
      <c r="Z13" s="26" t="s">
        <v>47</v>
      </c>
      <c r="AA13" s="26" t="s">
        <v>47</v>
      </c>
      <c r="AB13" s="26" t="s">
        <v>47</v>
      </c>
      <c r="AC13" s="26">
        <f t="shared" si="0"/>
        <v>27</v>
      </c>
      <c r="AD13" s="26">
        <v>60</v>
      </c>
    </row>
    <row r="14" spans="1:30" x14ac:dyDescent="0.25">
      <c r="A14" s="26">
        <v>13</v>
      </c>
      <c r="B14" s="31" t="s">
        <v>76</v>
      </c>
      <c r="C14" s="26" t="s">
        <v>77</v>
      </c>
      <c r="D14" s="28" t="s">
        <v>53</v>
      </c>
      <c r="E14" s="26" t="s">
        <v>50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2</v>
      </c>
      <c r="L14" s="30" t="s">
        <v>47</v>
      </c>
      <c r="M14" s="30">
        <v>2</v>
      </c>
      <c r="N14" s="30" t="s">
        <v>47</v>
      </c>
      <c r="O14" s="30">
        <v>2</v>
      </c>
      <c r="P14" s="30">
        <v>2</v>
      </c>
      <c r="Q14" s="30">
        <v>5</v>
      </c>
      <c r="R14" s="30">
        <v>5</v>
      </c>
      <c r="S14" s="30">
        <v>5</v>
      </c>
      <c r="T14" s="30" t="s">
        <v>47</v>
      </c>
      <c r="U14" s="30">
        <v>5</v>
      </c>
      <c r="V14" s="30">
        <v>5</v>
      </c>
      <c r="W14" s="30">
        <v>2</v>
      </c>
      <c r="X14" s="30" t="s">
        <v>47</v>
      </c>
      <c r="Y14" s="30">
        <v>2</v>
      </c>
      <c r="Z14" s="26" t="s">
        <v>47</v>
      </c>
      <c r="AA14" s="26" t="s">
        <v>47</v>
      </c>
      <c r="AB14" s="26" t="s">
        <v>47</v>
      </c>
      <c r="AC14" s="26">
        <f t="shared" si="0"/>
        <v>42</v>
      </c>
      <c r="AD14" s="26">
        <v>60</v>
      </c>
    </row>
    <row r="15" spans="1:30" x14ac:dyDescent="0.25">
      <c r="A15" s="26">
        <v>14</v>
      </c>
      <c r="B15" s="31" t="s">
        <v>78</v>
      </c>
      <c r="C15" s="26" t="s">
        <v>79</v>
      </c>
      <c r="D15" s="28" t="s">
        <v>53</v>
      </c>
      <c r="E15" s="26" t="s">
        <v>50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 t="s">
        <v>47</v>
      </c>
      <c r="L15" s="30">
        <v>2</v>
      </c>
      <c r="M15" s="30" t="s">
        <v>47</v>
      </c>
      <c r="N15" s="30">
        <v>2</v>
      </c>
      <c r="O15" s="30">
        <v>2</v>
      </c>
      <c r="P15" s="30">
        <v>2</v>
      </c>
      <c r="Q15" s="30">
        <v>5</v>
      </c>
      <c r="R15" s="30" t="s">
        <v>47</v>
      </c>
      <c r="S15" s="30" t="s">
        <v>47</v>
      </c>
      <c r="T15" s="30" t="s">
        <v>47</v>
      </c>
      <c r="U15" s="30" t="s">
        <v>47</v>
      </c>
      <c r="V15" s="30">
        <v>5</v>
      </c>
      <c r="W15" s="30" t="s">
        <v>47</v>
      </c>
      <c r="X15" s="30">
        <v>2</v>
      </c>
      <c r="Y15" s="30" t="s">
        <v>47</v>
      </c>
      <c r="Z15" s="26" t="s">
        <v>47</v>
      </c>
      <c r="AA15" s="26" t="s">
        <v>47</v>
      </c>
      <c r="AB15" s="26" t="s">
        <v>47</v>
      </c>
      <c r="AC15" s="26">
        <f t="shared" si="0"/>
        <v>25</v>
      </c>
      <c r="AD15" s="26">
        <v>60</v>
      </c>
    </row>
    <row r="16" spans="1:30" x14ac:dyDescent="0.25">
      <c r="A16" s="26">
        <v>15</v>
      </c>
      <c r="B16" s="31" t="s">
        <v>80</v>
      </c>
      <c r="C16" s="26" t="s">
        <v>81</v>
      </c>
      <c r="D16" s="28" t="s">
        <v>53</v>
      </c>
      <c r="E16" s="26" t="s">
        <v>50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2</v>
      </c>
      <c r="L16" s="30">
        <v>2</v>
      </c>
      <c r="M16" s="30" t="s">
        <v>47</v>
      </c>
      <c r="N16" s="30">
        <v>2</v>
      </c>
      <c r="O16" s="30" t="s">
        <v>47</v>
      </c>
      <c r="P16" s="30">
        <v>2</v>
      </c>
      <c r="Q16" s="30">
        <v>5</v>
      </c>
      <c r="R16" s="30">
        <v>2</v>
      </c>
      <c r="S16" s="30">
        <v>5</v>
      </c>
      <c r="T16" s="30" t="s">
        <v>47</v>
      </c>
      <c r="U16" s="30" t="s">
        <v>47</v>
      </c>
      <c r="V16" s="30">
        <v>5</v>
      </c>
      <c r="W16" s="30" t="s">
        <v>47</v>
      </c>
      <c r="X16" s="30">
        <v>2</v>
      </c>
      <c r="Y16" s="30" t="s">
        <v>47</v>
      </c>
      <c r="Z16" s="26" t="s">
        <v>47</v>
      </c>
      <c r="AA16" s="26" t="s">
        <v>47</v>
      </c>
      <c r="AB16" s="26" t="s">
        <v>47</v>
      </c>
      <c r="AC16" s="26">
        <f t="shared" si="0"/>
        <v>32</v>
      </c>
      <c r="AD16" s="26">
        <v>60</v>
      </c>
    </row>
    <row r="17" spans="1:30" x14ac:dyDescent="0.25">
      <c r="A17" s="26">
        <v>16</v>
      </c>
      <c r="B17" s="31" t="s">
        <v>82</v>
      </c>
      <c r="C17" s="26" t="s">
        <v>83</v>
      </c>
      <c r="D17" s="28" t="s">
        <v>53</v>
      </c>
      <c r="E17" s="26" t="s">
        <v>50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2</v>
      </c>
      <c r="L17" s="30" t="s">
        <v>47</v>
      </c>
      <c r="M17" s="30">
        <v>2</v>
      </c>
      <c r="N17" s="30">
        <v>2</v>
      </c>
      <c r="O17" s="30" t="s">
        <v>47</v>
      </c>
      <c r="P17" s="30">
        <v>2</v>
      </c>
      <c r="Q17" s="30">
        <v>5</v>
      </c>
      <c r="R17" s="30">
        <v>5</v>
      </c>
      <c r="S17" s="30">
        <v>5</v>
      </c>
      <c r="T17" s="30">
        <v>5</v>
      </c>
      <c r="U17" s="30">
        <v>5</v>
      </c>
      <c r="V17" s="30" t="s">
        <v>47</v>
      </c>
      <c r="W17" s="30">
        <v>2</v>
      </c>
      <c r="X17" s="30" t="s">
        <v>47</v>
      </c>
      <c r="Y17" s="30">
        <v>8</v>
      </c>
      <c r="Z17" s="26" t="s">
        <v>47</v>
      </c>
      <c r="AA17" s="26" t="s">
        <v>47</v>
      </c>
      <c r="AB17" s="26" t="s">
        <v>47</v>
      </c>
      <c r="AC17" s="26">
        <f t="shared" si="0"/>
        <v>48</v>
      </c>
      <c r="AD17" s="26">
        <v>60</v>
      </c>
    </row>
    <row r="18" spans="1:30" x14ac:dyDescent="0.25">
      <c r="A18" s="26">
        <v>17</v>
      </c>
      <c r="B18" s="31" t="s">
        <v>84</v>
      </c>
      <c r="C18" s="26" t="s">
        <v>85</v>
      </c>
      <c r="D18" s="28" t="s">
        <v>53</v>
      </c>
      <c r="E18" s="26" t="s">
        <v>50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2</v>
      </c>
      <c r="L18" s="30">
        <v>2</v>
      </c>
      <c r="M18" s="30" t="s">
        <v>47</v>
      </c>
      <c r="N18" s="30" t="s">
        <v>47</v>
      </c>
      <c r="O18" s="30">
        <v>2</v>
      </c>
      <c r="P18" s="30">
        <v>2</v>
      </c>
      <c r="Q18" s="30">
        <v>5</v>
      </c>
      <c r="R18" s="30" t="s">
        <v>47</v>
      </c>
      <c r="S18" s="30">
        <v>5</v>
      </c>
      <c r="T18" s="30">
        <v>5</v>
      </c>
      <c r="U18" s="30">
        <v>5</v>
      </c>
      <c r="V18" s="30">
        <v>5</v>
      </c>
      <c r="W18" s="30">
        <v>2</v>
      </c>
      <c r="X18" s="30" t="s">
        <v>47</v>
      </c>
      <c r="Y18" s="30">
        <v>1</v>
      </c>
      <c r="Z18" s="26" t="s">
        <v>47</v>
      </c>
      <c r="AA18" s="26" t="s">
        <v>47</v>
      </c>
      <c r="AB18" s="26" t="s">
        <v>47</v>
      </c>
      <c r="AC18" s="26">
        <f t="shared" si="0"/>
        <v>41</v>
      </c>
      <c r="AD18" s="26">
        <v>60</v>
      </c>
    </row>
    <row r="19" spans="1:30" x14ac:dyDescent="0.25">
      <c r="A19" s="26">
        <v>18</v>
      </c>
      <c r="B19" s="31" t="s">
        <v>86</v>
      </c>
      <c r="C19" s="26" t="s">
        <v>48</v>
      </c>
      <c r="D19" s="28" t="s">
        <v>53</v>
      </c>
      <c r="E19" s="26" t="s">
        <v>50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2</v>
      </c>
      <c r="L19" s="30">
        <v>2</v>
      </c>
      <c r="M19" s="30" t="s">
        <v>47</v>
      </c>
      <c r="N19" s="30" t="s">
        <v>47</v>
      </c>
      <c r="O19" s="30">
        <v>2</v>
      </c>
      <c r="P19" s="30">
        <v>2</v>
      </c>
      <c r="Q19" s="30">
        <v>5</v>
      </c>
      <c r="R19" s="30">
        <v>5</v>
      </c>
      <c r="S19" s="30">
        <v>1</v>
      </c>
      <c r="T19" s="30">
        <v>5</v>
      </c>
      <c r="U19" s="30">
        <v>5</v>
      </c>
      <c r="V19" s="30" t="s">
        <v>47</v>
      </c>
      <c r="W19" s="30">
        <v>2</v>
      </c>
      <c r="X19" s="30" t="s">
        <v>47</v>
      </c>
      <c r="Y19" s="30" t="s">
        <v>47</v>
      </c>
      <c r="Z19" s="26" t="s">
        <v>47</v>
      </c>
      <c r="AA19" s="26" t="s">
        <v>47</v>
      </c>
      <c r="AB19" s="26" t="s">
        <v>47</v>
      </c>
      <c r="AC19" s="26">
        <f t="shared" si="0"/>
        <v>36</v>
      </c>
      <c r="AD19" s="26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OBE Details</vt:lpstr>
      <vt:lpstr>ST1 Ques Mapping</vt:lpstr>
      <vt:lpstr>ST1 Result</vt:lpstr>
      <vt:lpstr>ST2 Ques Mapping</vt:lpstr>
      <vt:lpstr>ST2 Result</vt:lpstr>
      <vt:lpstr>ETE Ques Mapping</vt:lpstr>
      <vt:lpstr>ETE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Singh</dc:creator>
  <cp:lastModifiedBy>Prateek Singh</cp:lastModifiedBy>
  <dcterms:created xsi:type="dcterms:W3CDTF">2026-02-28T07:44:02Z</dcterms:created>
  <dcterms:modified xsi:type="dcterms:W3CDTF">2026-03-02T07:19:28Z</dcterms:modified>
</cp:coreProperties>
</file>